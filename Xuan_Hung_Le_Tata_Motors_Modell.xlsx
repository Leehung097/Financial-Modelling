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b\Intern\"/>
    </mc:Choice>
  </mc:AlternateContent>
  <xr:revisionPtr revIDLastSave="0" documentId="13_ncr:1_{8C095DFA-B86F-47E0-A195-B24D61D32B6E}" xr6:coauthVersionLast="47" xr6:coauthVersionMax="47" xr10:uidLastSave="{00000000-0000-0000-0000-000000000000}"/>
  <bookViews>
    <workbookView xWindow="-108" yWindow="-108" windowWidth="23256" windowHeight="13896" firstSheet="3" activeTab="6" xr2:uid="{00000000-000D-0000-FFFF-FFFF00000000}"/>
  </bookViews>
  <sheets>
    <sheet name="Assumption Summary" sheetId="30" r:id="rId1"/>
    <sheet name="Revenue forecast" sheetId="32" r:id="rId2"/>
    <sheet name="NWC" sheetId="35" r:id="rId3"/>
    <sheet name="Income Statement" sheetId="2" r:id="rId4"/>
    <sheet name="Balance Sheet" sheetId="1" r:id="rId5"/>
    <sheet name="Cash Flow Statement" sheetId="11" r:id="rId6"/>
    <sheet name="FCFF and FCFE Valuation" sheetId="31" r:id="rId7"/>
    <sheet name="Financial Ratios" sheetId="3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31" l="1"/>
  <c r="F7" i="11"/>
  <c r="B36" i="11"/>
  <c r="C36" i="11"/>
  <c r="D36" i="11"/>
  <c r="E36" i="11"/>
  <c r="F36" i="11"/>
  <c r="D12" i="32"/>
  <c r="E12" i="32" s="1"/>
  <c r="F12" i="32" s="1"/>
  <c r="G12" i="32" s="1"/>
  <c r="D14" i="32"/>
  <c r="E14" i="32" s="1"/>
  <c r="F14" i="32" s="1"/>
  <c r="G14" i="32" s="1"/>
  <c r="O8" i="31"/>
  <c r="O7" i="31"/>
  <c r="H14" i="32" l="1"/>
  <c r="G19" i="35"/>
  <c r="F14" i="36" s="1"/>
  <c r="H19" i="35"/>
  <c r="G14" i="36" s="1"/>
  <c r="I19" i="35"/>
  <c r="H14" i="36" s="1"/>
  <c r="J19" i="35"/>
  <c r="I14" i="36" s="1"/>
  <c r="K19" i="35"/>
  <c r="J14" i="36" s="1"/>
  <c r="C24" i="35"/>
  <c r="D24" i="35"/>
  <c r="E24" i="35"/>
  <c r="F24" i="35"/>
  <c r="B24" i="35"/>
  <c r="C21" i="35"/>
  <c r="D21" i="35"/>
  <c r="E21" i="35"/>
  <c r="F21" i="35"/>
  <c r="B21" i="35"/>
  <c r="C13" i="35"/>
  <c r="D13" i="35"/>
  <c r="E13" i="35"/>
  <c r="F13" i="35"/>
  <c r="B13" i="35"/>
  <c r="C10" i="35"/>
  <c r="D10" i="35"/>
  <c r="E10" i="35"/>
  <c r="F10" i="35"/>
  <c r="B10" i="35"/>
  <c r="C17" i="35"/>
  <c r="D17" i="35"/>
  <c r="E17" i="35"/>
  <c r="F17" i="35"/>
  <c r="B17" i="35"/>
  <c r="C18" i="35" s="1"/>
  <c r="C19" i="35" s="1"/>
  <c r="B14" i="36" s="1"/>
  <c r="G8" i="35"/>
  <c r="F13" i="36" s="1"/>
  <c r="H8" i="35"/>
  <c r="G13" i="36" s="1"/>
  <c r="I8" i="35"/>
  <c r="H13" i="36" s="1"/>
  <c r="J8" i="35"/>
  <c r="I13" i="36" s="1"/>
  <c r="K8" i="35"/>
  <c r="J13" i="36" s="1"/>
  <c r="C6" i="35"/>
  <c r="D6" i="35"/>
  <c r="E6" i="35"/>
  <c r="F6" i="35"/>
  <c r="B6" i="35"/>
  <c r="C2" i="35"/>
  <c r="D2" i="35"/>
  <c r="E2" i="35"/>
  <c r="F2" i="35"/>
  <c r="B2" i="35"/>
  <c r="C3" i="35" s="1"/>
  <c r="C4" i="35" s="1"/>
  <c r="B12" i="36" s="1"/>
  <c r="C7" i="35" l="1"/>
  <c r="C8" i="35" s="1"/>
  <c r="B13" i="36" s="1"/>
  <c r="B15" i="36" s="1"/>
  <c r="F25" i="35"/>
  <c r="G25" i="35" s="1"/>
  <c r="H25" i="35" s="1"/>
  <c r="E18" i="35"/>
  <c r="E19" i="35" s="1"/>
  <c r="D14" i="36" s="1"/>
  <c r="F22" i="35"/>
  <c r="G22" i="35" s="1"/>
  <c r="H22" i="35" s="1"/>
  <c r="E7" i="35"/>
  <c r="E8" i="35" s="1"/>
  <c r="D13" i="36" s="1"/>
  <c r="D18" i="35"/>
  <c r="D19" i="35" s="1"/>
  <c r="C14" i="36" s="1"/>
  <c r="F11" i="35"/>
  <c r="G11" i="35" s="1"/>
  <c r="F14" i="35"/>
  <c r="G14" i="35" s="1"/>
  <c r="F18" i="35"/>
  <c r="F19" i="35" s="1"/>
  <c r="E14" i="36" s="1"/>
  <c r="D7" i="35"/>
  <c r="D8" i="35" s="1"/>
  <c r="C13" i="36" s="1"/>
  <c r="F7" i="35"/>
  <c r="F8" i="35" s="1"/>
  <c r="E13" i="36" s="1"/>
  <c r="D3" i="35"/>
  <c r="D4" i="35" s="1"/>
  <c r="C12" i="36" s="1"/>
  <c r="F3" i="35"/>
  <c r="F4" i="35" s="1"/>
  <c r="E12" i="36" s="1"/>
  <c r="E3" i="35"/>
  <c r="E4" i="35" s="1"/>
  <c r="D12" i="36" s="1"/>
  <c r="D15" i="36" l="1"/>
  <c r="E15" i="36"/>
  <c r="C15" i="36"/>
  <c r="H11" i="35"/>
  <c r="H14" i="35"/>
  <c r="I14" i="35" s="1"/>
  <c r="I22" i="35"/>
  <c r="G3" i="35"/>
  <c r="G4" i="35" s="1"/>
  <c r="F12" i="36" s="1"/>
  <c r="F15" i="36" s="1"/>
  <c r="I25" i="35"/>
  <c r="I11" i="35" l="1"/>
  <c r="J11" i="35" s="1"/>
  <c r="H3" i="35"/>
  <c r="J25" i="35"/>
  <c r="J22" i="35"/>
  <c r="J14" i="35"/>
  <c r="I3" i="35" l="1"/>
  <c r="H4" i="35"/>
  <c r="G12" i="36" s="1"/>
  <c r="G15" i="36" s="1"/>
  <c r="K22" i="35"/>
  <c r="K25" i="35"/>
  <c r="K11" i="35"/>
  <c r="K14" i="35"/>
  <c r="J3" i="35" l="1"/>
  <c r="I4" i="35"/>
  <c r="H12" i="36" s="1"/>
  <c r="H15" i="36" s="1"/>
  <c r="G29" i="11"/>
  <c r="B7" i="11"/>
  <c r="C7" i="11"/>
  <c r="D7" i="11"/>
  <c r="E7" i="11"/>
  <c r="G40" i="1"/>
  <c r="H40" i="1" s="1"/>
  <c r="G39" i="1"/>
  <c r="H39" i="1" s="1"/>
  <c r="C25" i="30"/>
  <c r="C24" i="30"/>
  <c r="C38" i="30"/>
  <c r="C35" i="30"/>
  <c r="G32" i="1"/>
  <c r="H32" i="1" s="1"/>
  <c r="I32" i="1" s="1"/>
  <c r="J32" i="1" s="1"/>
  <c r="K32" i="1" s="1"/>
  <c r="G27" i="1"/>
  <c r="H27" i="1" s="1"/>
  <c r="C30" i="30"/>
  <c r="G17" i="1"/>
  <c r="H17" i="1" s="1"/>
  <c r="I17" i="1" s="1"/>
  <c r="J17" i="1" s="1"/>
  <c r="K17" i="1" s="1"/>
  <c r="G9" i="2"/>
  <c r="H9" i="2" s="1"/>
  <c r="I9" i="2" s="1"/>
  <c r="J9" i="2" s="1"/>
  <c r="K9" i="2" s="1"/>
  <c r="G8" i="2"/>
  <c r="H8" i="2" s="1"/>
  <c r="I8" i="2" s="1"/>
  <c r="J8" i="2" s="1"/>
  <c r="K8" i="2" s="1"/>
  <c r="J4" i="35" l="1"/>
  <c r="I12" i="36" s="1"/>
  <c r="I15" i="36" s="1"/>
  <c r="K3" i="35"/>
  <c r="K4" i="35" s="1"/>
  <c r="J12" i="36" s="1"/>
  <c r="J15" i="36" s="1"/>
  <c r="H22" i="11"/>
  <c r="G23" i="11"/>
  <c r="G22" i="11"/>
  <c r="I40" i="1"/>
  <c r="H23" i="11"/>
  <c r="I39" i="1"/>
  <c r="G13" i="2"/>
  <c r="H13" i="2"/>
  <c r="I27" i="1"/>
  <c r="I13" i="2" l="1"/>
  <c r="I22" i="11"/>
  <c r="J40" i="1"/>
  <c r="I23" i="11"/>
  <c r="J39" i="1"/>
  <c r="J27" i="1"/>
  <c r="K40" i="1" l="1"/>
  <c r="K23" i="11" s="1"/>
  <c r="J23" i="11"/>
  <c r="J13" i="2"/>
  <c r="J22" i="11"/>
  <c r="K39" i="1"/>
  <c r="K27" i="1"/>
  <c r="K13" i="2" l="1"/>
  <c r="K22" i="11"/>
  <c r="G14" i="1" l="1"/>
  <c r="G16" i="11" s="1"/>
  <c r="G15" i="1" l="1"/>
  <c r="G6" i="11" s="1"/>
  <c r="G33" i="11" s="1"/>
  <c r="H14" i="1"/>
  <c r="H16" i="11" s="1"/>
  <c r="C20" i="30"/>
  <c r="D11" i="32"/>
  <c r="I11" i="32" s="1"/>
  <c r="N11" i="32" s="1"/>
  <c r="D15" i="32"/>
  <c r="I15" i="32" s="1"/>
  <c r="N15" i="32" s="1"/>
  <c r="D16" i="32"/>
  <c r="I16" i="32" s="1"/>
  <c r="H16" i="32"/>
  <c r="H15" i="32"/>
  <c r="M15" i="32" s="1"/>
  <c r="M14" i="32"/>
  <c r="H11" i="32"/>
  <c r="M11" i="32" s="1"/>
  <c r="H12" i="32"/>
  <c r="M12" i="32" s="1"/>
  <c r="H13" i="32"/>
  <c r="M13" i="32" s="1"/>
  <c r="L12" i="32"/>
  <c r="Q12" i="32" s="1"/>
  <c r="D13" i="32"/>
  <c r="E13" i="32" s="1"/>
  <c r="F13" i="32" s="1"/>
  <c r="G13" i="32" s="1"/>
  <c r="L13" i="32" s="1"/>
  <c r="Q13" i="32" s="1"/>
  <c r="C32" i="30"/>
  <c r="B6" i="2"/>
  <c r="C6" i="2"/>
  <c r="B3" i="36" s="1"/>
  <c r="D6" i="2"/>
  <c r="C3" i="36" s="1"/>
  <c r="E6" i="2"/>
  <c r="D3" i="36" s="1"/>
  <c r="F6" i="2"/>
  <c r="E3" i="36" s="1"/>
  <c r="B43" i="1"/>
  <c r="D43" i="1"/>
  <c r="E43" i="1"/>
  <c r="F43" i="1"/>
  <c r="B36" i="1"/>
  <c r="C36" i="1"/>
  <c r="D36" i="1"/>
  <c r="E36" i="1"/>
  <c r="F36" i="1"/>
  <c r="B30" i="1"/>
  <c r="C30" i="1"/>
  <c r="D30" i="1"/>
  <c r="E30" i="1"/>
  <c r="F30" i="1"/>
  <c r="E19" i="36" l="1"/>
  <c r="E18" i="36"/>
  <c r="C43" i="1"/>
  <c r="C19" i="36"/>
  <c r="C18" i="36"/>
  <c r="B18" i="36"/>
  <c r="B19" i="36"/>
  <c r="D18" i="36"/>
  <c r="D19" i="36"/>
  <c r="I14" i="32"/>
  <c r="G16" i="1"/>
  <c r="I14" i="1"/>
  <c r="I16" i="11" s="1"/>
  <c r="H15" i="1"/>
  <c r="E16" i="32"/>
  <c r="F16" i="32" s="1"/>
  <c r="K16" i="32" s="1"/>
  <c r="E11" i="32"/>
  <c r="F11" i="32" s="1"/>
  <c r="G11" i="32" s="1"/>
  <c r="L11" i="32" s="1"/>
  <c r="Q11" i="32" s="1"/>
  <c r="M16" i="32"/>
  <c r="G4" i="2" s="1"/>
  <c r="N16" i="32"/>
  <c r="I13" i="32"/>
  <c r="N13" i="32" s="1"/>
  <c r="J12" i="32"/>
  <c r="O12" i="32" s="1"/>
  <c r="K13" i="32"/>
  <c r="P13" i="32" s="1"/>
  <c r="I12" i="32"/>
  <c r="N12" i="32" s="1"/>
  <c r="J13" i="32"/>
  <c r="O13" i="32" s="1"/>
  <c r="E15" i="32"/>
  <c r="K12" i="32"/>
  <c r="P12" i="32" s="1"/>
  <c r="C37" i="1"/>
  <c r="E37" i="1"/>
  <c r="F37" i="1"/>
  <c r="F44" i="1" s="1"/>
  <c r="B37" i="1"/>
  <c r="D37" i="1"/>
  <c r="B44" i="1" l="1"/>
  <c r="B20" i="36"/>
  <c r="D44" i="1"/>
  <c r="D20" i="36"/>
  <c r="E44" i="1"/>
  <c r="E20" i="36"/>
  <c r="C44" i="1"/>
  <c r="C20" i="36"/>
  <c r="J11" i="32"/>
  <c r="O11" i="32" s="1"/>
  <c r="J14" i="32"/>
  <c r="O14" i="32" s="1"/>
  <c r="G16" i="32"/>
  <c r="L16" i="32" s="1"/>
  <c r="Q16" i="32" s="1"/>
  <c r="G21" i="35"/>
  <c r="G33" i="1" s="1"/>
  <c r="G24" i="35"/>
  <c r="G13" i="35"/>
  <c r="G10" i="1" s="1"/>
  <c r="G10" i="35"/>
  <c r="G9" i="1" s="1"/>
  <c r="G2" i="35"/>
  <c r="G7" i="1" s="1"/>
  <c r="H16" i="1"/>
  <c r="H6" i="11"/>
  <c r="H33" i="11" s="1"/>
  <c r="G16" i="2"/>
  <c r="G5" i="2"/>
  <c r="G14" i="2"/>
  <c r="G34" i="1"/>
  <c r="G19" i="1"/>
  <c r="G17" i="11" s="1"/>
  <c r="G35" i="1"/>
  <c r="G18" i="1"/>
  <c r="J14" i="1"/>
  <c r="J16" i="11" s="1"/>
  <c r="I15" i="1"/>
  <c r="I6" i="11" s="1"/>
  <c r="I33" i="11" s="1"/>
  <c r="J16" i="32"/>
  <c r="O16" i="32" s="1"/>
  <c r="K11" i="32"/>
  <c r="P11" i="32" s="1"/>
  <c r="N14" i="32"/>
  <c r="H4" i="2" s="1"/>
  <c r="P16" i="32"/>
  <c r="J15" i="32"/>
  <c r="F15" i="32"/>
  <c r="B16" i="1"/>
  <c r="B21" i="1" s="1"/>
  <c r="C16" i="1"/>
  <c r="C21" i="1" s="1"/>
  <c r="D16" i="1"/>
  <c r="D21" i="1" s="1"/>
  <c r="E16" i="1"/>
  <c r="E21" i="1" s="1"/>
  <c r="F16" i="1"/>
  <c r="F21" i="1" s="1"/>
  <c r="B11" i="1"/>
  <c r="C11" i="1"/>
  <c r="D11" i="1"/>
  <c r="D17" i="36" s="1"/>
  <c r="E11" i="1"/>
  <c r="F11" i="1"/>
  <c r="B11" i="2"/>
  <c r="B12" i="2" s="1"/>
  <c r="B15" i="2" s="1"/>
  <c r="B17" i="2" s="1"/>
  <c r="C11" i="2"/>
  <c r="C12" i="2" s="1"/>
  <c r="D11" i="2"/>
  <c r="D12" i="2" s="1"/>
  <c r="E11" i="2"/>
  <c r="E12" i="2" s="1"/>
  <c r="F11" i="2"/>
  <c r="F12" i="2" s="1"/>
  <c r="E21" i="36" s="1"/>
  <c r="E17" i="36" l="1"/>
  <c r="C17" i="36"/>
  <c r="B17" i="36"/>
  <c r="G18" i="11"/>
  <c r="E15" i="2"/>
  <c r="E17" i="2" s="1"/>
  <c r="D21" i="36"/>
  <c r="D15" i="2"/>
  <c r="D17" i="2" s="1"/>
  <c r="D19" i="2" s="1"/>
  <c r="C21" i="36"/>
  <c r="C15" i="2"/>
  <c r="C17" i="2" s="1"/>
  <c r="B21" i="36"/>
  <c r="K14" i="32"/>
  <c r="P14" i="32" s="1"/>
  <c r="F22" i="1"/>
  <c r="F4" i="1" s="1"/>
  <c r="H21" i="35"/>
  <c r="H33" i="1" s="1"/>
  <c r="H24" i="35"/>
  <c r="H29" i="1" s="1"/>
  <c r="H13" i="35"/>
  <c r="H10" i="1" s="1"/>
  <c r="H10" i="35"/>
  <c r="H9" i="1" s="1"/>
  <c r="H2" i="35"/>
  <c r="H7" i="1" s="1"/>
  <c r="G6" i="2"/>
  <c r="F3" i="36" s="1"/>
  <c r="G6" i="35"/>
  <c r="G8" i="1" s="1"/>
  <c r="G10" i="11" s="1"/>
  <c r="G17" i="35"/>
  <c r="G28" i="1" s="1"/>
  <c r="G12" i="11" s="1"/>
  <c r="H16" i="2"/>
  <c r="C19" i="2"/>
  <c r="B19" i="2"/>
  <c r="B21" i="2" s="1"/>
  <c r="E19" i="2"/>
  <c r="G36" i="1"/>
  <c r="H14" i="2"/>
  <c r="H34" i="1"/>
  <c r="H19" i="1"/>
  <c r="H17" i="11" s="1"/>
  <c r="H35" i="1"/>
  <c r="H18" i="1"/>
  <c r="J15" i="1"/>
  <c r="J6" i="11" s="1"/>
  <c r="J33" i="11" s="1"/>
  <c r="K14" i="1"/>
  <c r="K16" i="11" s="1"/>
  <c r="I16" i="1"/>
  <c r="H5" i="2"/>
  <c r="O15" i="32"/>
  <c r="I4" i="2" s="1"/>
  <c r="G15" i="32"/>
  <c r="L15" i="32" s="1"/>
  <c r="K15" i="32"/>
  <c r="F15" i="2"/>
  <c r="F17" i="2" s="1"/>
  <c r="B22" i="1"/>
  <c r="E22" i="1"/>
  <c r="D22" i="1"/>
  <c r="C22" i="1"/>
  <c r="C4" i="1" l="1"/>
  <c r="C9" i="36"/>
  <c r="C10" i="36"/>
  <c r="D4" i="1"/>
  <c r="D10" i="36"/>
  <c r="D9" i="36"/>
  <c r="E4" i="1"/>
  <c r="E10" i="36"/>
  <c r="E9" i="36"/>
  <c r="B9" i="36"/>
  <c r="B10" i="36"/>
  <c r="H18" i="11"/>
  <c r="E21" i="2"/>
  <c r="D8" i="36"/>
  <c r="D7" i="36"/>
  <c r="D6" i="36"/>
  <c r="D4" i="36"/>
  <c r="C21" i="2"/>
  <c r="B8" i="36"/>
  <c r="B7" i="36"/>
  <c r="B6" i="36"/>
  <c r="B4" i="36"/>
  <c r="D21" i="2"/>
  <c r="D23" i="2" s="1"/>
  <c r="C8" i="36"/>
  <c r="C7" i="36"/>
  <c r="C6" i="36"/>
  <c r="C4" i="36"/>
  <c r="L14" i="32"/>
  <c r="Q14" i="32" s="1"/>
  <c r="E23" i="2"/>
  <c r="E24" i="2"/>
  <c r="I13" i="35"/>
  <c r="I10" i="1" s="1"/>
  <c r="I24" i="35"/>
  <c r="I29" i="1" s="1"/>
  <c r="I21" i="35"/>
  <c r="I33" i="1" s="1"/>
  <c r="I10" i="35"/>
  <c r="I9" i="1" s="1"/>
  <c r="I2" i="35"/>
  <c r="I7" i="1" s="1"/>
  <c r="J16" i="1"/>
  <c r="H6" i="35"/>
  <c r="H8" i="1" s="1"/>
  <c r="H10" i="11" s="1"/>
  <c r="H17" i="35"/>
  <c r="H28" i="1" s="1"/>
  <c r="H12" i="11" s="1"/>
  <c r="I16" i="2"/>
  <c r="B24" i="2"/>
  <c r="B23" i="2"/>
  <c r="C24" i="2"/>
  <c r="C23" i="2"/>
  <c r="F19" i="2"/>
  <c r="H36" i="1"/>
  <c r="I14" i="2"/>
  <c r="I35" i="1"/>
  <c r="I34" i="1"/>
  <c r="I19" i="1"/>
  <c r="I17" i="11" s="1"/>
  <c r="I18" i="1"/>
  <c r="H6" i="2"/>
  <c r="G3" i="36" s="1"/>
  <c r="K15" i="1"/>
  <c r="I5" i="2"/>
  <c r="B4" i="1"/>
  <c r="P15" i="32"/>
  <c r="J4" i="2" s="1"/>
  <c r="Q15" i="32"/>
  <c r="K4" i="2" s="1"/>
  <c r="D24" i="2" l="1"/>
  <c r="D5" i="36"/>
  <c r="I18" i="11"/>
  <c r="E8" i="36"/>
  <c r="E6" i="36"/>
  <c r="E4" i="36"/>
  <c r="E7" i="36"/>
  <c r="C5" i="36"/>
  <c r="B5" i="36"/>
  <c r="K21" i="35"/>
  <c r="K33" i="1" s="1"/>
  <c r="J24" i="35"/>
  <c r="J29" i="1" s="1"/>
  <c r="J13" i="35"/>
  <c r="J10" i="1" s="1"/>
  <c r="J21" i="35"/>
  <c r="J33" i="1" s="1"/>
  <c r="J10" i="35"/>
  <c r="J9" i="1" s="1"/>
  <c r="J2" i="35"/>
  <c r="J7" i="1" s="1"/>
  <c r="K16" i="1"/>
  <c r="K6" i="11"/>
  <c r="K33" i="11" s="1"/>
  <c r="I6" i="35"/>
  <c r="I8" i="1" s="1"/>
  <c r="I10" i="11" s="1"/>
  <c r="I17" i="35"/>
  <c r="I28" i="1" s="1"/>
  <c r="I12" i="11" s="1"/>
  <c r="J16" i="2"/>
  <c r="F21" i="2"/>
  <c r="F24" i="2" s="1"/>
  <c r="I36" i="1"/>
  <c r="J14" i="2"/>
  <c r="J34" i="1"/>
  <c r="J35" i="1"/>
  <c r="J19" i="1"/>
  <c r="J17" i="11" s="1"/>
  <c r="J18" i="1"/>
  <c r="I6" i="2"/>
  <c r="H3" i="36" s="1"/>
  <c r="J5" i="2"/>
  <c r="B41" i="31"/>
  <c r="O6" i="31"/>
  <c r="O9" i="31" s="1"/>
  <c r="C21" i="31"/>
  <c r="D9" i="31"/>
  <c r="D14" i="31" s="1"/>
  <c r="E9" i="31"/>
  <c r="E14" i="31" s="1"/>
  <c r="F9" i="31"/>
  <c r="F14" i="31" s="1"/>
  <c r="G9" i="31"/>
  <c r="G14" i="31" s="1"/>
  <c r="C9" i="31"/>
  <c r="C14" i="31" s="1"/>
  <c r="D5" i="31"/>
  <c r="B27" i="31" s="1"/>
  <c r="B37" i="31" s="1"/>
  <c r="E5" i="31"/>
  <c r="B28" i="31" s="1"/>
  <c r="B38" i="31" s="1"/>
  <c r="F5" i="31"/>
  <c r="B29" i="31" s="1"/>
  <c r="B39" i="31" s="1"/>
  <c r="G5" i="31"/>
  <c r="B30" i="31" s="1"/>
  <c r="B40" i="31" s="1"/>
  <c r="C5" i="31"/>
  <c r="B26" i="31" s="1"/>
  <c r="B36" i="31" s="1"/>
  <c r="J18" i="11" l="1"/>
  <c r="E5" i="36"/>
  <c r="K34" i="1"/>
  <c r="K35" i="1"/>
  <c r="K16" i="2"/>
  <c r="K5" i="2"/>
  <c r="K6" i="2" s="1"/>
  <c r="J3" i="36" s="1"/>
  <c r="K19" i="1"/>
  <c r="K17" i="11" s="1"/>
  <c r="K24" i="35"/>
  <c r="K29" i="1" s="1"/>
  <c r="K18" i="1"/>
  <c r="K14" i="2"/>
  <c r="K13" i="35"/>
  <c r="K10" i="1" s="1"/>
  <c r="K10" i="35"/>
  <c r="K9" i="1" s="1"/>
  <c r="F23" i="2"/>
  <c r="K2" i="35"/>
  <c r="K7" i="1" s="1"/>
  <c r="J6" i="35"/>
  <c r="J8" i="1" s="1"/>
  <c r="J10" i="11" s="1"/>
  <c r="J17" i="35"/>
  <c r="J28" i="1" s="1"/>
  <c r="J12" i="11" s="1"/>
  <c r="J36" i="1"/>
  <c r="J6" i="2"/>
  <c r="I3" i="36" s="1"/>
  <c r="K18" i="11" l="1"/>
  <c r="K36" i="1"/>
  <c r="K17" i="35"/>
  <c r="K28" i="1" s="1"/>
  <c r="K12" i="11" s="1"/>
  <c r="K6" i="35"/>
  <c r="K8" i="1" s="1"/>
  <c r="K10" i="11" s="1"/>
  <c r="B46" i="1"/>
  <c r="C46" i="1"/>
  <c r="D46" i="1"/>
  <c r="E46" i="1"/>
  <c r="F46" i="1"/>
  <c r="C41" i="30"/>
  <c r="C33" i="30"/>
  <c r="M27" i="31"/>
  <c r="M37" i="31" s="1"/>
  <c r="C23" i="30"/>
  <c r="G9" i="11" l="1"/>
  <c r="J9" i="11"/>
  <c r="H42" i="1"/>
  <c r="G42" i="1"/>
  <c r="G25" i="11" s="1"/>
  <c r="G26" i="11" s="1"/>
  <c r="I42" i="1"/>
  <c r="K42" i="1"/>
  <c r="J42" i="1"/>
  <c r="G8" i="11"/>
  <c r="J11" i="11"/>
  <c r="G11" i="11"/>
  <c r="H20" i="1"/>
  <c r="H21" i="1" s="1"/>
  <c r="G20" i="1"/>
  <c r="G21" i="1" s="1"/>
  <c r="I20" i="1"/>
  <c r="I21" i="1" s="1"/>
  <c r="J20" i="1"/>
  <c r="J21" i="1" s="1"/>
  <c r="K20" i="1"/>
  <c r="K21" i="1" s="1"/>
  <c r="H10" i="2"/>
  <c r="G10" i="2"/>
  <c r="J10" i="2"/>
  <c r="I10" i="2"/>
  <c r="K10" i="2"/>
  <c r="I25" i="11" l="1"/>
  <c r="I26" i="11" s="1"/>
  <c r="H25" i="11"/>
  <c r="H26" i="11" s="1"/>
  <c r="J25" i="11"/>
  <c r="J26" i="11" s="1"/>
  <c r="K25" i="11"/>
  <c r="K26" i="11" s="1"/>
  <c r="J19" i="11"/>
  <c r="J20" i="11" s="1"/>
  <c r="G19" i="11"/>
  <c r="G20" i="11" s="1"/>
  <c r="I19" i="11"/>
  <c r="I20" i="11" s="1"/>
  <c r="K19" i="11"/>
  <c r="K20" i="11" s="1"/>
  <c r="H19" i="11"/>
  <c r="H20" i="11" s="1"/>
  <c r="I9" i="11"/>
  <c r="K8" i="11"/>
  <c r="I11" i="11"/>
  <c r="H9" i="11"/>
  <c r="J8" i="11"/>
  <c r="J30" i="1"/>
  <c r="J37" i="1" s="1"/>
  <c r="J13" i="11"/>
  <c r="H11" i="11"/>
  <c r="H8" i="11"/>
  <c r="I8" i="11"/>
  <c r="K30" i="1"/>
  <c r="K37" i="1" s="1"/>
  <c r="K13" i="11"/>
  <c r="I30" i="1"/>
  <c r="I37" i="1" s="1"/>
  <c r="I13" i="11"/>
  <c r="H30" i="1"/>
  <c r="H37" i="1" s="1"/>
  <c r="K11" i="11"/>
  <c r="K9" i="11"/>
  <c r="J11" i="2"/>
  <c r="J12" i="2" s="1"/>
  <c r="G11" i="2"/>
  <c r="G12" i="2" s="1"/>
  <c r="K11" i="2"/>
  <c r="K12" i="2" s="1"/>
  <c r="H11" i="2"/>
  <c r="H12" i="2" s="1"/>
  <c r="I11" i="2"/>
  <c r="I12" i="2" s="1"/>
  <c r="C10" i="31"/>
  <c r="I15" i="2" l="1"/>
  <c r="I17" i="2" s="1"/>
  <c r="I19" i="2" s="1"/>
  <c r="I21" i="2" s="1"/>
  <c r="I5" i="11" s="1"/>
  <c r="H21" i="36"/>
  <c r="J15" i="2"/>
  <c r="J17" i="2" s="1"/>
  <c r="J19" i="2" s="1"/>
  <c r="J21" i="2" s="1"/>
  <c r="J5" i="11" s="1"/>
  <c r="I21" i="36"/>
  <c r="K15" i="2"/>
  <c r="K17" i="2" s="1"/>
  <c r="K19" i="2" s="1"/>
  <c r="K21" i="2" s="1"/>
  <c r="K5" i="11" s="1"/>
  <c r="J21" i="36"/>
  <c r="H15" i="2"/>
  <c r="H17" i="2" s="1"/>
  <c r="H19" i="2" s="1"/>
  <c r="H21" i="2" s="1"/>
  <c r="H5" i="11" s="1"/>
  <c r="G21" i="36"/>
  <c r="G15" i="2"/>
  <c r="G17" i="2" s="1"/>
  <c r="G19" i="2" s="1"/>
  <c r="F21" i="36"/>
  <c r="J7" i="11"/>
  <c r="K7" i="11"/>
  <c r="I7" i="11"/>
  <c r="D10" i="31"/>
  <c r="C7" i="31"/>
  <c r="D7" i="31"/>
  <c r="F4" i="36" l="1"/>
  <c r="F7" i="36"/>
  <c r="F6" i="36"/>
  <c r="F8" i="36"/>
  <c r="I4" i="36"/>
  <c r="I6" i="36"/>
  <c r="I8" i="36"/>
  <c r="I7" i="36"/>
  <c r="G21" i="2"/>
  <c r="G24" i="2" s="1"/>
  <c r="J4" i="36"/>
  <c r="J7" i="36"/>
  <c r="J6" i="36"/>
  <c r="J8" i="36"/>
  <c r="G4" i="36"/>
  <c r="G8" i="36"/>
  <c r="G6" i="36"/>
  <c r="G7" i="36"/>
  <c r="H4" i="36"/>
  <c r="H8" i="36"/>
  <c r="H7" i="36"/>
  <c r="H6" i="36"/>
  <c r="J14" i="11"/>
  <c r="I14" i="11"/>
  <c r="K14" i="11"/>
  <c r="J23" i="2"/>
  <c r="J28" i="2"/>
  <c r="J24" i="2"/>
  <c r="K23" i="2"/>
  <c r="K24" i="2"/>
  <c r="K28" i="2"/>
  <c r="I23" i="2"/>
  <c r="I24" i="2"/>
  <c r="I28" i="2"/>
  <c r="H28" i="2"/>
  <c r="H23" i="2"/>
  <c r="H24" i="2"/>
  <c r="E10" i="31"/>
  <c r="E7" i="31"/>
  <c r="G23" i="2" l="1"/>
  <c r="G28" i="2"/>
  <c r="G5" i="11"/>
  <c r="G41" i="1"/>
  <c r="H41" i="1" s="1"/>
  <c r="H43" i="1" s="1"/>
  <c r="I32" i="11"/>
  <c r="I34" i="11" s="1"/>
  <c r="K32" i="11"/>
  <c r="K34" i="11" s="1"/>
  <c r="J32" i="11"/>
  <c r="J34" i="11" s="1"/>
  <c r="F10" i="31"/>
  <c r="F7" i="31"/>
  <c r="I41" i="1" l="1"/>
  <c r="J41" i="1" s="1"/>
  <c r="G43" i="1"/>
  <c r="H44" i="1"/>
  <c r="H6" i="1" s="1"/>
  <c r="H11" i="1" s="1"/>
  <c r="C8" i="31"/>
  <c r="C13" i="31" s="1"/>
  <c r="C15" i="31"/>
  <c r="G10" i="31"/>
  <c r="G7" i="31"/>
  <c r="I43" i="1" l="1"/>
  <c r="H20" i="36" s="1"/>
  <c r="K41" i="1"/>
  <c r="K43" i="1" s="1"/>
  <c r="J43" i="1"/>
  <c r="D15" i="31"/>
  <c r="D8" i="31"/>
  <c r="D13" i="31" s="1"/>
  <c r="C6" i="31"/>
  <c r="E15" i="31"/>
  <c r="E8" i="31"/>
  <c r="E13" i="31" s="1"/>
  <c r="I44" i="1" l="1"/>
  <c r="I6" i="1" s="1"/>
  <c r="I11" i="1" s="1"/>
  <c r="J20" i="36"/>
  <c r="I20" i="36"/>
  <c r="K44" i="1"/>
  <c r="K6" i="1" s="1"/>
  <c r="K11" i="1" s="1"/>
  <c r="J44" i="1"/>
  <c r="J6" i="1" s="1"/>
  <c r="J11" i="1" s="1"/>
  <c r="D6" i="31" l="1"/>
  <c r="F8" i="31"/>
  <c r="F13" i="31" s="1"/>
  <c r="F15" i="31"/>
  <c r="E6" i="31"/>
  <c r="G15" i="31" l="1"/>
  <c r="E11" i="31"/>
  <c r="E12" i="31" s="1"/>
  <c r="C28" i="31" s="1"/>
  <c r="G6" i="31" l="1"/>
  <c r="O14" i="31"/>
  <c r="O19" i="31" s="1"/>
  <c r="F6" i="31"/>
  <c r="G8" i="31"/>
  <c r="G13" i="31" s="1"/>
  <c r="E16" i="31"/>
  <c r="C38" i="31" s="1"/>
  <c r="F11" i="31"/>
  <c r="F12" i="31" l="1"/>
  <c r="C29" i="31" s="1"/>
  <c r="G11" i="31"/>
  <c r="G12" i="31" s="1"/>
  <c r="C30" i="31" s="1"/>
  <c r="F16" i="31" l="1"/>
  <c r="C39" i="31" s="1"/>
  <c r="G16" i="31"/>
  <c r="C40" i="31" s="1"/>
  <c r="C20" i="31"/>
  <c r="O20" i="31" l="1"/>
  <c r="O17" i="31" l="1"/>
  <c r="O21" i="31" s="1"/>
  <c r="D40" i="31"/>
  <c r="D38" i="31"/>
  <c r="D39" i="31"/>
  <c r="D30" i="31" l="1"/>
  <c r="D28" i="31"/>
  <c r="D29" i="31"/>
  <c r="C22" i="31"/>
  <c r="C23" i="31" s="1"/>
  <c r="C31" i="31" l="1"/>
  <c r="D31" i="31" s="1"/>
  <c r="C41" i="31"/>
  <c r="D41" i="31" s="1"/>
  <c r="G29" i="1" l="1"/>
  <c r="G13" i="11" s="1"/>
  <c r="G7" i="11" s="1"/>
  <c r="C11" i="31" l="1"/>
  <c r="C12" i="31" s="1"/>
  <c r="G14" i="11"/>
  <c r="G30" i="1"/>
  <c r="H13" i="11"/>
  <c r="H7" i="11" s="1"/>
  <c r="G32" i="11" l="1"/>
  <c r="G34" i="11" s="1"/>
  <c r="G37" i="1"/>
  <c r="D11" i="31"/>
  <c r="D12" i="31" s="1"/>
  <c r="H14" i="11"/>
  <c r="H32" i="11" s="1"/>
  <c r="H34" i="11" s="1"/>
  <c r="C26" i="31"/>
  <c r="D26" i="31" s="1"/>
  <c r="C16" i="31"/>
  <c r="C36" i="31" s="1"/>
  <c r="D36" i="31" s="1"/>
  <c r="F20" i="36" l="1"/>
  <c r="G20" i="36"/>
  <c r="D16" i="31"/>
  <c r="C37" i="31" s="1"/>
  <c r="D37" i="31" s="1"/>
  <c r="C42" i="31" s="1"/>
  <c r="M36" i="31" s="1"/>
  <c r="M38" i="31" s="1"/>
  <c r="C27" i="31"/>
  <c r="D27" i="31" s="1"/>
  <c r="C32" i="31" s="1"/>
  <c r="M26" i="31" s="1"/>
  <c r="M28" i="31" s="1"/>
  <c r="M30" i="31" s="1"/>
  <c r="G44" i="1"/>
  <c r="G6" i="1" s="1"/>
  <c r="G11" i="1" l="1"/>
  <c r="G27" i="11"/>
  <c r="G28" i="11" s="1"/>
  <c r="G30" i="11" s="1"/>
  <c r="H27" i="11" s="1"/>
  <c r="F19" i="36"/>
  <c r="F18" i="36"/>
  <c r="F45" i="31"/>
  <c r="M40" i="31"/>
  <c r="F17" i="36"/>
  <c r="G36" i="11" l="1"/>
  <c r="H29" i="11"/>
  <c r="H28" i="11"/>
  <c r="G19" i="36"/>
  <c r="G18" i="36"/>
  <c r="G22" i="1"/>
  <c r="H30" i="11" l="1"/>
  <c r="F10" i="36"/>
  <c r="F9" i="36"/>
  <c r="G46" i="1"/>
  <c r="G4" i="1"/>
  <c r="H36" i="11" l="1"/>
  <c r="I29" i="11"/>
  <c r="I27" i="11"/>
  <c r="I28" i="11" s="1"/>
  <c r="H19" i="36"/>
  <c r="H18" i="36"/>
  <c r="G17" i="36"/>
  <c r="F5" i="36"/>
  <c r="I18" i="36"/>
  <c r="H22" i="1"/>
  <c r="H17" i="36"/>
  <c r="I30" i="11" l="1"/>
  <c r="I19" i="36"/>
  <c r="G10" i="36"/>
  <c r="G9" i="36"/>
  <c r="J19" i="36"/>
  <c r="H4" i="1"/>
  <c r="H46" i="1"/>
  <c r="I22" i="1"/>
  <c r="I36" i="11" l="1"/>
  <c r="J27" i="11"/>
  <c r="J28" i="11" s="1"/>
  <c r="J29" i="11"/>
  <c r="H10" i="36"/>
  <c r="I46" i="1"/>
  <c r="J18" i="36"/>
  <c r="I17" i="36"/>
  <c r="G5" i="36"/>
  <c r="H9" i="36"/>
  <c r="I4" i="1"/>
  <c r="J22" i="1"/>
  <c r="J17" i="36"/>
  <c r="J30" i="11" l="1"/>
  <c r="J36" i="11" s="1"/>
  <c r="K29" i="11"/>
  <c r="K27" i="11"/>
  <c r="K28" i="11" s="1"/>
  <c r="H5" i="36"/>
  <c r="I9" i="36"/>
  <c r="I10" i="36"/>
  <c r="K22" i="1"/>
  <c r="J10" i="36" s="1"/>
  <c r="J4" i="1"/>
  <c r="J46" i="1"/>
  <c r="K30" i="11" l="1"/>
  <c r="K36" i="11" s="1"/>
  <c r="J9" i="36"/>
  <c r="J5" i="36" s="1"/>
  <c r="I5" i="36"/>
  <c r="K46" i="1"/>
  <c r="K4" i="1"/>
</calcChain>
</file>

<file path=xl/sharedStrings.xml><?xml version="1.0" encoding="utf-8"?>
<sst xmlns="http://schemas.openxmlformats.org/spreadsheetml/2006/main" count="350" uniqueCount="253">
  <si>
    <t>Cost of revenue</t>
  </si>
  <si>
    <t>Gross profit</t>
  </si>
  <si>
    <t>Operating expenses</t>
  </si>
  <si>
    <t>Sales, General and administrative</t>
  </si>
  <si>
    <t>Other operating expenses</t>
  </si>
  <si>
    <t>Total operating expenses</t>
  </si>
  <si>
    <t>Operating income</t>
  </si>
  <si>
    <t>Interest Expense</t>
  </si>
  <si>
    <t>Income before taxes</t>
  </si>
  <si>
    <t>Provision for income taxes</t>
  </si>
  <si>
    <t>Net income from continuing operations</t>
  </si>
  <si>
    <t>Net income</t>
  </si>
  <si>
    <t>Preferred dividend</t>
  </si>
  <si>
    <t>Net income available to common shareholders</t>
  </si>
  <si>
    <t>Earnings per share</t>
  </si>
  <si>
    <t>Basic</t>
  </si>
  <si>
    <t>Diluted</t>
  </si>
  <si>
    <t>EBITDA</t>
  </si>
  <si>
    <t>Total liabilities and stockholders' equity</t>
  </si>
  <si>
    <t>Total stockholders' equity</t>
  </si>
  <si>
    <t>Accumulated other comprehensive income</t>
  </si>
  <si>
    <t>Retained earnings</t>
  </si>
  <si>
    <t>Additional paid-in capital</t>
  </si>
  <si>
    <t>Common stock</t>
  </si>
  <si>
    <t>Stockholders' equity</t>
  </si>
  <si>
    <t>Total liabilities</t>
  </si>
  <si>
    <t>Total non-current liabilities</t>
  </si>
  <si>
    <t>Other long-term liabilities</t>
  </si>
  <si>
    <t>Minority interest</t>
  </si>
  <si>
    <t>Deferred taxes liabilities</t>
  </si>
  <si>
    <t>Long-term debt</t>
  </si>
  <si>
    <t>Non-current liabilities</t>
  </si>
  <si>
    <t>Total current liabilities</t>
  </si>
  <si>
    <t>Other current liabilities</t>
  </si>
  <si>
    <t>Accounts payable</t>
  </si>
  <si>
    <t>Short-term debt</t>
  </si>
  <si>
    <t>Current liabilities</t>
  </si>
  <si>
    <t>Liabilities</t>
  </si>
  <si>
    <t>Liabilities and stockholders' equity</t>
  </si>
  <si>
    <t>Total assets</t>
  </si>
  <si>
    <t>Total non-current assets</t>
  </si>
  <si>
    <t>Other long-term assets</t>
  </si>
  <si>
    <t>Intangible assets</t>
  </si>
  <si>
    <t>Net property, plant and equipment</t>
  </si>
  <si>
    <t>Accumulated Depreciation</t>
  </si>
  <si>
    <t>Gross property, plant and equipment</t>
  </si>
  <si>
    <t>Property, plant and equipment</t>
  </si>
  <si>
    <t>Non-current assets</t>
  </si>
  <si>
    <t>Total current assets</t>
  </si>
  <si>
    <t>Other current assets</t>
  </si>
  <si>
    <t>Prepaid expenses</t>
  </si>
  <si>
    <t>Inventories</t>
  </si>
  <si>
    <t>Receivables</t>
  </si>
  <si>
    <t>Cash and cash equivalents</t>
  </si>
  <si>
    <t>Current assets</t>
  </si>
  <si>
    <t>Assets</t>
  </si>
  <si>
    <t>Free cash flow</t>
  </si>
  <si>
    <t>Capital expenditure</t>
  </si>
  <si>
    <t>Operating cash flow</t>
  </si>
  <si>
    <t>Free Cash Flow</t>
  </si>
  <si>
    <t>Cash at end of period</t>
  </si>
  <si>
    <t>Cash at beginning of period</t>
  </si>
  <si>
    <t>Net change in cash</t>
  </si>
  <si>
    <t>Net cash provided by (used for) financing activities</t>
  </si>
  <si>
    <t>Other financing activities</t>
  </si>
  <si>
    <t>Dividend paid</t>
  </si>
  <si>
    <t>Cash Flows From Financing Activities</t>
  </si>
  <si>
    <t>Other investing activities</t>
  </si>
  <si>
    <t>Purchases of intangibles</t>
  </si>
  <si>
    <t>Purchases of investments</t>
  </si>
  <si>
    <t>Investments in property, plant, and equipment</t>
  </si>
  <si>
    <t>Cash Flows From Investing Activities</t>
  </si>
  <si>
    <t>Inventory</t>
  </si>
  <si>
    <t>Change in working capital</t>
  </si>
  <si>
    <t>Depreciation &amp; amortization</t>
  </si>
  <si>
    <t>Cash Flows From Operating Activities</t>
  </si>
  <si>
    <t>Accounts Payable</t>
  </si>
  <si>
    <t>Other Current Assets</t>
  </si>
  <si>
    <t>Accounts Receivable</t>
  </si>
  <si>
    <t>Goodwill</t>
    <phoneticPr fontId="19" type="noConversion"/>
  </si>
  <si>
    <t>Net income from discontinuing operations</t>
    <phoneticPr fontId="19" type="noConversion"/>
  </si>
  <si>
    <t>Fiscal year ends in March. INR in millions except per share data.</t>
    <phoneticPr fontId="19" type="noConversion"/>
  </si>
  <si>
    <t>Fiscal year ends in March. INR in millions except per share data.</t>
    <phoneticPr fontId="19" type="noConversion"/>
  </si>
  <si>
    <t>Weighted average shares outstanding in Millions</t>
  </si>
  <si>
    <t>Income Statement</t>
  </si>
  <si>
    <t xml:space="preserve">Balance Sheet </t>
  </si>
  <si>
    <t>Cash Flow Statement</t>
  </si>
  <si>
    <t>Research and Development</t>
  </si>
  <si>
    <t>Common Stock Issued</t>
  </si>
  <si>
    <t>Forecasted Values</t>
  </si>
  <si>
    <t>Assumptions Control Sheet</t>
  </si>
  <si>
    <t>Interest Rate on Long Term Debt</t>
  </si>
  <si>
    <t>Interest Rate on Short Term Debt</t>
  </si>
  <si>
    <t>Balance Sheet</t>
  </si>
  <si>
    <t>Other operating expenses as Percentage of Revenue</t>
  </si>
  <si>
    <t>Other long-term assets as Percentage of Revenue</t>
  </si>
  <si>
    <t xml:space="preserve">Corporate Tax Rate </t>
  </si>
  <si>
    <t>Accumulated other comprehensive income as Percentage of Revenue</t>
  </si>
  <si>
    <t>Free Cash Flow to Firm (FCFF) and Free Cash Flow to Equity (FCFE)</t>
  </si>
  <si>
    <t>Cost of Equity Calcuation using CAPM</t>
  </si>
  <si>
    <t>Net Income</t>
  </si>
  <si>
    <t>Risk Free Rate (5 year G-Sec)</t>
  </si>
  <si>
    <t>Depreciation and Amortization Charges</t>
  </si>
  <si>
    <t>Tax Rate</t>
  </si>
  <si>
    <t>Fixed Capital Investment</t>
  </si>
  <si>
    <t>Market Return Rm (Nifty 50 10 Year CAGR)</t>
  </si>
  <si>
    <t>Working Capital Investment</t>
  </si>
  <si>
    <t>Cost of Equity</t>
  </si>
  <si>
    <t>Free Cash Flow to Firm</t>
  </si>
  <si>
    <t xml:space="preserve">Cost of Debt </t>
  </si>
  <si>
    <t>Cost of Debt (Interest Expense/Total Debt)</t>
  </si>
  <si>
    <t>Increase in Debt</t>
  </si>
  <si>
    <t>Free Cash Flow to Equity</t>
  </si>
  <si>
    <t>Cost of Capital</t>
  </si>
  <si>
    <t>Terminal Value</t>
  </si>
  <si>
    <t>Cost of Debt</t>
  </si>
  <si>
    <t>Weight of Debt in Capital Structure</t>
  </si>
  <si>
    <t>Growth Rate</t>
  </si>
  <si>
    <t>WACC</t>
  </si>
  <si>
    <t xml:space="preserve">FV </t>
  </si>
  <si>
    <t>Discounted</t>
  </si>
  <si>
    <t>PV in INR Million</t>
  </si>
  <si>
    <t>No of Shares Outstanding (In Million)</t>
  </si>
  <si>
    <t>Intrinsic Value</t>
  </si>
  <si>
    <t>Present Value (PV)</t>
  </si>
  <si>
    <t>FCFF and FCFE Assumptions</t>
  </si>
  <si>
    <t>Perpetual Growth Rate</t>
  </si>
  <si>
    <t>Weight of Equity in Target Capital Structure</t>
  </si>
  <si>
    <t>FCFF Calculation</t>
  </si>
  <si>
    <t>FCFE Calculation</t>
  </si>
  <si>
    <t>Intrinsic Value of Share (FCFF Method)</t>
  </si>
  <si>
    <t>Intrinsic Value of Share (FCFE Method)</t>
  </si>
  <si>
    <t>Current Market Price of Share</t>
  </si>
  <si>
    <t>Current Market Price of the Share INR</t>
  </si>
  <si>
    <t>Current Discount/Premium</t>
  </si>
  <si>
    <t>Intrinsic Value of Shares in INR</t>
  </si>
  <si>
    <t>2022F</t>
  </si>
  <si>
    <t>2023F</t>
  </si>
  <si>
    <t>2024F</t>
  </si>
  <si>
    <t>2025F</t>
  </si>
  <si>
    <t>2026F</t>
  </si>
  <si>
    <t>Long Term Investments</t>
  </si>
  <si>
    <t>Source: Refinitiv Eikon</t>
  </si>
  <si>
    <t>Other Assets</t>
  </si>
  <si>
    <t>Other Operating Cash Flow</t>
  </si>
  <si>
    <t>Gross property, plant and equipment increases 2% per year because Tata Motors decrease their spending on factories to reach their "Net Zero Debt" plan</t>
  </si>
  <si>
    <t>Intangible assets as Percentage of Revenue+2% because of Tata new model of EVs every 2 years requires, patents, copyrights,…</t>
  </si>
  <si>
    <t>JLR-Diesel+Petrol</t>
  </si>
  <si>
    <t>JLR-EV</t>
  </si>
  <si>
    <t>Max units Tata</t>
  </si>
  <si>
    <t>Account receivable</t>
  </si>
  <si>
    <t>Receivable turnover</t>
  </si>
  <si>
    <t>Inventory turnover</t>
  </si>
  <si>
    <t>Days of inventory on hand (DOH)</t>
  </si>
  <si>
    <t>Account payable</t>
  </si>
  <si>
    <t>Payables turnover</t>
  </si>
  <si>
    <t>Days payable outstanding (DPO)</t>
  </si>
  <si>
    <t>Short Term Debt increase 2%</t>
  </si>
  <si>
    <t>Long Term Debt increase 2% as a portion of PP&amp;E</t>
  </si>
  <si>
    <t>Goodwill stay unchanged</t>
  </si>
  <si>
    <t>Long Term Investments as percentage of revenue</t>
  </si>
  <si>
    <t>Minority interest as percentage of revenue</t>
  </si>
  <si>
    <t>Other long-term liabilities as Percentage of Revenue</t>
  </si>
  <si>
    <t>Other income (net)</t>
  </si>
  <si>
    <t>Other income (net) as percentage of Revenue</t>
  </si>
  <si>
    <t>Provision for income tax as percentage of Revenue</t>
  </si>
  <si>
    <t>Common stock stay unchanged</t>
  </si>
  <si>
    <t>Additional paid-in capital stay unchanged</t>
  </si>
  <si>
    <t>Pre-paid expense</t>
  </si>
  <si>
    <t>Net debt</t>
  </si>
  <si>
    <t xml:space="preserve">Prepaid Expenses </t>
  </si>
  <si>
    <t>Other Current Assets/Revenue</t>
  </si>
  <si>
    <t>Prepaid Expenses/Revenue</t>
  </si>
  <si>
    <t>Deferred tax liabilities</t>
  </si>
  <si>
    <t>Deferred tax liabilities/Revenue</t>
  </si>
  <si>
    <t>Other Current Liabilities</t>
  </si>
  <si>
    <t>Other Current Liabilities/Revenue</t>
  </si>
  <si>
    <t>Asset side</t>
  </si>
  <si>
    <t>Liabilities side</t>
  </si>
  <si>
    <t>Liabilities and Equity side</t>
  </si>
  <si>
    <t>Assumptions</t>
  </si>
  <si>
    <t>Net cash provided by (used for) investing activities</t>
  </si>
  <si>
    <t>Net cash provided by (used for) operating activities</t>
  </si>
  <si>
    <t>Passenger vehicles-Diesel+Petrol</t>
  </si>
  <si>
    <t xml:space="preserve">Commercial vehicles-Dieslel+Petrol </t>
  </si>
  <si>
    <t>Increase modestly by 100 bps each year until 2023 due to:
- Tata Motors' current penatration is at its peak
- Big players (Maruti, Huyndai) enter the market since 2023</t>
  </si>
  <si>
    <t xml:space="preserve">Increase 900 bps in 2022 and stay unchanged due to: 
- Indian construction sector recovery
- Competition from other players (Suzuki, Huyndai)
</t>
  </si>
  <si>
    <t>Stays unchanged due to:
- Tata Motors is focusing on PV-EV
- Cost to build and operate an e-bus is twice as much as the normal one
- Infrastructure is not apt for e-vehicles to operate</t>
  </si>
  <si>
    <t xml:space="preserve">Increase to 15% in 2023 and stays unchanged due to: 
- Competition from the second largest player-Huyndai
- Demand recovers modestly, however inflation is surging up  </t>
  </si>
  <si>
    <t>Stays unchanged until 2023 and decrease 200 bps till 2026:
- Luxury car segment is expected to recover post COVID-19
- In the long run, affluent candidates will adopt to new EV mode</t>
  </si>
  <si>
    <t>Research and Development increase 10% each year due to Tata Motors' plan on expanding its EV business</t>
  </si>
  <si>
    <t>Sales, General and administrative increase 7% each year due to inflation</t>
  </si>
  <si>
    <t>Average COGS as Percentage of Revenue</t>
  </si>
  <si>
    <t>Increase modestly to 8.8% in 2023 and stay unchanged: 
- Tata Motors' plan on converting Jaguar 100% electrified
- But the shortage of semiconducts and higher input material may cause production to slow down</t>
  </si>
  <si>
    <t>Other Income statement' s elements</t>
  </si>
  <si>
    <t>Market Penetration</t>
  </si>
  <si>
    <t>Tata Motors' production capacity</t>
  </si>
  <si>
    <t>Commercial vehicles-EV</t>
  </si>
  <si>
    <t xml:space="preserve">Passenger vehicles-EV </t>
  </si>
  <si>
    <t>-Production recover 14% in 2022F calculated by the booking orders announced by Tata Motors
-Production increase slow down to 12% afterward due to inflation</t>
  </si>
  <si>
    <t>-Production increase modestly 1.7% per annum due to fierce competition</t>
  </si>
  <si>
    <t xml:space="preserve">-Production increase 12% per annum for Tata Motors to meet its plan </t>
  </si>
  <si>
    <t>-Production increase 30% per annum beacause luxury EV car segment is expanding rapidly in the short run</t>
  </si>
  <si>
    <t>-Production increase 9% per annum beacause luxury car segment is on the track of recovery to the pre COVID-19 production</t>
  </si>
  <si>
    <t>-Increase 30% per annum due to Government's plan on zero carbon emission in 2040</t>
  </si>
  <si>
    <r>
      <t>TAM units in segment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</si>
  <si>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2022F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</si>
  <si>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Average selling price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</t>
    </r>
  </si>
  <si>
    <r>
      <t>Estimated revenue per segment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</si>
  <si>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t>(1) Million INR</t>
  </si>
  <si>
    <t>(3) Estimated by using the real data from October-2022 report by Tata Motors, McKinsey, BCG</t>
  </si>
  <si>
    <t>(2) Total Addressable Market in base year 2021=Tata Motors' capacity in segment 2021/Tata Motors' market share in segment in India 2021</t>
  </si>
  <si>
    <t>Interest rate</t>
  </si>
  <si>
    <t>Historical Values</t>
  </si>
  <si>
    <t>Balance check</t>
  </si>
  <si>
    <t>Stock Beta (Ref: Refinitiv Eikon)</t>
  </si>
  <si>
    <t>Gross margin</t>
  </si>
  <si>
    <t>ROE DuPont</t>
  </si>
  <si>
    <t>EBIT/ Sales</t>
  </si>
  <si>
    <t>NI/EBT</t>
  </si>
  <si>
    <t>EBT / EBIT</t>
  </si>
  <si>
    <t>Assets turnover</t>
  </si>
  <si>
    <t>A/E</t>
  </si>
  <si>
    <t>Efficiency ratio</t>
  </si>
  <si>
    <t>Days of sales outstanding (DSO)</t>
  </si>
  <si>
    <t>Cash conversion cycle</t>
  </si>
  <si>
    <t>Liquidity ratio</t>
  </si>
  <si>
    <t>Current ratio</t>
  </si>
  <si>
    <t>Quick ratio</t>
  </si>
  <si>
    <t>Cash Ratio</t>
  </si>
  <si>
    <t>Interest coverage ratio</t>
  </si>
  <si>
    <t>Profitability ratio</t>
  </si>
  <si>
    <t>Net Profit margin</t>
  </si>
  <si>
    <t>D/E</t>
  </si>
  <si>
    <t>FINANCIAL RATIOS</t>
  </si>
  <si>
    <t>SUM('Revenue forecast'!M11:M16)</t>
  </si>
  <si>
    <t>to</t>
  </si>
  <si>
    <t>SUM('Revenue forecast'!M13:M16)</t>
  </si>
  <si>
    <t>(1) Mistake adjustment: adjust formula from</t>
  </si>
  <si>
    <r>
      <t>Revenue</t>
    </r>
    <r>
      <rPr>
        <b/>
        <vertAlign val="superscript"/>
        <sz val="11"/>
        <color theme="0"/>
        <rFont val="Calibri"/>
        <family val="2"/>
        <scheme val="minor"/>
      </rPr>
      <t>1</t>
    </r>
  </si>
  <si>
    <t>Adjust market return to 13%</t>
  </si>
  <si>
    <t>(1) Mistake adjustment:</t>
  </si>
  <si>
    <t>Adjust beta to 1.71</t>
  </si>
  <si>
    <r>
      <t>Risk Free Rate (5 year G-Sec)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</si>
  <si>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Stock Beta (Vs the Benchmark Index)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</si>
  <si>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 xml:space="preserve">Market Return Rm (Nifty 50 10 Year CAGR) 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</si>
  <si>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t>Omit the cashflow statement assumption because it is irrelavent</t>
  </si>
  <si>
    <t>Adjust risk-free rate to 7.2%</t>
  </si>
  <si>
    <t>Discrepancies adjustment</t>
  </si>
  <si>
    <t>11.65 EUR</t>
  </si>
  <si>
    <t xml:space="preserve"> Value of Shares at December 16th 2022 (in INR)</t>
  </si>
  <si>
    <t>5.28 EUR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</si>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</sst>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 * #,##0.00_ ;_ * \-#,##0.00_ ;_ * &quot;-&quot;??_ ;_ @_ "/>
    <numFmt numFmtId="165" formatCode="0.0%"/>
    <numFmt numFmtId="166" formatCode="_ * #,##0_ ;_ * \-#,##0_ ;_ * &quot;-&quot;??_ ;_ @_ "/>
    <numFmt numFmtId="167" formatCode="_-&quot;$&quot;* #,##0.00_-;\-&quot;$&quot;* #,##0.00_-;_-&quot;$&quot;* &quot;-&quot;??_-;_-@_-"/>
    <numFmt numFmtId="168" formatCode="0.0"/>
    <numFmt numFmtId="169" formatCode="[$-1010000]d/m/yy"/>
    <numFmt numFmtId="170" formatCode="0.000%"/>
    <numFmt numFmtId="171" formatCode="_(* #,##0_);_(* \(#,##0\);_(* &quot;-&quot;??_);_(@_)"/>
    <numFmt numFmtId="172" formatCode="_ * #,##0.000_ ;_ * \-#,##0.000_ ;_ * &quot;-&quot;??_ ;_ @_ 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  <family val="2"/>
    </font>
    <font>
      <sz val="9"/>
      <name val="Calibri"/>
      <family val="2"/>
      <charset val="136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rgb="FF0061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indexed="8"/>
      <name val="Verdana"/>
      <family val="2"/>
    </font>
    <font>
      <sz val="12"/>
      <color theme="1"/>
      <name val="Calibri"/>
      <family val="2"/>
      <charset val="134"/>
      <scheme val="minor"/>
    </font>
    <font>
      <sz val="15"/>
      <color rgb="FF282828"/>
      <name val="PT Serif script=all rev=5"/>
    </font>
    <font>
      <sz val="8"/>
      <name val="Calibri"/>
      <family val="2"/>
      <scheme val="minor"/>
    </font>
    <font>
      <sz val="12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vertAlign val="superscript"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rgb="FF0ABB38"/>
      </patternFill>
    </fill>
    <fill>
      <patternFill patternType="solid">
        <fgColor theme="5" tint="0.39997558519241921"/>
        <bgColor rgb="FFFFFFFF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18" fillId="36" borderId="10">
      <alignment horizontal="right"/>
    </xf>
    <xf numFmtId="164" fontId="1" fillId="0" borderId="0" applyFont="0" applyFill="0" applyBorder="0" applyAlignment="0" applyProtection="0"/>
    <xf numFmtId="0" fontId="37" fillId="0" borderId="0" applyNumberFormat="0" applyFill="0" applyBorder="0" applyProtection="0">
      <alignment vertical="top" wrapText="1"/>
    </xf>
    <xf numFmtId="9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43" fontId="38" fillId="0" borderId="0" applyFont="0" applyFill="0" applyBorder="0" applyAlignment="0" applyProtection="0"/>
  </cellStyleXfs>
  <cellXfs count="346">
    <xf numFmtId="0" fontId="0" fillId="0" borderId="0" xfId="0"/>
    <xf numFmtId="0" fontId="0" fillId="0" borderId="0" xfId="0" applyAlignment="1">
      <alignment horizontal="center"/>
    </xf>
    <xf numFmtId="0" fontId="0" fillId="0" borderId="16" xfId="0" applyBorder="1"/>
    <xf numFmtId="0" fontId="0" fillId="0" borderId="13" xfId="0" applyBorder="1"/>
    <xf numFmtId="0" fontId="0" fillId="0" borderId="15" xfId="0" applyBorder="1"/>
    <xf numFmtId="0" fontId="0" fillId="0" borderId="14" xfId="0" applyBorder="1"/>
    <xf numFmtId="0" fontId="0" fillId="0" borderId="22" xfId="0" applyBorder="1"/>
    <xf numFmtId="0" fontId="16" fillId="0" borderId="22" xfId="0" applyFont="1" applyBorder="1"/>
    <xf numFmtId="0" fontId="0" fillId="0" borderId="22" xfId="0" applyBorder="1" applyAlignment="1">
      <alignment vertical="center"/>
    </xf>
    <xf numFmtId="0" fontId="0" fillId="0" borderId="24" xfId="0" applyBorder="1"/>
    <xf numFmtId="0" fontId="23" fillId="0" borderId="22" xfId="0" applyFont="1" applyBorder="1"/>
    <xf numFmtId="0" fontId="26" fillId="0" borderId="22" xfId="0" applyFont="1" applyBorder="1"/>
    <xf numFmtId="0" fontId="27" fillId="0" borderId="22" xfId="0" applyFont="1" applyBorder="1"/>
    <xf numFmtId="0" fontId="0" fillId="0" borderId="15" xfId="0" applyBorder="1" applyAlignment="1">
      <alignment horizontal="center"/>
    </xf>
    <xf numFmtId="166" fontId="24" fillId="0" borderId="15" xfId="44" applyNumberFormat="1" applyFont="1" applyFill="1" applyBorder="1" applyAlignment="1">
      <alignment horizontal="center"/>
    </xf>
    <xf numFmtId="166" fontId="22" fillId="0" borderId="15" xfId="44" applyNumberFormat="1" applyFont="1" applyFill="1" applyBorder="1" applyAlignment="1">
      <alignment horizontal="center"/>
    </xf>
    <xf numFmtId="166" fontId="22" fillId="0" borderId="13" xfId="44" applyNumberFormat="1" applyFont="1" applyFill="1" applyBorder="1" applyAlignment="1">
      <alignment horizontal="center"/>
    </xf>
    <xf numFmtId="166" fontId="25" fillId="0" borderId="15" xfId="44" applyNumberFormat="1" applyFont="1" applyFill="1" applyBorder="1" applyAlignment="1">
      <alignment horizontal="center"/>
    </xf>
    <xf numFmtId="0" fontId="23" fillId="0" borderId="20" xfId="0" applyFont="1" applyBorder="1"/>
    <xf numFmtId="0" fontId="26" fillId="0" borderId="0" xfId="0" applyFont="1"/>
    <xf numFmtId="166" fontId="0" fillId="0" borderId="15" xfId="44" applyNumberFormat="1" applyFont="1" applyFill="1" applyBorder="1" applyAlignment="1">
      <alignment horizontal="center"/>
    </xf>
    <xf numFmtId="166" fontId="0" fillId="0" borderId="15" xfId="44" applyNumberFormat="1" applyFont="1" applyBorder="1"/>
    <xf numFmtId="166" fontId="0" fillId="0" borderId="15" xfId="44" applyNumberFormat="1" applyFont="1" applyFill="1" applyBorder="1"/>
    <xf numFmtId="166" fontId="0" fillId="0" borderId="16" xfId="44" applyNumberFormat="1" applyFont="1" applyBorder="1"/>
    <xf numFmtId="10" fontId="0" fillId="0" borderId="15" xfId="42" applyNumberFormat="1" applyFont="1" applyBorder="1" applyAlignment="1">
      <alignment horizontal="center"/>
    </xf>
    <xf numFmtId="164" fontId="0" fillId="0" borderId="0" xfId="0" applyNumberFormat="1"/>
    <xf numFmtId="10" fontId="0" fillId="0" borderId="23" xfId="42" applyNumberFormat="1" applyFont="1" applyBorder="1" applyAlignment="1">
      <alignment horizontal="center"/>
    </xf>
    <xf numFmtId="10" fontId="0" fillId="0" borderId="26" xfId="42" applyNumberFormat="1" applyFon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0" fontId="16" fillId="41" borderId="14" xfId="0" applyFont="1" applyFill="1" applyBorder="1" applyAlignment="1">
      <alignment horizontal="center"/>
    </xf>
    <xf numFmtId="0" fontId="0" fillId="0" borderId="18" xfId="0" applyBorder="1"/>
    <xf numFmtId="0" fontId="16" fillId="41" borderId="13" xfId="0" applyFont="1" applyFill="1" applyBorder="1" applyAlignment="1">
      <alignment horizontal="center"/>
    </xf>
    <xf numFmtId="0" fontId="21" fillId="0" borderId="0" xfId="0" applyFont="1" applyAlignment="1">
      <alignment horizontal="center" vertical="center" wrapText="1"/>
    </xf>
    <xf numFmtId="165" fontId="28" fillId="0" borderId="0" xfId="42" applyNumberFormat="1" applyFont="1" applyFill="1" applyBorder="1" applyAlignment="1">
      <alignment horizontal="center" vertical="center"/>
    </xf>
    <xf numFmtId="17" fontId="16" fillId="41" borderId="14" xfId="0" applyNumberFormat="1" applyFont="1" applyFill="1" applyBorder="1" applyAlignment="1">
      <alignment horizontal="center"/>
    </xf>
    <xf numFmtId="17" fontId="0" fillId="0" borderId="15" xfId="0" applyNumberFormat="1" applyBorder="1" applyAlignment="1">
      <alignment horizontal="left"/>
    </xf>
    <xf numFmtId="17" fontId="0" fillId="0" borderId="16" xfId="0" applyNumberFormat="1" applyBorder="1" applyAlignment="1">
      <alignment horizontal="left"/>
    </xf>
    <xf numFmtId="0" fontId="16" fillId="41" borderId="14" xfId="0" applyFont="1" applyFill="1" applyBorder="1"/>
    <xf numFmtId="17" fontId="0" fillId="0" borderId="14" xfId="0" applyNumberFormat="1" applyBorder="1" applyAlignment="1">
      <alignment horizontal="left"/>
    </xf>
    <xf numFmtId="17" fontId="0" fillId="0" borderId="18" xfId="0" applyNumberFormat="1" applyBorder="1" applyAlignment="1">
      <alignment horizontal="left"/>
    </xf>
    <xf numFmtId="17" fontId="0" fillId="0" borderId="22" xfId="0" applyNumberFormat="1" applyBorder="1" applyAlignment="1">
      <alignment horizontal="left"/>
    </xf>
    <xf numFmtId="17" fontId="0" fillId="0" borderId="24" xfId="0" applyNumberFormat="1" applyBorder="1" applyAlignment="1">
      <alignment horizontal="left"/>
    </xf>
    <xf numFmtId="0" fontId="16" fillId="41" borderId="25" xfId="0" applyFont="1" applyFill="1" applyBorder="1" applyAlignment="1">
      <alignment horizontal="center"/>
    </xf>
    <xf numFmtId="0" fontId="0" fillId="0" borderId="0" xfId="42" applyNumberFormat="1" applyFont="1"/>
    <xf numFmtId="166" fontId="24" fillId="0" borderId="22" xfId="44" applyNumberFormat="1" applyFont="1" applyFill="1" applyBorder="1" applyAlignment="1">
      <alignment horizontal="center"/>
    </xf>
    <xf numFmtId="0" fontId="16" fillId="0" borderId="0" xfId="0" applyFont="1"/>
    <xf numFmtId="17" fontId="16" fillId="39" borderId="16" xfId="0" applyNumberFormat="1" applyFont="1" applyFill="1" applyBorder="1" applyAlignment="1">
      <alignment horizontal="center"/>
    </xf>
    <xf numFmtId="1" fontId="20" fillId="35" borderId="16" xfId="0" applyNumberFormat="1" applyFont="1" applyFill="1" applyBorder="1" applyAlignment="1">
      <alignment horizontal="center"/>
    </xf>
    <xf numFmtId="166" fontId="0" fillId="0" borderId="0" xfId="0" applyNumberFormat="1"/>
    <xf numFmtId="0" fontId="32" fillId="33" borderId="18" xfId="0" applyFont="1" applyFill="1" applyBorder="1"/>
    <xf numFmtId="166" fontId="13" fillId="33" borderId="15" xfId="0" applyNumberFormat="1" applyFont="1" applyFill="1" applyBorder="1" applyAlignment="1">
      <alignment horizontal="center"/>
    </xf>
    <xf numFmtId="0" fontId="33" fillId="0" borderId="20" xfId="0" applyFont="1" applyBorder="1"/>
    <xf numFmtId="166" fontId="34" fillId="0" borderId="14" xfId="44" applyNumberFormat="1" applyFont="1" applyFill="1" applyBorder="1" applyAlignment="1">
      <alignment horizontal="center"/>
    </xf>
    <xf numFmtId="0" fontId="31" fillId="0" borderId="0" xfId="0" applyFont="1"/>
    <xf numFmtId="0" fontId="32" fillId="33" borderId="22" xfId="0" applyFont="1" applyFill="1" applyBorder="1"/>
    <xf numFmtId="166" fontId="35" fillId="33" borderId="14" xfId="44" applyNumberFormat="1" applyFont="1" applyFill="1" applyBorder="1" applyAlignment="1">
      <alignment horizontal="center"/>
    </xf>
    <xf numFmtId="166" fontId="35" fillId="33" borderId="18" xfId="44" applyNumberFormat="1" applyFont="1" applyFill="1" applyBorder="1" applyAlignment="1">
      <alignment horizontal="center"/>
    </xf>
    <xf numFmtId="0" fontId="13" fillId="0" borderId="0" xfId="0" applyFont="1"/>
    <xf numFmtId="166" fontId="0" fillId="0" borderId="0" xfId="0" applyNumberFormat="1" applyAlignment="1">
      <alignment horizontal="center"/>
    </xf>
    <xf numFmtId="4" fontId="0" fillId="0" borderId="0" xfId="0" applyNumberFormat="1"/>
    <xf numFmtId="166" fontId="24" fillId="0" borderId="0" xfId="44" applyNumberFormat="1" applyFont="1" applyFill="1" applyBorder="1" applyAlignment="1">
      <alignment horizontal="center"/>
    </xf>
    <xf numFmtId="0" fontId="36" fillId="0" borderId="0" xfId="0" applyFont="1"/>
    <xf numFmtId="166" fontId="0" fillId="0" borderId="23" xfId="0" applyNumberFormat="1" applyBorder="1"/>
    <xf numFmtId="166" fontId="0" fillId="0" borderId="15" xfId="0" applyNumberFormat="1" applyBorder="1"/>
    <xf numFmtId="0" fontId="0" fillId="0" borderId="2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9" fillId="0" borderId="0" xfId="0" applyFont="1"/>
    <xf numFmtId="0" fontId="0" fillId="0" borderId="0" xfId="0" applyAlignment="1">
      <alignment horizontal="right"/>
    </xf>
    <xf numFmtId="166" fontId="0" fillId="0" borderId="0" xfId="44" applyNumberFormat="1" applyFont="1"/>
    <xf numFmtId="0" fontId="41" fillId="34" borderId="12" xfId="45" applyFont="1" applyFill="1" applyBorder="1" applyAlignment="1" applyProtection="1">
      <alignment vertical="center"/>
    </xf>
    <xf numFmtId="166" fontId="24" fillId="0" borderId="15" xfId="0" applyNumberFormat="1" applyFont="1" applyBorder="1" applyAlignment="1">
      <alignment horizontal="center"/>
    </xf>
    <xf numFmtId="0" fontId="16" fillId="39" borderId="20" xfId="0" applyFont="1" applyFill="1" applyBorder="1"/>
    <xf numFmtId="0" fontId="16" fillId="39" borderId="17" xfId="0" applyFont="1" applyFill="1" applyBorder="1"/>
    <xf numFmtId="0" fontId="22" fillId="37" borderId="18" xfId="0" applyFont="1" applyFill="1" applyBorder="1" applyAlignment="1">
      <alignment vertical="center"/>
    </xf>
    <xf numFmtId="0" fontId="22" fillId="37" borderId="25" xfId="0" applyFont="1" applyFill="1" applyBorder="1" applyAlignment="1">
      <alignment vertical="center"/>
    </xf>
    <xf numFmtId="0" fontId="22" fillId="37" borderId="24" xfId="0" applyFont="1" applyFill="1" applyBorder="1" applyAlignment="1">
      <alignment vertical="center"/>
    </xf>
    <xf numFmtId="0" fontId="22" fillId="37" borderId="26" xfId="0" applyFont="1" applyFill="1" applyBorder="1" applyAlignment="1">
      <alignment vertical="center"/>
    </xf>
    <xf numFmtId="166" fontId="0" fillId="0" borderId="16" xfId="44" applyNumberFormat="1" applyFont="1" applyFill="1" applyBorder="1" applyAlignment="1">
      <alignment horizontal="center"/>
    </xf>
    <xf numFmtId="166" fontId="0" fillId="0" borderId="15" xfId="44" applyNumberFormat="1" applyFont="1" applyFill="1" applyBorder="1" applyAlignment="1">
      <alignment vertical="center"/>
    </xf>
    <xf numFmtId="0" fontId="16" fillId="44" borderId="22" xfId="0" applyFont="1" applyFill="1" applyBorder="1"/>
    <xf numFmtId="0" fontId="0" fillId="44" borderId="22" xfId="0" applyFill="1" applyBorder="1"/>
    <xf numFmtId="166" fontId="0" fillId="39" borderId="0" xfId="44" applyNumberFormat="1" applyFont="1" applyFill="1" applyBorder="1"/>
    <xf numFmtId="166" fontId="0" fillId="39" borderId="23" xfId="44" applyNumberFormat="1" applyFont="1" applyFill="1" applyBorder="1"/>
    <xf numFmtId="168" fontId="0" fillId="39" borderId="0" xfId="0" applyNumberFormat="1" applyFill="1"/>
    <xf numFmtId="168" fontId="0" fillId="39" borderId="23" xfId="0" applyNumberFormat="1" applyFill="1" applyBorder="1"/>
    <xf numFmtId="0" fontId="0" fillId="39" borderId="0" xfId="0" applyFill="1"/>
    <xf numFmtId="0" fontId="0" fillId="39" borderId="23" xfId="0" applyFill="1" applyBorder="1"/>
    <xf numFmtId="1" fontId="0" fillId="39" borderId="0" xfId="0" applyNumberFormat="1" applyFill="1"/>
    <xf numFmtId="1" fontId="0" fillId="39" borderId="23" xfId="0" applyNumberFormat="1" applyFill="1" applyBorder="1"/>
    <xf numFmtId="10" fontId="0" fillId="39" borderId="0" xfId="0" applyNumberFormat="1" applyFill="1"/>
    <xf numFmtId="10" fontId="0" fillId="39" borderId="23" xfId="0" applyNumberFormat="1" applyFill="1" applyBorder="1"/>
    <xf numFmtId="9" fontId="0" fillId="39" borderId="11" xfId="42" applyFont="1" applyFill="1" applyBorder="1"/>
    <xf numFmtId="9" fontId="0" fillId="39" borderId="26" xfId="42" applyFont="1" applyFill="1" applyBorder="1"/>
    <xf numFmtId="166" fontId="0" fillId="35" borderId="0" xfId="44" applyNumberFormat="1" applyFont="1" applyFill="1" applyBorder="1"/>
    <xf numFmtId="168" fontId="0" fillId="35" borderId="0" xfId="0" applyNumberFormat="1" applyFill="1"/>
    <xf numFmtId="0" fontId="0" fillId="35" borderId="0" xfId="0" applyFill="1"/>
    <xf numFmtId="1" fontId="0" fillId="35" borderId="0" xfId="0" applyNumberFormat="1" applyFill="1"/>
    <xf numFmtId="10" fontId="0" fillId="35" borderId="0" xfId="42" applyNumberFormat="1" applyFont="1" applyFill="1" applyBorder="1"/>
    <xf numFmtId="0" fontId="0" fillId="35" borderId="11" xfId="0" applyFill="1" applyBorder="1"/>
    <xf numFmtId="9" fontId="0" fillId="35" borderId="11" xfId="42" applyFont="1" applyFill="1" applyBorder="1"/>
    <xf numFmtId="0" fontId="13" fillId="33" borderId="22" xfId="0" applyFont="1" applyFill="1" applyBorder="1"/>
    <xf numFmtId="0" fontId="0" fillId="0" borderId="15" xfId="0" applyBorder="1" applyAlignment="1">
      <alignment wrapText="1"/>
    </xf>
    <xf numFmtId="10" fontId="0" fillId="0" borderId="16" xfId="42" applyNumberFormat="1" applyFont="1" applyBorder="1" applyAlignment="1">
      <alignment horizontal="center"/>
    </xf>
    <xf numFmtId="0" fontId="0" fillId="0" borderId="22" xfId="0" applyBorder="1" applyAlignment="1">
      <alignment wrapText="1"/>
    </xf>
    <xf numFmtId="166" fontId="16" fillId="0" borderId="15" xfId="44" applyNumberFormat="1" applyFont="1" applyFill="1" applyBorder="1" applyAlignment="1">
      <alignment horizontal="center"/>
    </xf>
    <xf numFmtId="166" fontId="1" fillId="0" borderId="15" xfId="44" applyNumberFormat="1" applyFont="1" applyFill="1" applyBorder="1" applyAlignment="1">
      <alignment horizontal="center"/>
    </xf>
    <xf numFmtId="165" fontId="0" fillId="0" borderId="0" xfId="42" applyNumberFormat="1" applyFont="1"/>
    <xf numFmtId="166" fontId="0" fillId="0" borderId="14" xfId="44" applyNumberFormat="1" applyFont="1" applyBorder="1" applyAlignment="1">
      <alignment horizontal="center"/>
    </xf>
    <xf numFmtId="166" fontId="0" fillId="0" borderId="15" xfId="44" applyNumberFormat="1" applyFont="1" applyBorder="1" applyAlignment="1">
      <alignment horizontal="center"/>
    </xf>
    <xf numFmtId="166" fontId="0" fillId="0" borderId="16" xfId="44" applyNumberFormat="1" applyFont="1" applyBorder="1" applyAlignment="1">
      <alignment horizontal="center"/>
    </xf>
    <xf numFmtId="166" fontId="0" fillId="0" borderId="19" xfId="44" applyNumberFormat="1" applyFont="1" applyBorder="1" applyAlignment="1">
      <alignment horizontal="center"/>
    </xf>
    <xf numFmtId="166" fontId="0" fillId="0" borderId="18" xfId="44" applyNumberFormat="1" applyFont="1" applyBorder="1" applyAlignment="1">
      <alignment horizontal="center"/>
    </xf>
    <xf numFmtId="166" fontId="0" fillId="0" borderId="22" xfId="44" applyNumberFormat="1" applyFont="1" applyBorder="1" applyAlignment="1">
      <alignment horizontal="center"/>
    </xf>
    <xf numFmtId="166" fontId="0" fillId="0" borderId="24" xfId="44" applyNumberFormat="1" applyFont="1" applyBorder="1" applyAlignment="1">
      <alignment horizontal="center"/>
    </xf>
    <xf numFmtId="166" fontId="0" fillId="0" borderId="0" xfId="44" applyNumberFormat="1" applyFont="1" applyAlignment="1">
      <alignment horizontal="center"/>
    </xf>
    <xf numFmtId="166" fontId="0" fillId="0" borderId="11" xfId="44" applyNumberFormat="1" applyFont="1" applyBorder="1" applyAlignment="1">
      <alignment horizontal="center"/>
    </xf>
    <xf numFmtId="0" fontId="41" fillId="34" borderId="0" xfId="45" applyFont="1" applyFill="1" applyBorder="1" applyAlignment="1" applyProtection="1">
      <alignment vertical="center"/>
    </xf>
    <xf numFmtId="0" fontId="16" fillId="0" borderId="24" xfId="0" applyFont="1" applyBorder="1"/>
    <xf numFmtId="1" fontId="0" fillId="0" borderId="15" xfId="0" applyNumberFormat="1" applyBorder="1" applyAlignment="1">
      <alignment horizontal="right"/>
    </xf>
    <xf numFmtId="166" fontId="0" fillId="0" borderId="16" xfId="44" applyNumberFormat="1" applyFont="1" applyBorder="1" applyAlignment="1">
      <alignment horizontal="right"/>
    </xf>
    <xf numFmtId="166" fontId="0" fillId="0" borderId="14" xfId="44" applyNumberFormat="1" applyFont="1" applyBorder="1" applyAlignment="1">
      <alignment horizontal="right"/>
    </xf>
    <xf numFmtId="166" fontId="0" fillId="0" borderId="15" xfId="44" applyNumberFormat="1" applyFont="1" applyBorder="1" applyAlignment="1">
      <alignment horizontal="right"/>
    </xf>
    <xf numFmtId="9" fontId="0" fillId="0" borderId="15" xfId="42" applyFont="1" applyFill="1" applyBorder="1" applyAlignment="1">
      <alignment horizontal="right"/>
    </xf>
    <xf numFmtId="166" fontId="0" fillId="0" borderId="0" xfId="44" applyNumberFormat="1" applyFont="1" applyAlignment="1"/>
    <xf numFmtId="10" fontId="0" fillId="0" borderId="0" xfId="42" applyNumberFormat="1" applyFont="1" applyBorder="1" applyAlignment="1">
      <alignment horizontal="center"/>
    </xf>
    <xf numFmtId="0" fontId="16" fillId="39" borderId="25" xfId="0" applyFont="1" applyFill="1" applyBorder="1"/>
    <xf numFmtId="0" fontId="0" fillId="0" borderId="22" xfId="0" applyBorder="1" applyAlignment="1">
      <alignment vertical="top" wrapText="1"/>
    </xf>
    <xf numFmtId="0" fontId="0" fillId="0" borderId="23" xfId="0" quotePrefix="1" applyBorder="1" applyAlignment="1">
      <alignment vertical="top" wrapText="1"/>
    </xf>
    <xf numFmtId="0" fontId="0" fillId="0" borderId="22" xfId="0" applyBorder="1" applyAlignment="1">
      <alignment vertical="top"/>
    </xf>
    <xf numFmtId="0" fontId="16" fillId="45" borderId="18" xfId="0" applyFont="1" applyFill="1" applyBorder="1"/>
    <xf numFmtId="0" fontId="16" fillId="45" borderId="25" xfId="0" applyFont="1" applyFill="1" applyBorder="1"/>
    <xf numFmtId="0" fontId="16" fillId="45" borderId="20" xfId="0" applyFont="1" applyFill="1" applyBorder="1"/>
    <xf numFmtId="0" fontId="16" fillId="45" borderId="17" xfId="0" applyFont="1" applyFill="1" applyBorder="1"/>
    <xf numFmtId="10" fontId="0" fillId="39" borderId="23" xfId="42" applyNumberFormat="1" applyFont="1" applyFill="1" applyBorder="1" applyAlignment="1">
      <alignment horizontal="center"/>
    </xf>
    <xf numFmtId="0" fontId="16" fillId="39" borderId="22" xfId="0" applyFont="1" applyFill="1" applyBorder="1"/>
    <xf numFmtId="0" fontId="16" fillId="39" borderId="22" xfId="0" applyFont="1" applyFill="1" applyBorder="1" applyAlignment="1">
      <alignment vertical="top" wrapText="1"/>
    </xf>
    <xf numFmtId="10" fontId="0" fillId="39" borderId="23" xfId="42" applyNumberFormat="1" applyFont="1" applyFill="1" applyBorder="1" applyAlignment="1">
      <alignment horizontal="center" vertical="top"/>
    </xf>
    <xf numFmtId="165" fontId="0" fillId="35" borderId="11" xfId="42" applyNumberFormat="1" applyFont="1" applyFill="1" applyBorder="1"/>
    <xf numFmtId="165" fontId="0" fillId="39" borderId="11" xfId="0" applyNumberFormat="1" applyFill="1" applyBorder="1"/>
    <xf numFmtId="165" fontId="0" fillId="39" borderId="26" xfId="0" applyNumberFormat="1" applyFill="1" applyBorder="1"/>
    <xf numFmtId="0" fontId="0" fillId="0" borderId="18" xfId="0" applyBorder="1" applyAlignment="1">
      <alignment vertical="top" wrapText="1"/>
    </xf>
    <xf numFmtId="0" fontId="0" fillId="0" borderId="25" xfId="0" quotePrefix="1" applyBorder="1" applyAlignment="1">
      <alignment vertical="top" wrapText="1"/>
    </xf>
    <xf numFmtId="0" fontId="0" fillId="0" borderId="23" xfId="0" quotePrefix="1" applyBorder="1" applyAlignment="1">
      <alignment vertical="top"/>
    </xf>
    <xf numFmtId="0" fontId="0" fillId="0" borderId="24" xfId="0" applyBorder="1" applyAlignment="1">
      <alignment vertical="top"/>
    </xf>
    <xf numFmtId="0" fontId="0" fillId="0" borderId="26" xfId="0" quotePrefix="1" applyBorder="1" applyAlignment="1">
      <alignment vertical="top" wrapText="1"/>
    </xf>
    <xf numFmtId="0" fontId="16" fillId="39" borderId="19" xfId="0" applyFont="1" applyFill="1" applyBorder="1"/>
    <xf numFmtId="0" fontId="16" fillId="39" borderId="19" xfId="0" applyFont="1" applyFill="1" applyBorder="1" applyAlignment="1">
      <alignment horizontal="right"/>
    </xf>
    <xf numFmtId="0" fontId="16" fillId="39" borderId="25" xfId="0" applyFont="1" applyFill="1" applyBorder="1" applyAlignment="1">
      <alignment horizontal="right"/>
    </xf>
    <xf numFmtId="9" fontId="0" fillId="0" borderId="0" xfId="0" applyNumberFormat="1"/>
    <xf numFmtId="9" fontId="0" fillId="0" borderId="23" xfId="0" applyNumberFormat="1" applyBorder="1"/>
    <xf numFmtId="10" fontId="0" fillId="0" borderId="0" xfId="0" applyNumberFormat="1"/>
    <xf numFmtId="165" fontId="0" fillId="0" borderId="0" xfId="0" applyNumberFormat="1"/>
    <xf numFmtId="165" fontId="0" fillId="0" borderId="23" xfId="0" applyNumberFormat="1" applyBorder="1"/>
    <xf numFmtId="10" fontId="0" fillId="0" borderId="11" xfId="0" applyNumberFormat="1" applyBorder="1"/>
    <xf numFmtId="10" fontId="0" fillId="0" borderId="26" xfId="0" applyNumberFormat="1" applyBorder="1"/>
    <xf numFmtId="0" fontId="16" fillId="39" borderId="19" xfId="0" applyFont="1" applyFill="1" applyBorder="1" applyAlignment="1">
      <alignment horizontal="center"/>
    </xf>
    <xf numFmtId="166" fontId="0" fillId="0" borderId="0" xfId="44" applyNumberFormat="1" applyFont="1" applyBorder="1"/>
    <xf numFmtId="166" fontId="0" fillId="0" borderId="23" xfId="44" applyNumberFormat="1" applyFont="1" applyBorder="1"/>
    <xf numFmtId="0" fontId="0" fillId="0" borderId="11" xfId="0" applyBorder="1"/>
    <xf numFmtId="166" fontId="0" fillId="0" borderId="11" xfId="44" applyNumberFormat="1" applyFont="1" applyBorder="1"/>
    <xf numFmtId="166" fontId="0" fillId="0" borderId="26" xfId="44" applyNumberFormat="1" applyFont="1" applyBorder="1"/>
    <xf numFmtId="0" fontId="16" fillId="0" borderId="0" xfId="0" applyFont="1" applyAlignment="1">
      <alignment horizontal="right"/>
    </xf>
    <xf numFmtId="0" fontId="16" fillId="0" borderId="23" xfId="0" applyFont="1" applyBorder="1" applyAlignment="1">
      <alignment horizontal="right"/>
    </xf>
    <xf numFmtId="0" fontId="16" fillId="0" borderId="22" xfId="0" applyFont="1" applyBorder="1" applyAlignment="1">
      <alignment wrapText="1"/>
    </xf>
    <xf numFmtId="9" fontId="16" fillId="0" borderId="16" xfId="0" applyNumberFormat="1" applyFont="1" applyBorder="1" applyAlignment="1">
      <alignment horizontal="center"/>
    </xf>
    <xf numFmtId="10" fontId="0" fillId="0" borderId="14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6" fillId="45" borderId="19" xfId="0" applyFont="1" applyFill="1" applyBorder="1"/>
    <xf numFmtId="9" fontId="16" fillId="0" borderId="14" xfId="0" applyNumberFormat="1" applyFont="1" applyBorder="1" applyAlignment="1">
      <alignment horizontal="center"/>
    </xf>
    <xf numFmtId="1" fontId="20" fillId="35" borderId="19" xfId="0" applyNumberFormat="1" applyFont="1" applyFill="1" applyBorder="1" applyAlignment="1">
      <alignment horizontal="center"/>
    </xf>
    <xf numFmtId="17" fontId="16" fillId="39" borderId="19" xfId="0" applyNumberFormat="1" applyFont="1" applyFill="1" applyBorder="1" applyAlignment="1">
      <alignment horizontal="center"/>
    </xf>
    <xf numFmtId="17" fontId="16" fillId="39" borderId="25" xfId="0" applyNumberFormat="1" applyFont="1" applyFill="1" applyBorder="1" applyAlignment="1">
      <alignment horizontal="center"/>
    </xf>
    <xf numFmtId="0" fontId="32" fillId="33" borderId="13" xfId="0" applyFont="1" applyFill="1" applyBorder="1" applyAlignment="1">
      <alignment horizontal="center"/>
    </xf>
    <xf numFmtId="0" fontId="33" fillId="0" borderId="22" xfId="0" applyFont="1" applyBorder="1"/>
    <xf numFmtId="166" fontId="34" fillId="0" borderId="21" xfId="44" applyNumberFormat="1" applyFont="1" applyFill="1" applyBorder="1" applyAlignment="1">
      <alignment horizontal="center"/>
    </xf>
    <xf numFmtId="0" fontId="13" fillId="33" borderId="22" xfId="0" applyFont="1" applyFill="1" applyBorder="1" applyAlignment="1">
      <alignment horizontal="left"/>
    </xf>
    <xf numFmtId="166" fontId="13" fillId="33" borderId="14" xfId="44" applyNumberFormat="1" applyFont="1" applyFill="1" applyBorder="1" applyAlignment="1">
      <alignment horizontal="center"/>
    </xf>
    <xf numFmtId="166" fontId="13" fillId="33" borderId="15" xfId="44" applyNumberFormat="1" applyFont="1" applyFill="1" applyBorder="1" applyAlignment="1">
      <alignment horizontal="center"/>
    </xf>
    <xf numFmtId="0" fontId="13" fillId="33" borderId="18" xfId="0" applyFont="1" applyFill="1" applyBorder="1" applyAlignment="1">
      <alignment horizontal="center"/>
    </xf>
    <xf numFmtId="0" fontId="17" fillId="33" borderId="14" xfId="0" applyFont="1" applyFill="1" applyBorder="1" applyAlignment="1">
      <alignment horizontal="center"/>
    </xf>
    <xf numFmtId="0" fontId="17" fillId="33" borderId="15" xfId="0" applyFont="1" applyFill="1" applyBorder="1" applyAlignment="1">
      <alignment horizontal="center"/>
    </xf>
    <xf numFmtId="0" fontId="13" fillId="33" borderId="22" xfId="0" applyFont="1" applyFill="1" applyBorder="1" applyAlignment="1">
      <alignment horizontal="center"/>
    </xf>
    <xf numFmtId="166" fontId="17" fillId="33" borderId="15" xfId="44" applyNumberFormat="1" applyFont="1" applyFill="1" applyBorder="1" applyAlignment="1">
      <alignment horizontal="center"/>
    </xf>
    <xf numFmtId="0" fontId="16" fillId="42" borderId="18" xfId="0" applyFont="1" applyFill="1" applyBorder="1"/>
    <xf numFmtId="166" fontId="16" fillId="42" borderId="14" xfId="44" applyNumberFormat="1" applyFont="1" applyFill="1" applyBorder="1" applyAlignment="1">
      <alignment horizontal="right"/>
    </xf>
    <xf numFmtId="0" fontId="16" fillId="40" borderId="20" xfId="0" applyFont="1" applyFill="1" applyBorder="1"/>
    <xf numFmtId="166" fontId="16" fillId="40" borderId="13" xfId="44" applyNumberFormat="1" applyFont="1" applyFill="1" applyBorder="1" applyAlignment="1">
      <alignment horizontal="right"/>
    </xf>
    <xf numFmtId="0" fontId="16" fillId="37" borderId="16" xfId="0" applyFont="1" applyFill="1" applyBorder="1"/>
    <xf numFmtId="166" fontId="16" fillId="0" borderId="0" xfId="44" applyNumberFormat="1" applyFont="1" applyFill="1" applyBorder="1" applyAlignment="1">
      <alignment horizontal="center"/>
    </xf>
    <xf numFmtId="0" fontId="22" fillId="35" borderId="20" xfId="0" applyFont="1" applyFill="1" applyBorder="1" applyAlignment="1">
      <alignment horizontal="center" vertical="center"/>
    </xf>
    <xf numFmtId="0" fontId="43" fillId="35" borderId="24" xfId="0" applyFont="1" applyFill="1" applyBorder="1"/>
    <xf numFmtId="0" fontId="44" fillId="0" borderId="27" xfId="0" applyFont="1" applyBorder="1"/>
    <xf numFmtId="170" fontId="0" fillId="0" borderId="0" xfId="0" applyNumberFormat="1"/>
    <xf numFmtId="171" fontId="0" fillId="0" borderId="0" xfId="0" applyNumberFormat="1"/>
    <xf numFmtId="0" fontId="44" fillId="0" borderId="0" xfId="0" applyFont="1"/>
    <xf numFmtId="0" fontId="16" fillId="35" borderId="18" xfId="0" applyFont="1" applyFill="1" applyBorder="1"/>
    <xf numFmtId="9" fontId="0" fillId="0" borderId="0" xfId="42" applyFont="1" applyBorder="1"/>
    <xf numFmtId="9" fontId="0" fillId="0" borderId="23" xfId="42" applyFont="1" applyBorder="1"/>
    <xf numFmtId="0" fontId="21" fillId="35" borderId="18" xfId="0" applyFont="1" applyFill="1" applyBorder="1"/>
    <xf numFmtId="0" fontId="21" fillId="47" borderId="18" xfId="0" applyFont="1" applyFill="1" applyBorder="1"/>
    <xf numFmtId="1" fontId="16" fillId="35" borderId="19" xfId="0" applyNumberFormat="1" applyFont="1" applyFill="1" applyBorder="1" applyAlignment="1">
      <alignment horizontal="center"/>
    </xf>
    <xf numFmtId="0" fontId="13" fillId="46" borderId="22" xfId="0" applyFont="1" applyFill="1" applyBorder="1" applyAlignment="1">
      <alignment horizontal="left"/>
    </xf>
    <xf numFmtId="0" fontId="0" fillId="33" borderId="0" xfId="0" applyFill="1"/>
    <xf numFmtId="0" fontId="0" fillId="33" borderId="23" xfId="0" applyFill="1" applyBorder="1"/>
    <xf numFmtId="169" fontId="0" fillId="0" borderId="22" xfId="0" applyNumberFormat="1" applyBorder="1"/>
    <xf numFmtId="1" fontId="0" fillId="0" borderId="0" xfId="0" applyNumberFormat="1"/>
    <xf numFmtId="1" fontId="0" fillId="0" borderId="23" xfId="0" applyNumberFormat="1" applyBorder="1"/>
    <xf numFmtId="4" fontId="0" fillId="0" borderId="22" xfId="0" applyNumberFormat="1" applyBorder="1"/>
    <xf numFmtId="4" fontId="13" fillId="46" borderId="22" xfId="0" applyNumberFormat="1" applyFont="1" applyFill="1" applyBorder="1" applyAlignment="1">
      <alignment horizontal="left"/>
    </xf>
    <xf numFmtId="168" fontId="0" fillId="0" borderId="0" xfId="0" applyNumberFormat="1"/>
    <xf numFmtId="168" fontId="0" fillId="0" borderId="23" xfId="0" applyNumberFormat="1" applyBorder="1"/>
    <xf numFmtId="4" fontId="0" fillId="0" borderId="24" xfId="0" applyNumberFormat="1" applyBorder="1"/>
    <xf numFmtId="168" fontId="0" fillId="0" borderId="11" xfId="0" applyNumberFormat="1" applyBorder="1"/>
    <xf numFmtId="168" fontId="0" fillId="0" borderId="26" xfId="0" applyNumberFormat="1" applyBorder="1"/>
    <xf numFmtId="1" fontId="0" fillId="0" borderId="0" xfId="42" applyNumberFormat="1" applyFont="1"/>
    <xf numFmtId="1" fontId="0" fillId="0" borderId="0" xfId="44" applyNumberFormat="1" applyFont="1"/>
    <xf numFmtId="0" fontId="16" fillId="48" borderId="0" xfId="0" applyFont="1" applyFill="1"/>
    <xf numFmtId="0" fontId="0" fillId="48" borderId="0" xfId="0" applyFill="1"/>
    <xf numFmtId="168" fontId="0" fillId="0" borderId="0" xfId="42" applyNumberFormat="1" applyFont="1" applyBorder="1"/>
    <xf numFmtId="168" fontId="0" fillId="0" borderId="23" xfId="42" applyNumberFormat="1" applyFont="1" applyBorder="1"/>
    <xf numFmtId="0" fontId="0" fillId="0" borderId="19" xfId="0" applyBorder="1"/>
    <xf numFmtId="10" fontId="0" fillId="0" borderId="19" xfId="42" applyNumberFormat="1" applyFont="1" applyBorder="1" applyAlignment="1">
      <alignment horizontal="center"/>
    </xf>
    <xf numFmtId="0" fontId="16" fillId="48" borderId="0" xfId="0" applyFont="1" applyFill="1" applyAlignment="1">
      <alignment wrapText="1"/>
    </xf>
    <xf numFmtId="10" fontId="16" fillId="0" borderId="15" xfId="0" applyNumberFormat="1" applyFont="1" applyBorder="1" applyAlignment="1">
      <alignment horizontal="center"/>
    </xf>
    <xf numFmtId="0" fontId="16" fillId="0" borderId="22" xfId="0" applyFont="1" applyBorder="1" applyAlignment="1">
      <alignment horizontal="left"/>
    </xf>
    <xf numFmtId="0" fontId="16" fillId="0" borderId="15" xfId="0" applyFont="1" applyBorder="1" applyAlignment="1">
      <alignment horizontal="center"/>
    </xf>
    <xf numFmtId="166" fontId="16" fillId="0" borderId="15" xfId="44" applyNumberFormat="1" applyFont="1" applyBorder="1"/>
    <xf numFmtId="172" fontId="0" fillId="0" borderId="13" xfId="0" applyNumberFormat="1" applyBorder="1"/>
    <xf numFmtId="0" fontId="16" fillId="39" borderId="19" xfId="0" applyFont="1" applyFill="1" applyBorder="1" applyAlignment="1">
      <alignment horizontal="center"/>
    </xf>
    <xf numFmtId="0" fontId="16" fillId="39" borderId="25" xfId="0" applyFont="1" applyFill="1" applyBorder="1" applyAlignment="1">
      <alignment horizontal="center"/>
    </xf>
    <xf numFmtId="0" fontId="22" fillId="39" borderId="20" xfId="0" applyFont="1" applyFill="1" applyBorder="1" applyAlignment="1">
      <alignment horizontal="center" vertical="center"/>
    </xf>
    <xf numFmtId="0" fontId="22" fillId="39" borderId="21" xfId="0" applyFont="1" applyFill="1" applyBorder="1" applyAlignment="1">
      <alignment horizontal="center" vertical="center"/>
    </xf>
    <xf numFmtId="0" fontId="22" fillId="39" borderId="17" xfId="0" applyFont="1" applyFill="1" applyBorder="1" applyAlignment="1">
      <alignment horizontal="center" vertical="center"/>
    </xf>
    <xf numFmtId="0" fontId="22" fillId="45" borderId="22" xfId="0" applyFont="1" applyFill="1" applyBorder="1" applyAlignment="1">
      <alignment horizontal="center" vertical="center"/>
    </xf>
    <xf numFmtId="0" fontId="22" fillId="45" borderId="11" xfId="0" applyFont="1" applyFill="1" applyBorder="1" applyAlignment="1">
      <alignment horizontal="center" vertical="center"/>
    </xf>
    <xf numFmtId="0" fontId="22" fillId="35" borderId="21" xfId="0" applyFont="1" applyFill="1" applyBorder="1" applyAlignment="1">
      <alignment horizontal="center" vertical="center"/>
    </xf>
    <xf numFmtId="0" fontId="22" fillId="35" borderId="17" xfId="0" applyFont="1" applyFill="1" applyBorder="1" applyAlignment="1">
      <alignment horizontal="center" vertical="center"/>
    </xf>
    <xf numFmtId="0" fontId="23" fillId="45" borderId="0" xfId="0" applyFont="1" applyFill="1" applyAlignment="1">
      <alignment horizontal="center" vertical="center"/>
    </xf>
    <xf numFmtId="0" fontId="23" fillId="45" borderId="11" xfId="0" applyFont="1" applyFill="1" applyBorder="1" applyAlignment="1">
      <alignment horizontal="center" vertical="center"/>
    </xf>
    <xf numFmtId="0" fontId="23" fillId="45" borderId="26" xfId="0" applyFont="1" applyFill="1" applyBorder="1" applyAlignment="1">
      <alignment horizontal="center" vertical="center"/>
    </xf>
    <xf numFmtId="0" fontId="22" fillId="45" borderId="0" xfId="0" applyFont="1" applyFill="1" applyAlignment="1">
      <alignment horizontal="center" vertical="center"/>
    </xf>
    <xf numFmtId="0" fontId="22" fillId="45" borderId="23" xfId="0" applyFont="1" applyFill="1" applyBorder="1" applyAlignment="1">
      <alignment horizontal="center" vertical="center"/>
    </xf>
    <xf numFmtId="0" fontId="23" fillId="45" borderId="18" xfId="0" applyFont="1" applyFill="1" applyBorder="1" applyAlignment="1">
      <alignment horizontal="center" vertical="center"/>
    </xf>
    <xf numFmtId="0" fontId="23" fillId="45" borderId="19" xfId="0" applyFont="1" applyFill="1" applyBorder="1" applyAlignment="1">
      <alignment horizontal="center" vertical="center"/>
    </xf>
    <xf numFmtId="0" fontId="23" fillId="45" borderId="24" xfId="0" applyFont="1" applyFill="1" applyBorder="1" applyAlignment="1">
      <alignment horizontal="center" vertical="center"/>
    </xf>
    <xf numFmtId="0" fontId="16" fillId="41" borderId="18" xfId="0" applyFont="1" applyFill="1" applyBorder="1" applyAlignment="1">
      <alignment horizontal="center"/>
    </xf>
    <xf numFmtId="0" fontId="16" fillId="41" borderId="19" xfId="0" applyFont="1" applyFill="1" applyBorder="1" applyAlignment="1">
      <alignment horizontal="center"/>
    </xf>
    <xf numFmtId="0" fontId="16" fillId="41" borderId="25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0" fontId="0" fillId="0" borderId="18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23" xfId="0" applyNumberFormat="1" applyBorder="1" applyAlignment="1">
      <alignment horizontal="center"/>
    </xf>
    <xf numFmtId="10" fontId="0" fillId="0" borderId="24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6" xfId="0" applyBorder="1" applyAlignment="1">
      <alignment horizontal="center"/>
    </xf>
    <xf numFmtId="0" fontId="16" fillId="43" borderId="20" xfId="0" applyFont="1" applyFill="1" applyBorder="1" applyAlignment="1">
      <alignment horizontal="center"/>
    </xf>
    <xf numFmtId="0" fontId="16" fillId="43" borderId="21" xfId="0" applyFont="1" applyFill="1" applyBorder="1" applyAlignment="1">
      <alignment horizontal="center"/>
    </xf>
    <xf numFmtId="10" fontId="16" fillId="43" borderId="20" xfId="0" applyNumberFormat="1" applyFont="1" applyFill="1" applyBorder="1" applyAlignment="1">
      <alignment horizontal="center"/>
    </xf>
    <xf numFmtId="0" fontId="16" fillId="43" borderId="17" xfId="0" applyFont="1" applyFill="1" applyBorder="1" applyAlignment="1">
      <alignment horizontal="center"/>
    </xf>
    <xf numFmtId="0" fontId="0" fillId="38" borderId="20" xfId="0" applyFill="1" applyBorder="1" applyAlignment="1">
      <alignment horizontal="center"/>
    </xf>
    <xf numFmtId="0" fontId="0" fillId="38" borderId="21" xfId="0" applyFill="1" applyBorder="1" applyAlignment="1">
      <alignment horizontal="center"/>
    </xf>
    <xf numFmtId="10" fontId="16" fillId="38" borderId="20" xfId="0" applyNumberFormat="1" applyFont="1" applyFill="1" applyBorder="1" applyAlignment="1">
      <alignment horizontal="center"/>
    </xf>
    <xf numFmtId="0" fontId="16" fillId="38" borderId="21" xfId="0" applyFont="1" applyFill="1" applyBorder="1" applyAlignment="1">
      <alignment horizontal="center"/>
    </xf>
    <xf numFmtId="0" fontId="16" fillId="38" borderId="17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10" fontId="0" fillId="0" borderId="22" xfId="42" applyNumberFormat="1" applyFont="1" applyBorder="1" applyAlignment="1">
      <alignment horizontal="center" vertical="center"/>
    </xf>
    <xf numFmtId="10" fontId="0" fillId="0" borderId="0" xfId="42" applyNumberFormat="1" applyFont="1" applyBorder="1" applyAlignment="1">
      <alignment horizontal="center" vertical="center"/>
    </xf>
    <xf numFmtId="10" fontId="0" fillId="0" borderId="23" xfId="42" applyNumberFormat="1" applyFont="1" applyBorder="1" applyAlignment="1">
      <alignment horizontal="center" vertical="center"/>
    </xf>
    <xf numFmtId="0" fontId="16" fillId="41" borderId="20" xfId="0" applyFont="1" applyFill="1" applyBorder="1" applyAlignment="1">
      <alignment horizontal="center"/>
    </xf>
    <xf numFmtId="0" fontId="16" fillId="41" borderId="21" xfId="0" applyFont="1" applyFill="1" applyBorder="1" applyAlignment="1">
      <alignment horizontal="center"/>
    </xf>
    <xf numFmtId="0" fontId="16" fillId="41" borderId="17" xfId="0" applyFont="1" applyFill="1" applyBorder="1" applyAlignment="1">
      <alignment horizontal="center"/>
    </xf>
    <xf numFmtId="10" fontId="0" fillId="0" borderId="2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10" fontId="0" fillId="0" borderId="11" xfId="42" applyNumberFormat="1" applyFont="1" applyBorder="1" applyAlignment="1">
      <alignment horizontal="right"/>
    </xf>
    <xf numFmtId="10" fontId="0" fillId="0" borderId="26" xfId="42" applyNumberFormat="1" applyFont="1" applyBorder="1" applyAlignment="1">
      <alignment horizontal="right"/>
    </xf>
    <xf numFmtId="166" fontId="0" fillId="0" borderId="20" xfId="44" applyNumberFormat="1" applyFont="1" applyBorder="1" applyAlignment="1">
      <alignment horizontal="right"/>
    </xf>
    <xf numFmtId="166" fontId="0" fillId="0" borderId="21" xfId="44" applyNumberFormat="1" applyFont="1" applyBorder="1" applyAlignment="1">
      <alignment horizontal="right"/>
    </xf>
    <xf numFmtId="166" fontId="0" fillId="0" borderId="17" xfId="44" applyNumberFormat="1" applyFont="1" applyBorder="1" applyAlignment="1">
      <alignment horizontal="right"/>
    </xf>
    <xf numFmtId="166" fontId="0" fillId="0" borderId="19" xfId="44" applyNumberFormat="1" applyFont="1" applyBorder="1" applyAlignment="1">
      <alignment horizontal="right"/>
    </xf>
    <xf numFmtId="166" fontId="0" fillId="0" borderId="25" xfId="44" applyNumberFormat="1" applyFont="1" applyBorder="1" applyAlignment="1">
      <alignment horizontal="right"/>
    </xf>
    <xf numFmtId="0" fontId="0" fillId="0" borderId="24" xfId="0" applyBorder="1" applyAlignment="1">
      <alignment horizontal="center"/>
    </xf>
    <xf numFmtId="10" fontId="0" fillId="0" borderId="24" xfId="42" applyNumberFormat="1" applyFont="1" applyBorder="1" applyAlignment="1">
      <alignment horizontal="center" vertical="center"/>
    </xf>
    <xf numFmtId="10" fontId="0" fillId="0" borderId="11" xfId="42" applyNumberFormat="1" applyFont="1" applyBorder="1" applyAlignment="1">
      <alignment horizontal="center" vertical="center"/>
    </xf>
    <xf numFmtId="10" fontId="0" fillId="0" borderId="26" xfId="42" applyNumberFormat="1" applyFont="1" applyBorder="1" applyAlignment="1">
      <alignment horizontal="center" vertical="center"/>
    </xf>
    <xf numFmtId="10" fontId="0" fillId="0" borderId="22" xfId="42" applyNumberFormat="1" applyFont="1" applyBorder="1" applyAlignment="1">
      <alignment horizontal="right"/>
    </xf>
    <xf numFmtId="10" fontId="0" fillId="0" borderId="0" xfId="42" applyNumberFormat="1" applyFont="1" applyBorder="1" applyAlignment="1">
      <alignment horizontal="right"/>
    </xf>
    <xf numFmtId="10" fontId="0" fillId="0" borderId="23" xfId="42" applyNumberFormat="1" applyFont="1" applyBorder="1" applyAlignment="1">
      <alignment horizontal="right"/>
    </xf>
    <xf numFmtId="0" fontId="16" fillId="42" borderId="20" xfId="0" applyFont="1" applyFill="1" applyBorder="1" applyAlignment="1">
      <alignment horizontal="center"/>
    </xf>
    <xf numFmtId="0" fontId="16" fillId="42" borderId="21" xfId="0" applyFont="1" applyFill="1" applyBorder="1" applyAlignment="1">
      <alignment horizontal="center"/>
    </xf>
    <xf numFmtId="10" fontId="16" fillId="42" borderId="20" xfId="0" applyNumberFormat="1" applyFont="1" applyFill="1" applyBorder="1" applyAlignment="1">
      <alignment horizontal="center"/>
    </xf>
    <xf numFmtId="10" fontId="16" fillId="42" borderId="21" xfId="0" applyNumberFormat="1" applyFont="1" applyFill="1" applyBorder="1" applyAlignment="1">
      <alignment horizontal="center"/>
    </xf>
    <xf numFmtId="10" fontId="16" fillId="42" borderId="17" xfId="0" applyNumberFormat="1" applyFont="1" applyFill="1" applyBorder="1" applyAlignment="1">
      <alignment horizontal="center"/>
    </xf>
    <xf numFmtId="166" fontId="16" fillId="37" borderId="24" xfId="44" applyNumberFormat="1" applyFont="1" applyFill="1" applyBorder="1" applyAlignment="1">
      <alignment horizontal="center"/>
    </xf>
    <xf numFmtId="166" fontId="16" fillId="37" borderId="26" xfId="44" applyNumberFormat="1" applyFont="1" applyFill="1" applyBorder="1" applyAlignment="1">
      <alignment horizontal="center"/>
    </xf>
    <xf numFmtId="9" fontId="1" fillId="0" borderId="21" xfId="42" applyFont="1" applyBorder="1" applyAlignment="1">
      <alignment horizontal="right"/>
    </xf>
    <xf numFmtId="9" fontId="1" fillId="0" borderId="17" xfId="42" applyFont="1" applyBorder="1" applyAlignment="1">
      <alignment horizontal="right"/>
    </xf>
    <xf numFmtId="166" fontId="0" fillId="0" borderId="0" xfId="44" applyNumberFormat="1" applyFont="1" applyBorder="1" applyAlignment="1">
      <alignment horizontal="center"/>
    </xf>
    <xf numFmtId="166" fontId="0" fillId="0" borderId="23" xfId="44" applyNumberFormat="1" applyFont="1" applyBorder="1" applyAlignment="1">
      <alignment horizontal="center"/>
    </xf>
    <xf numFmtId="166" fontId="0" fillId="0" borderId="19" xfId="44" applyNumberFormat="1" applyFont="1" applyBorder="1" applyAlignment="1">
      <alignment horizontal="center"/>
    </xf>
    <xf numFmtId="166" fontId="0" fillId="0" borderId="25" xfId="44" applyNumberFormat="1" applyFont="1" applyBorder="1" applyAlignment="1">
      <alignment horizontal="center"/>
    </xf>
    <xf numFmtId="166" fontId="0" fillId="0" borderId="22" xfId="44" applyNumberFormat="1" applyFont="1" applyBorder="1" applyAlignment="1">
      <alignment horizontal="center"/>
    </xf>
    <xf numFmtId="0" fontId="29" fillId="0" borderId="0" xfId="6" applyFont="1" applyFill="1" applyBorder="1" applyAlignment="1">
      <alignment horizontal="center" vertical="center"/>
    </xf>
    <xf numFmtId="2" fontId="0" fillId="0" borderId="24" xfId="0" applyNumberForma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26" xfId="0" applyNumberFormat="1" applyBorder="1" applyAlignment="1">
      <alignment horizontal="right"/>
    </xf>
    <xf numFmtId="166" fontId="0" fillId="0" borderId="22" xfId="44" applyNumberFormat="1" applyFont="1" applyBorder="1" applyAlignment="1">
      <alignment horizontal="right"/>
    </xf>
    <xf numFmtId="166" fontId="0" fillId="0" borderId="0" xfId="44" applyNumberFormat="1" applyFont="1" applyBorder="1" applyAlignment="1">
      <alignment horizontal="right"/>
    </xf>
    <xf numFmtId="166" fontId="0" fillId="0" borderId="23" xfId="44" applyNumberFormat="1" applyFont="1" applyBorder="1" applyAlignment="1">
      <alignment horizontal="right"/>
    </xf>
    <xf numFmtId="0" fontId="30" fillId="37" borderId="18" xfId="0" applyFont="1" applyFill="1" applyBorder="1" applyAlignment="1">
      <alignment horizontal="center" vertical="center"/>
    </xf>
    <xf numFmtId="0" fontId="30" fillId="37" borderId="19" xfId="0" applyFont="1" applyFill="1" applyBorder="1" applyAlignment="1">
      <alignment horizontal="center" vertical="center"/>
    </xf>
    <xf numFmtId="0" fontId="30" fillId="37" borderId="25" xfId="0" applyFont="1" applyFill="1" applyBorder="1" applyAlignment="1">
      <alignment horizontal="center" vertical="center"/>
    </xf>
    <xf numFmtId="0" fontId="30" fillId="37" borderId="22" xfId="0" applyFont="1" applyFill="1" applyBorder="1" applyAlignment="1">
      <alignment horizontal="center" vertical="center"/>
    </xf>
    <xf numFmtId="0" fontId="30" fillId="37" borderId="0" xfId="0" applyFont="1" applyFill="1" applyAlignment="1">
      <alignment horizontal="center" vertical="center"/>
    </xf>
    <xf numFmtId="0" fontId="30" fillId="37" borderId="23" xfId="0" applyFont="1" applyFill="1" applyBorder="1" applyAlignment="1">
      <alignment horizontal="center" vertical="center"/>
    </xf>
    <xf numFmtId="0" fontId="30" fillId="37" borderId="24" xfId="0" applyFont="1" applyFill="1" applyBorder="1" applyAlignment="1">
      <alignment horizontal="center" vertical="center"/>
    </xf>
    <xf numFmtId="0" fontId="30" fillId="37" borderId="11" xfId="0" applyFont="1" applyFill="1" applyBorder="1" applyAlignment="1">
      <alignment horizontal="center" vertical="center"/>
    </xf>
    <xf numFmtId="0" fontId="30" fillId="37" borderId="26" xfId="0" applyFont="1" applyFill="1" applyBorder="1" applyAlignment="1">
      <alignment horizontal="center" vertical="center"/>
    </xf>
    <xf numFmtId="166" fontId="28" fillId="0" borderId="18" xfId="44" applyNumberFormat="1" applyFont="1" applyBorder="1" applyAlignment="1">
      <alignment horizontal="center" vertical="center"/>
    </xf>
    <xf numFmtId="166" fontId="28" fillId="0" borderId="25" xfId="44" applyNumberFormat="1" applyFont="1" applyBorder="1" applyAlignment="1">
      <alignment horizontal="center" vertical="center"/>
    </xf>
    <xf numFmtId="166" fontId="28" fillId="0" borderId="22" xfId="44" applyNumberFormat="1" applyFont="1" applyBorder="1" applyAlignment="1">
      <alignment horizontal="center" vertical="center"/>
    </xf>
    <xf numFmtId="166" fontId="28" fillId="0" borderId="23" xfId="44" applyNumberFormat="1" applyFont="1" applyBorder="1" applyAlignment="1">
      <alignment horizontal="center" vertical="center"/>
    </xf>
    <xf numFmtId="166" fontId="28" fillId="0" borderId="24" xfId="44" applyNumberFormat="1" applyFont="1" applyBorder="1" applyAlignment="1">
      <alignment horizontal="center" vertical="center"/>
    </xf>
    <xf numFmtId="166" fontId="28" fillId="0" borderId="26" xfId="44" applyNumberFormat="1" applyFont="1" applyBorder="1" applyAlignment="1">
      <alignment horizontal="center" vertical="center"/>
    </xf>
    <xf numFmtId="0" fontId="46" fillId="0" borderId="22" xfId="0" applyFont="1" applyBorder="1"/>
    <xf numFmtId="166" fontId="28" fillId="0" borderId="18" xfId="44" applyNumberFormat="1" applyFont="1" applyBorder="1" applyAlignment="1">
      <alignment horizontal="right" vertical="center"/>
    </xf>
    <xf numFmtId="166" fontId="28" fillId="0" borderId="25" xfId="44" applyNumberFormat="1" applyFont="1" applyBorder="1" applyAlignment="1">
      <alignment horizontal="right" vertical="center"/>
    </xf>
    <xf numFmtId="166" fontId="28" fillId="0" borderId="22" xfId="44" applyNumberFormat="1" applyFont="1" applyBorder="1" applyAlignment="1">
      <alignment horizontal="right" vertical="center"/>
    </xf>
    <xf numFmtId="166" fontId="28" fillId="0" borderId="23" xfId="44" applyNumberFormat="1" applyFont="1" applyBorder="1" applyAlignment="1">
      <alignment horizontal="right" vertical="center"/>
    </xf>
    <xf numFmtId="166" fontId="28" fillId="0" borderId="24" xfId="44" applyNumberFormat="1" applyFont="1" applyBorder="1" applyAlignment="1">
      <alignment horizontal="right" vertical="center"/>
    </xf>
    <xf numFmtId="166" fontId="28" fillId="0" borderId="26" xfId="44" applyNumberFormat="1" applyFont="1" applyBorder="1" applyAlignment="1">
      <alignment horizontal="right" vertical="center"/>
    </xf>
    <xf numFmtId="9" fontId="28" fillId="0" borderId="18" xfId="42" applyFont="1" applyBorder="1" applyAlignment="1">
      <alignment horizontal="center" vertical="center"/>
    </xf>
    <xf numFmtId="9" fontId="28" fillId="0" borderId="25" xfId="42" applyFont="1" applyBorder="1" applyAlignment="1">
      <alignment horizontal="center" vertical="center"/>
    </xf>
    <xf numFmtId="9" fontId="28" fillId="0" borderId="22" xfId="42" applyFont="1" applyBorder="1" applyAlignment="1">
      <alignment horizontal="center" vertical="center"/>
    </xf>
    <xf numFmtId="9" fontId="28" fillId="0" borderId="23" xfId="42" applyFont="1" applyBorder="1" applyAlignment="1">
      <alignment horizontal="center" vertical="center"/>
    </xf>
    <xf numFmtId="9" fontId="28" fillId="0" borderId="24" xfId="42" applyFont="1" applyBorder="1" applyAlignment="1">
      <alignment horizontal="center" vertical="center"/>
    </xf>
    <xf numFmtId="9" fontId="28" fillId="0" borderId="26" xfId="42" applyFont="1" applyBorder="1" applyAlignment="1">
      <alignment horizontal="center" vertical="center"/>
    </xf>
    <xf numFmtId="9" fontId="28" fillId="0" borderId="19" xfId="42" applyFont="1" applyBorder="1" applyAlignment="1">
      <alignment horizontal="center" vertical="center"/>
    </xf>
    <xf numFmtId="9" fontId="28" fillId="0" borderId="0" xfId="42" applyFont="1" applyBorder="1" applyAlignment="1">
      <alignment horizontal="center" vertical="center"/>
    </xf>
    <xf numFmtId="9" fontId="28" fillId="0" borderId="11" xfId="42" applyFont="1" applyBorder="1" applyAlignment="1">
      <alignment horizontal="center" vertical="center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omma 2" xfId="48" xr:uid="{33C64888-1636-486B-99A1-55FC9A41739A}"/>
    <cellStyle name="Currency 3" xfId="47" xr:uid="{944BE96A-9A53-4A76-8790-834CAE4EE4B9}"/>
    <cellStyle name="Explanatory Text" xfId="16" builtinId="53" customBuiltin="1"/>
    <cellStyle name="fa_column_header_bottom" xfId="43" xr:uid="{00000000-0005-0000-0000-00001D000000}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5" xr:uid="{0B72C661-1FA9-4382-952C-94C58DB1ECA9}"/>
    <cellStyle name="Note" xfId="15" builtinId="10" customBuiltin="1"/>
    <cellStyle name="Output" xfId="10" builtinId="21" customBuiltin="1"/>
    <cellStyle name="Percent" xfId="42" builtinId="5"/>
    <cellStyle name="Percent 3" xfId="46" xr:uid="{A6B1A1DA-BF41-41B1-9F90-14DFC6B24F5C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1:T61"/>
  <sheetViews>
    <sheetView showGridLines="0" zoomScale="70" zoomScaleNormal="70" workbookViewId="0">
      <selection activeCell="C24" sqref="C24"/>
    </sheetView>
  </sheetViews>
  <sheetFormatPr defaultRowHeight="14.4"/>
  <cols>
    <col min="2" max="2" width="64.33203125" customWidth="1"/>
    <col min="3" max="3" width="72.6640625" customWidth="1"/>
  </cols>
  <sheetData>
    <row r="1" spans="2:3" ht="15" thickBot="1"/>
    <row r="2" spans="2:3" ht="15.75" customHeight="1">
      <c r="B2" s="74" t="s">
        <v>90</v>
      </c>
      <c r="C2" s="75"/>
    </row>
    <row r="3" spans="2:3" ht="15.75" customHeight="1" thickBot="1">
      <c r="B3" s="76"/>
      <c r="C3" s="77"/>
    </row>
    <row r="4" spans="2:3" ht="15" thickBot="1">
      <c r="B4" s="130" t="s">
        <v>84</v>
      </c>
      <c r="C4" s="131" t="s">
        <v>180</v>
      </c>
    </row>
    <row r="5" spans="2:3" ht="15" thickBot="1">
      <c r="B5" s="72" t="s">
        <v>195</v>
      </c>
      <c r="C5" s="73"/>
    </row>
    <row r="6" spans="2:3" ht="59.25" customHeight="1">
      <c r="B6" s="141" t="s">
        <v>184</v>
      </c>
      <c r="C6" s="142" t="s">
        <v>186</v>
      </c>
    </row>
    <row r="7" spans="2:3" ht="73.5" customHeight="1">
      <c r="B7" s="129" t="s">
        <v>197</v>
      </c>
      <c r="C7" s="128" t="s">
        <v>187</v>
      </c>
    </row>
    <row r="8" spans="2:3" ht="60.75" customHeight="1">
      <c r="B8" s="127" t="s">
        <v>183</v>
      </c>
      <c r="C8" s="128" t="s">
        <v>188</v>
      </c>
    </row>
    <row r="9" spans="2:3" ht="57.75" customHeight="1">
      <c r="B9" s="127" t="s">
        <v>198</v>
      </c>
      <c r="C9" s="128" t="s">
        <v>185</v>
      </c>
    </row>
    <row r="10" spans="2:3" ht="67.5" customHeight="1">
      <c r="B10" s="129" t="s">
        <v>147</v>
      </c>
      <c r="C10" s="128" t="s">
        <v>189</v>
      </c>
    </row>
    <row r="11" spans="2:3" ht="72.599999999999994" customHeight="1" thickBot="1">
      <c r="B11" s="144" t="s">
        <v>148</v>
      </c>
      <c r="C11" s="145" t="s">
        <v>193</v>
      </c>
    </row>
    <row r="12" spans="2:3" ht="19.8" customHeight="1" thickBot="1">
      <c r="B12" s="72" t="s">
        <v>196</v>
      </c>
      <c r="C12" s="73"/>
    </row>
    <row r="13" spans="2:3" ht="60" customHeight="1">
      <c r="B13" s="141" t="s">
        <v>184</v>
      </c>
      <c r="C13" s="142" t="s">
        <v>199</v>
      </c>
    </row>
    <row r="14" spans="2:3" ht="46.5" customHeight="1">
      <c r="B14" s="129" t="s">
        <v>197</v>
      </c>
      <c r="C14" s="128" t="s">
        <v>204</v>
      </c>
    </row>
    <row r="15" spans="2:3" ht="36" customHeight="1">
      <c r="B15" s="127" t="s">
        <v>183</v>
      </c>
      <c r="C15" s="143" t="s">
        <v>200</v>
      </c>
    </row>
    <row r="16" spans="2:3" ht="31.5" customHeight="1">
      <c r="B16" s="127" t="s">
        <v>198</v>
      </c>
      <c r="C16" s="128" t="s">
        <v>201</v>
      </c>
    </row>
    <row r="17" spans="2:20" ht="49.5" customHeight="1">
      <c r="B17" s="129" t="s">
        <v>147</v>
      </c>
      <c r="C17" s="128" t="s">
        <v>203</v>
      </c>
    </row>
    <row r="18" spans="2:20" ht="51.75" customHeight="1" thickBot="1">
      <c r="B18" s="144" t="s">
        <v>148</v>
      </c>
      <c r="C18" s="145" t="s">
        <v>202</v>
      </c>
    </row>
    <row r="19" spans="2:20">
      <c r="B19" s="136" t="s">
        <v>194</v>
      </c>
      <c r="C19" s="137"/>
      <c r="D19" s="65"/>
      <c r="E19" s="65"/>
      <c r="F19" s="65"/>
      <c r="G19" s="65"/>
      <c r="H19" s="1"/>
      <c r="I19" s="1"/>
      <c r="J19" s="1"/>
      <c r="K19" s="1"/>
    </row>
    <row r="20" spans="2:20">
      <c r="B20" s="6" t="s">
        <v>192</v>
      </c>
      <c r="C20" s="26">
        <f>AVERAGE('Income Statement'!B5:F5)/AVERAGE('Income Statement'!B4:F4)+2%</f>
        <v>0.61902928185708417</v>
      </c>
      <c r="D20" s="65"/>
      <c r="E20" s="65"/>
      <c r="F20" s="65"/>
      <c r="G20" s="65"/>
      <c r="H20" s="1"/>
      <c r="I20" s="1"/>
      <c r="J20" s="1"/>
      <c r="K20" s="1"/>
    </row>
    <row r="21" spans="2:20" ht="28.8">
      <c r="B21" s="104" t="s">
        <v>190</v>
      </c>
      <c r="C21" s="26">
        <v>0.1</v>
      </c>
      <c r="D21" s="65"/>
      <c r="E21" s="65"/>
      <c r="F21" s="65"/>
      <c r="G21" s="65"/>
      <c r="H21" s="1"/>
      <c r="I21" s="1"/>
      <c r="J21" s="1"/>
      <c r="K21" s="1"/>
    </row>
    <row r="22" spans="2:20">
      <c r="B22" s="6" t="s">
        <v>191</v>
      </c>
      <c r="C22" s="26">
        <v>7.0000000000000007E-2</v>
      </c>
      <c r="D22" s="65"/>
      <c r="E22" s="65"/>
      <c r="F22" s="65"/>
      <c r="G22" s="65"/>
      <c r="H22" s="1"/>
      <c r="I22" s="1"/>
      <c r="J22" s="1"/>
      <c r="K22" s="1"/>
    </row>
    <row r="23" spans="2:20">
      <c r="B23" s="6" t="s">
        <v>94</v>
      </c>
      <c r="C23" s="26">
        <f>AVERAGE('Income Statement'!B10:F10)/AVERAGE('Income Statement'!B4:F4)</f>
        <v>3.2681238376330649E-2</v>
      </c>
      <c r="D23" s="65"/>
      <c r="E23" s="65"/>
      <c r="F23" s="65"/>
      <c r="G23" s="65"/>
      <c r="H23" s="1"/>
      <c r="I23" s="1"/>
      <c r="J23" s="1"/>
      <c r="K23" s="1"/>
    </row>
    <row r="24" spans="2:20">
      <c r="B24" s="6" t="s">
        <v>164</v>
      </c>
      <c r="C24" s="26">
        <f>AVERAGE('Income Statement'!B14:F14)/AVERAGE('Income Statement'!B4:F4)</f>
        <v>8.3848712893050299E-3</v>
      </c>
      <c r="D24" s="65"/>
      <c r="E24" s="65"/>
      <c r="F24" s="65"/>
      <c r="G24" s="65"/>
      <c r="H24" s="1"/>
      <c r="I24" s="1"/>
      <c r="J24" s="1"/>
      <c r="K24" s="1"/>
    </row>
    <row r="25" spans="2:20" ht="15" thickBot="1">
      <c r="B25" s="9" t="s">
        <v>165</v>
      </c>
      <c r="C25" s="27">
        <f>AVERAGE('Income Statement'!B16:F16)/AVERAGE('Income Statement'!B4:F4)</f>
        <v>6.1495065748078418E-3</v>
      </c>
      <c r="D25" s="65"/>
      <c r="E25" s="65"/>
      <c r="F25" s="65"/>
      <c r="G25" s="65"/>
      <c r="H25" s="1"/>
      <c r="I25" s="1"/>
      <c r="J25" s="1"/>
      <c r="K25" s="1"/>
    </row>
    <row r="26" spans="2:20" ht="15" thickBot="1"/>
    <row r="27" spans="2:20" ht="15" thickBot="1">
      <c r="B27" s="132" t="s">
        <v>93</v>
      </c>
      <c r="C27" s="133"/>
      <c r="L27" s="65"/>
      <c r="M27" s="65"/>
      <c r="N27" s="65"/>
      <c r="O27" s="65"/>
      <c r="P27" s="65"/>
      <c r="Q27" s="1"/>
      <c r="R27" s="1"/>
      <c r="S27" s="1"/>
      <c r="T27" s="1"/>
    </row>
    <row r="28" spans="2:20">
      <c r="B28" s="135" t="s">
        <v>177</v>
      </c>
      <c r="C28" s="126"/>
      <c r="L28" s="65"/>
      <c r="M28" s="65"/>
      <c r="N28" s="65"/>
      <c r="O28" s="65"/>
      <c r="P28" s="65"/>
      <c r="Q28" s="1"/>
      <c r="R28" s="1"/>
      <c r="S28" s="1"/>
      <c r="T28" s="1"/>
    </row>
    <row r="29" spans="2:20">
      <c r="B29" s="4" t="s">
        <v>159</v>
      </c>
      <c r="C29" s="26">
        <v>0</v>
      </c>
    </row>
    <row r="30" spans="2:20">
      <c r="B30" s="4" t="s">
        <v>160</v>
      </c>
      <c r="C30" s="26">
        <f>AVERAGE('Balance Sheet'!B19:F19)/AVERAGE('Income Statement'!B4:F4)</f>
        <v>9.5016738372328227E-2</v>
      </c>
    </row>
    <row r="31" spans="2:20" ht="43.2">
      <c r="B31" s="102" t="s">
        <v>145</v>
      </c>
      <c r="C31" s="26">
        <v>0.02</v>
      </c>
    </row>
    <row r="32" spans="2:20" ht="28.8">
      <c r="B32" s="102" t="s">
        <v>146</v>
      </c>
      <c r="C32" s="26">
        <f>AVERAGE('Balance Sheet'!B18:F18)/AVERAGE('Income Statement'!B4:F4)+2%</f>
        <v>0.2531287728585459</v>
      </c>
    </row>
    <row r="33" spans="2:3">
      <c r="B33" s="4" t="s">
        <v>95</v>
      </c>
      <c r="C33" s="26">
        <f>AVERAGE('Balance Sheet'!B20:F20)/AVERAGE('Income Statement'!B4:F4)</f>
        <v>3.8744927484601351E-2</v>
      </c>
    </row>
    <row r="34" spans="2:3">
      <c r="B34" s="135" t="s">
        <v>179</v>
      </c>
      <c r="C34" s="134"/>
    </row>
    <row r="35" spans="2:3">
      <c r="B35" s="6" t="s">
        <v>161</v>
      </c>
      <c r="C35" s="24">
        <f>AVERAGE('Balance Sheet'!B34:F34)/AVERAGE('Income Statement'!B4:F4)</f>
        <v>5.5575102867377896E-3</v>
      </c>
    </row>
    <row r="36" spans="2:3">
      <c r="B36" s="6" t="s">
        <v>157</v>
      </c>
      <c r="C36" s="24">
        <v>0.02</v>
      </c>
    </row>
    <row r="37" spans="2:3">
      <c r="B37" s="6" t="s">
        <v>158</v>
      </c>
      <c r="C37" s="24">
        <v>0.02</v>
      </c>
    </row>
    <row r="38" spans="2:3">
      <c r="B38" s="6" t="s">
        <v>162</v>
      </c>
      <c r="C38" s="24">
        <f>AVERAGE('Balance Sheet'!B35:F35)/AVERAGE('Income Statement'!B4:F4)</f>
        <v>9.7412055305967735E-2</v>
      </c>
    </row>
    <row r="39" spans="2:3">
      <c r="B39" s="6" t="s">
        <v>166</v>
      </c>
      <c r="C39" s="24">
        <v>0</v>
      </c>
    </row>
    <row r="40" spans="2:3">
      <c r="B40" s="6" t="s">
        <v>167</v>
      </c>
      <c r="C40" s="24">
        <v>0</v>
      </c>
    </row>
    <row r="41" spans="2:3">
      <c r="B41" s="6" t="s">
        <v>97</v>
      </c>
      <c r="C41" s="24">
        <f>AVERAGE('Balance Sheet'!B42:F42)/AVERAGE('Income Statement'!B4:F4)</f>
        <v>4.8568214897897768E-2</v>
      </c>
    </row>
    <row r="42" spans="2:3" ht="15" thickBot="1">
      <c r="B42" s="9" t="s">
        <v>96</v>
      </c>
      <c r="C42" s="103">
        <v>0.3</v>
      </c>
    </row>
    <row r="43" spans="2:3">
      <c r="B43" s="221"/>
      <c r="C43" s="222"/>
    </row>
    <row r="44" spans="2:3" ht="15" thickBot="1">
      <c r="C44" s="125"/>
    </row>
    <row r="45" spans="2:3" ht="15" thickBot="1">
      <c r="B45" s="130" t="s">
        <v>212</v>
      </c>
      <c r="C45" s="168"/>
    </row>
    <row r="46" spans="2:3">
      <c r="B46" s="30" t="s">
        <v>91</v>
      </c>
      <c r="C46" s="169">
        <v>0.09</v>
      </c>
    </row>
    <row r="47" spans="2:3" ht="15" thickBot="1">
      <c r="B47" s="9" t="s">
        <v>92</v>
      </c>
      <c r="C47" s="165">
        <v>0.03</v>
      </c>
    </row>
    <row r="49" spans="2:3" ht="15" thickBot="1"/>
    <row r="50" spans="2:3" ht="15" thickBot="1">
      <c r="B50" s="132" t="s">
        <v>125</v>
      </c>
      <c r="C50" s="133"/>
    </row>
    <row r="51" spans="2:3">
      <c r="B51" s="30" t="s">
        <v>126</v>
      </c>
      <c r="C51" s="166">
        <v>0.01</v>
      </c>
    </row>
    <row r="52" spans="2:3" ht="16.2">
      <c r="B52" s="7" t="s">
        <v>243</v>
      </c>
      <c r="C52" s="224">
        <v>7.1999999999999995E-2</v>
      </c>
    </row>
    <row r="53" spans="2:3" ht="16.2">
      <c r="B53" s="225" t="s">
        <v>244</v>
      </c>
      <c r="C53" s="226">
        <v>1.71</v>
      </c>
    </row>
    <row r="54" spans="2:3" ht="16.2">
      <c r="B54" s="7" t="s">
        <v>245</v>
      </c>
      <c r="C54" s="224">
        <v>0.13</v>
      </c>
    </row>
    <row r="55" spans="2:3" ht="15" thickBot="1">
      <c r="B55" s="9" t="s">
        <v>133</v>
      </c>
      <c r="C55" s="167">
        <v>400</v>
      </c>
    </row>
    <row r="58" spans="2:3">
      <c r="B58" s="217" t="s">
        <v>241</v>
      </c>
      <c r="C58" s="223" t="s">
        <v>246</v>
      </c>
    </row>
    <row r="59" spans="2:3">
      <c r="C59" s="223" t="s">
        <v>247</v>
      </c>
    </row>
    <row r="60" spans="2:3">
      <c r="C60" s="223" t="s">
        <v>242</v>
      </c>
    </row>
    <row r="61" spans="2:3">
      <c r="C61" s="223" t="s">
        <v>240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5BAC-F6FB-47C9-B481-15F51CBF5BC1}">
  <sheetPr>
    <tabColor rgb="FFC00000"/>
  </sheetPr>
  <dimension ref="A1:V31"/>
  <sheetViews>
    <sheetView showGridLines="0" zoomScale="85" zoomScaleNormal="85" workbookViewId="0">
      <selection activeCell="B11" sqref="B11"/>
    </sheetView>
  </sheetViews>
  <sheetFormatPr defaultRowHeight="14.4"/>
  <cols>
    <col min="1" max="1" width="56.44140625" customWidth="1"/>
    <col min="2" max="2" width="20.109375" bestFit="1" customWidth="1"/>
    <col min="3" max="3" width="16.88671875" customWidth="1"/>
    <col min="4" max="7" width="10.6640625" bestFit="1" customWidth="1"/>
    <col min="8" max="12" width="9" bestFit="1" customWidth="1"/>
    <col min="13" max="17" width="10.6640625" bestFit="1" customWidth="1"/>
    <col min="18" max="18" width="34.5546875" customWidth="1"/>
    <col min="19" max="19" width="34" customWidth="1"/>
    <col min="20" max="23" width="8.44140625" bestFit="1" customWidth="1"/>
  </cols>
  <sheetData>
    <row r="1" spans="1:17">
      <c r="A1" s="130" t="s">
        <v>195</v>
      </c>
      <c r="B1" s="146">
        <v>2021</v>
      </c>
      <c r="C1" s="147" t="s">
        <v>136</v>
      </c>
      <c r="D1" s="147" t="s">
        <v>137</v>
      </c>
      <c r="E1" s="147" t="s">
        <v>138</v>
      </c>
      <c r="F1" s="147" t="s">
        <v>139</v>
      </c>
      <c r="G1" s="148" t="s">
        <v>140</v>
      </c>
      <c r="J1" s="69"/>
      <c r="K1" s="69"/>
      <c r="L1" s="69"/>
      <c r="M1" s="69"/>
    </row>
    <row r="2" spans="1:17">
      <c r="A2" s="164" t="s">
        <v>184</v>
      </c>
      <c r="B2" s="149">
        <v>0.42</v>
      </c>
      <c r="C2" s="149">
        <v>0.51</v>
      </c>
      <c r="D2" s="149">
        <v>0.51</v>
      </c>
      <c r="E2" s="149">
        <v>0.51</v>
      </c>
      <c r="F2" s="149">
        <v>0.51</v>
      </c>
      <c r="G2" s="150">
        <v>0.51</v>
      </c>
      <c r="J2" s="69"/>
      <c r="K2" s="69"/>
      <c r="L2" s="69"/>
      <c r="M2" s="69"/>
    </row>
    <row r="3" spans="1:17">
      <c r="A3" s="7" t="s">
        <v>197</v>
      </c>
      <c r="B3" s="149">
        <v>0.35</v>
      </c>
      <c r="C3" s="149">
        <v>0.35</v>
      </c>
      <c r="D3" s="149">
        <v>0.35</v>
      </c>
      <c r="E3" s="149">
        <v>0.35</v>
      </c>
      <c r="F3" s="149">
        <v>0.35</v>
      </c>
      <c r="G3" s="150">
        <v>0.35</v>
      </c>
      <c r="J3" s="69"/>
      <c r="K3" s="69"/>
      <c r="L3" s="69"/>
      <c r="M3" s="69"/>
    </row>
    <row r="4" spans="1:17">
      <c r="A4" s="164" t="s">
        <v>183</v>
      </c>
      <c r="B4" s="149">
        <v>0.1</v>
      </c>
      <c r="C4" s="149">
        <v>0.14099999999999999</v>
      </c>
      <c r="D4" s="151">
        <v>0.14499999999999999</v>
      </c>
      <c r="E4" s="149">
        <v>0.15</v>
      </c>
      <c r="F4" s="149">
        <v>0.15</v>
      </c>
      <c r="G4" s="150">
        <v>0.15</v>
      </c>
      <c r="J4" s="124"/>
      <c r="K4" s="124"/>
      <c r="L4" s="124"/>
      <c r="M4" s="124"/>
    </row>
    <row r="5" spans="1:17">
      <c r="A5" s="164" t="s">
        <v>198</v>
      </c>
      <c r="B5" s="149">
        <v>0.87</v>
      </c>
      <c r="C5" s="149">
        <v>0.88</v>
      </c>
      <c r="D5" s="149">
        <v>0.89</v>
      </c>
      <c r="E5" s="149">
        <v>0.9</v>
      </c>
      <c r="F5" s="149">
        <v>0.9</v>
      </c>
      <c r="G5" s="150">
        <v>0.9</v>
      </c>
      <c r="J5" s="69"/>
      <c r="K5" s="69"/>
      <c r="L5" s="69"/>
      <c r="M5" s="69"/>
    </row>
    <row r="6" spans="1:17">
      <c r="A6" s="7" t="s">
        <v>147</v>
      </c>
      <c r="B6" s="152">
        <v>0.05</v>
      </c>
      <c r="C6" s="152">
        <v>0.05</v>
      </c>
      <c r="D6" s="152">
        <v>0.05</v>
      </c>
      <c r="E6" s="152">
        <v>4.8000000000000001E-2</v>
      </c>
      <c r="F6" s="152">
        <v>4.8000000000000001E-2</v>
      </c>
      <c r="G6" s="153">
        <v>4.8000000000000001E-2</v>
      </c>
    </row>
    <row r="7" spans="1:17" ht="15" thickBot="1">
      <c r="A7" s="118" t="s">
        <v>148</v>
      </c>
      <c r="B7" s="154">
        <v>8.5999999999999993E-2</v>
      </c>
      <c r="C7" s="154">
        <v>8.5999999999999993E-2</v>
      </c>
      <c r="D7" s="154">
        <v>8.7999999999999995E-2</v>
      </c>
      <c r="E7" s="154">
        <v>8.7999999999999995E-2</v>
      </c>
      <c r="F7" s="154">
        <v>8.7999999999999995E-2</v>
      </c>
      <c r="G7" s="155">
        <v>8.7999999999999995E-2</v>
      </c>
    </row>
    <row r="8" spans="1:17" ht="16.2" thickBot="1">
      <c r="A8" s="70"/>
      <c r="B8" s="117"/>
    </row>
    <row r="9" spans="1:17" ht="16.2">
      <c r="A9" s="130" t="s">
        <v>196</v>
      </c>
      <c r="B9" s="156" t="s">
        <v>207</v>
      </c>
      <c r="C9" s="229" t="s">
        <v>205</v>
      </c>
      <c r="D9" s="229"/>
      <c r="E9" s="229"/>
      <c r="F9" s="229"/>
      <c r="G9" s="229"/>
      <c r="H9" s="229" t="s">
        <v>149</v>
      </c>
      <c r="I9" s="229"/>
      <c r="J9" s="229"/>
      <c r="K9" s="229"/>
      <c r="L9" s="229"/>
      <c r="M9" s="229" t="s">
        <v>208</v>
      </c>
      <c r="N9" s="229"/>
      <c r="O9" s="229"/>
      <c r="P9" s="229"/>
      <c r="Q9" s="230"/>
    </row>
    <row r="10" spans="1:17" ht="16.2">
      <c r="A10" s="6"/>
      <c r="C10" s="162" t="s">
        <v>206</v>
      </c>
      <c r="D10" s="162" t="s">
        <v>137</v>
      </c>
      <c r="E10" s="162" t="s">
        <v>138</v>
      </c>
      <c r="F10" s="162" t="s">
        <v>139</v>
      </c>
      <c r="G10" s="162" t="s">
        <v>140</v>
      </c>
      <c r="H10" s="162" t="s">
        <v>136</v>
      </c>
      <c r="I10" s="162" t="s">
        <v>137</v>
      </c>
      <c r="J10" s="162" t="s">
        <v>138</v>
      </c>
      <c r="K10" s="162" t="s">
        <v>139</v>
      </c>
      <c r="L10" s="162" t="s">
        <v>140</v>
      </c>
      <c r="M10" s="162" t="s">
        <v>136</v>
      </c>
      <c r="N10" s="162" t="s">
        <v>137</v>
      </c>
      <c r="O10" s="162" t="s">
        <v>138</v>
      </c>
      <c r="P10" s="162" t="s">
        <v>139</v>
      </c>
      <c r="Q10" s="163" t="s">
        <v>140</v>
      </c>
    </row>
    <row r="11" spans="1:17">
      <c r="A11" s="164" t="s">
        <v>184</v>
      </c>
      <c r="B11">
        <v>3</v>
      </c>
      <c r="C11" s="157">
        <v>600000</v>
      </c>
      <c r="D11" s="157">
        <f>C11*1.14</f>
        <v>683999.99999999988</v>
      </c>
      <c r="E11" s="157">
        <f>D11*1.12</f>
        <v>766080</v>
      </c>
      <c r="F11" s="157">
        <f>E11*1.12</f>
        <v>858009.60000000009</v>
      </c>
      <c r="G11" s="157">
        <f>F11*1.12</f>
        <v>960970.75200000021</v>
      </c>
      <c r="H11" s="157">
        <f>C11*'Revenue forecast'!C2</f>
        <v>306000</v>
      </c>
      <c r="I11" s="157">
        <f>D11*'Revenue forecast'!D2</f>
        <v>348839.99999999994</v>
      </c>
      <c r="J11" s="157">
        <f>E11*'Revenue forecast'!E2</f>
        <v>390700.79999999999</v>
      </c>
      <c r="K11" s="157">
        <f>F11*'Revenue forecast'!F2</f>
        <v>437584.89600000007</v>
      </c>
      <c r="L11" s="157">
        <f>G11*'Revenue forecast'!G2</f>
        <v>490095.0835200001</v>
      </c>
      <c r="M11" s="157">
        <f t="shared" ref="M11:Q16" si="0">$B11*H11</f>
        <v>918000</v>
      </c>
      <c r="N11" s="157">
        <f t="shared" si="0"/>
        <v>1046519.9999999998</v>
      </c>
      <c r="O11" s="157">
        <f t="shared" si="0"/>
        <v>1172102.3999999999</v>
      </c>
      <c r="P11" s="157">
        <f t="shared" si="0"/>
        <v>1312754.6880000001</v>
      </c>
      <c r="Q11" s="158">
        <f t="shared" si="0"/>
        <v>1470285.2505600003</v>
      </c>
    </row>
    <row r="12" spans="1:17">
      <c r="A12" s="7" t="s">
        <v>197</v>
      </c>
      <c r="B12">
        <v>1.4</v>
      </c>
      <c r="C12" s="157">
        <v>700</v>
      </c>
      <c r="D12" s="157">
        <f>C12*1.3</f>
        <v>910</v>
      </c>
      <c r="E12" s="157">
        <f t="shared" ref="E12:G12" si="1">D12*1.3</f>
        <v>1183</v>
      </c>
      <c r="F12" s="157">
        <f t="shared" si="1"/>
        <v>1537.9</v>
      </c>
      <c r="G12" s="157">
        <f t="shared" si="1"/>
        <v>1999.2700000000002</v>
      </c>
      <c r="H12" s="157">
        <f>C12*'Revenue forecast'!C5</f>
        <v>616</v>
      </c>
      <c r="I12" s="157">
        <f>D12*'Revenue forecast'!D3</f>
        <v>318.5</v>
      </c>
      <c r="J12" s="157">
        <f>E12*'Revenue forecast'!E3</f>
        <v>414.04999999999995</v>
      </c>
      <c r="K12" s="157">
        <f>F12*'Revenue forecast'!F3</f>
        <v>538.26499999999999</v>
      </c>
      <c r="L12" s="157">
        <f>G12*'Revenue forecast'!G3</f>
        <v>699.74450000000002</v>
      </c>
      <c r="M12" s="157">
        <f t="shared" si="0"/>
        <v>862.4</v>
      </c>
      <c r="N12" s="157">
        <f t="shared" si="0"/>
        <v>445.9</v>
      </c>
      <c r="O12" s="157">
        <f t="shared" si="0"/>
        <v>579.66999999999985</v>
      </c>
      <c r="P12" s="157">
        <f t="shared" si="0"/>
        <v>753.57099999999991</v>
      </c>
      <c r="Q12" s="158">
        <f t="shared" si="0"/>
        <v>979.64229999999998</v>
      </c>
    </row>
    <row r="13" spans="1:17">
      <c r="A13" s="164" t="s">
        <v>183</v>
      </c>
      <c r="B13">
        <v>0.9</v>
      </c>
      <c r="C13" s="157">
        <v>2666000</v>
      </c>
      <c r="D13" s="157">
        <f>C13*1.017</f>
        <v>2711321.9999999995</v>
      </c>
      <c r="E13" s="157">
        <f t="shared" ref="E13:G13" si="2">D13*1.017</f>
        <v>2757414.4739999995</v>
      </c>
      <c r="F13" s="157">
        <f t="shared" si="2"/>
        <v>2804290.5200579991</v>
      </c>
      <c r="G13" s="157">
        <f t="shared" si="2"/>
        <v>2851963.4588989848</v>
      </c>
      <c r="H13" s="157">
        <f>C13*'Revenue forecast'!C4</f>
        <v>375905.99999999994</v>
      </c>
      <c r="I13" s="157">
        <f>D13*'Revenue forecast'!D4</f>
        <v>393141.68999999989</v>
      </c>
      <c r="J13" s="157">
        <f>E13*'Revenue forecast'!E4</f>
        <v>413612.17109999992</v>
      </c>
      <c r="K13" s="157">
        <f>F13*'Revenue forecast'!F4</f>
        <v>420643.57800869987</v>
      </c>
      <c r="L13" s="157">
        <f>G13*'Revenue forecast'!G4</f>
        <v>427794.51883484772</v>
      </c>
      <c r="M13" s="157">
        <f t="shared" si="0"/>
        <v>338315.39999999997</v>
      </c>
      <c r="N13" s="157">
        <f t="shared" si="0"/>
        <v>353827.52099999989</v>
      </c>
      <c r="O13" s="157">
        <f t="shared" si="0"/>
        <v>372250.95398999995</v>
      </c>
      <c r="P13" s="157">
        <f t="shared" si="0"/>
        <v>378579.2202078299</v>
      </c>
      <c r="Q13" s="158">
        <f t="shared" si="0"/>
        <v>385015.06695136294</v>
      </c>
    </row>
    <row r="14" spans="1:17">
      <c r="A14" s="164" t="s">
        <v>198</v>
      </c>
      <c r="B14">
        <v>5</v>
      </c>
      <c r="C14" s="157">
        <v>23000</v>
      </c>
      <c r="D14" s="157">
        <f>C14*1.12</f>
        <v>25760.000000000004</v>
      </c>
      <c r="E14" s="157">
        <f t="shared" ref="E14:G14" si="3">D14*1.12</f>
        <v>28851.200000000008</v>
      </c>
      <c r="F14" s="157">
        <f t="shared" si="3"/>
        <v>32313.344000000012</v>
      </c>
      <c r="G14" s="157">
        <f t="shared" si="3"/>
        <v>36190.945280000014</v>
      </c>
      <c r="H14" s="157">
        <f>C14*'Revenue forecast'!C5</f>
        <v>20240</v>
      </c>
      <c r="I14" s="157">
        <f>D14*'Revenue forecast'!D5</f>
        <v>22926.400000000005</v>
      </c>
      <c r="J14" s="157">
        <f>E14*'Revenue forecast'!E5</f>
        <v>25966.080000000009</v>
      </c>
      <c r="K14" s="157">
        <f>F14*'Revenue forecast'!F5</f>
        <v>29082.009600000012</v>
      </c>
      <c r="L14" s="157">
        <f>G14*'Revenue forecast'!G5</f>
        <v>32571.850752000013</v>
      </c>
      <c r="M14" s="157">
        <f t="shared" si="0"/>
        <v>101200</v>
      </c>
      <c r="N14" s="157">
        <f t="shared" si="0"/>
        <v>114632.00000000003</v>
      </c>
      <c r="O14" s="157">
        <f t="shared" si="0"/>
        <v>129830.40000000005</v>
      </c>
      <c r="P14" s="157">
        <f t="shared" si="0"/>
        <v>145410.04800000007</v>
      </c>
      <c r="Q14" s="158">
        <f t="shared" si="0"/>
        <v>162859.25376000005</v>
      </c>
    </row>
    <row r="15" spans="1:17">
      <c r="A15" s="7" t="s">
        <v>147</v>
      </c>
      <c r="B15">
        <v>8</v>
      </c>
      <c r="C15" s="157">
        <v>5685472</v>
      </c>
      <c r="D15" s="157">
        <f>C15*1.09</f>
        <v>6197164.4800000004</v>
      </c>
      <c r="E15" s="157">
        <f t="shared" ref="E15:G15" si="4">D15*1.09</f>
        <v>6754909.2832000013</v>
      </c>
      <c r="F15" s="157">
        <f t="shared" si="4"/>
        <v>7362851.1186880022</v>
      </c>
      <c r="G15" s="157">
        <f t="shared" si="4"/>
        <v>8025507.7193699228</v>
      </c>
      <c r="H15" s="157">
        <f>C15*'Revenue forecast'!C6</f>
        <v>284273.60000000003</v>
      </c>
      <c r="I15" s="157">
        <f>D15*'Revenue forecast'!D6</f>
        <v>309858.22400000005</v>
      </c>
      <c r="J15" s="157">
        <f>E15*'Revenue forecast'!E6</f>
        <v>324235.64559360006</v>
      </c>
      <c r="K15" s="157">
        <f>F15*'Revenue forecast'!F6</f>
        <v>353416.85369702411</v>
      </c>
      <c r="L15" s="157">
        <f>G15*'Revenue forecast'!G6</f>
        <v>385224.3705297563</v>
      </c>
      <c r="M15" s="157">
        <f t="shared" si="0"/>
        <v>2274188.8000000003</v>
      </c>
      <c r="N15" s="157">
        <f t="shared" si="0"/>
        <v>2478865.7920000004</v>
      </c>
      <c r="O15" s="157">
        <f t="shared" si="0"/>
        <v>2593885.1647488005</v>
      </c>
      <c r="P15" s="157">
        <f t="shared" si="0"/>
        <v>2827334.8295761929</v>
      </c>
      <c r="Q15" s="158">
        <f t="shared" si="0"/>
        <v>3081794.9642380504</v>
      </c>
    </row>
    <row r="16" spans="1:17" ht="15" thickBot="1">
      <c r="A16" s="118" t="s">
        <v>148</v>
      </c>
      <c r="B16" s="159">
        <v>12</v>
      </c>
      <c r="C16" s="160">
        <v>304128</v>
      </c>
      <c r="D16" s="160">
        <f>C16*1.2</f>
        <v>364953.59999999998</v>
      </c>
      <c r="E16" s="160">
        <f t="shared" ref="E16:G16" si="5">D16*1.2</f>
        <v>437944.31999999995</v>
      </c>
      <c r="F16" s="160">
        <f t="shared" si="5"/>
        <v>525533.18399999989</v>
      </c>
      <c r="G16" s="160">
        <f t="shared" si="5"/>
        <v>630639.82079999987</v>
      </c>
      <c r="H16" s="160">
        <f>C16*'Revenue forecast'!C7</f>
        <v>26155.007999999998</v>
      </c>
      <c r="I16" s="160">
        <f>D16*'Revenue forecast'!D7</f>
        <v>32115.916799999995</v>
      </c>
      <c r="J16" s="160">
        <f>E16*'Revenue forecast'!E7</f>
        <v>38539.100159999995</v>
      </c>
      <c r="K16" s="160">
        <f>F16*'Revenue forecast'!F7</f>
        <v>46246.92019199999</v>
      </c>
      <c r="L16" s="160">
        <f>G16*'Revenue forecast'!G7</f>
        <v>55496.304230399983</v>
      </c>
      <c r="M16" s="160">
        <f t="shared" si="0"/>
        <v>313860.09599999996</v>
      </c>
      <c r="N16" s="160">
        <f t="shared" si="0"/>
        <v>385391.00159999996</v>
      </c>
      <c r="O16" s="160">
        <f t="shared" si="0"/>
        <v>462469.2019199999</v>
      </c>
      <c r="P16" s="160">
        <f t="shared" si="0"/>
        <v>554963.04230399989</v>
      </c>
      <c r="Q16" s="161">
        <f t="shared" si="0"/>
        <v>665955.65076479979</v>
      </c>
    </row>
    <row r="17" spans="1:22">
      <c r="M17" s="48"/>
      <c r="N17" s="48"/>
      <c r="O17" s="48"/>
      <c r="P17" s="48"/>
      <c r="Q17" s="48"/>
    </row>
    <row r="18" spans="1:22">
      <c r="A18" s="61" t="s">
        <v>209</v>
      </c>
      <c r="M18" s="48"/>
      <c r="N18" s="48"/>
      <c r="O18" s="48"/>
      <c r="P18" s="48"/>
      <c r="Q18" s="48"/>
    </row>
    <row r="19" spans="1:22">
      <c r="A19" s="61" t="s">
        <v>211</v>
      </c>
      <c r="M19" s="48"/>
      <c r="N19" s="48"/>
      <c r="O19" s="48"/>
      <c r="P19" s="48"/>
      <c r="Q19" s="48"/>
    </row>
    <row r="20" spans="1:22">
      <c r="A20" s="61" t="s">
        <v>210</v>
      </c>
      <c r="M20" s="48"/>
      <c r="N20" s="48"/>
      <c r="O20" s="48"/>
      <c r="P20" s="48"/>
      <c r="Q20" s="48"/>
    </row>
    <row r="22" spans="1:22">
      <c r="C22" s="206"/>
      <c r="D22" s="215"/>
      <c r="E22" s="206"/>
      <c r="F22" s="206"/>
      <c r="G22" s="206"/>
      <c r="H22" s="25"/>
      <c r="M22" s="194"/>
      <c r="N22" s="194"/>
      <c r="O22" s="194"/>
      <c r="P22" s="194"/>
      <c r="Q22" s="194"/>
    </row>
    <row r="23" spans="1:22">
      <c r="C23" s="206"/>
      <c r="D23" s="216"/>
      <c r="E23" s="216"/>
      <c r="F23" s="216"/>
      <c r="G23" s="206"/>
      <c r="M23" s="194"/>
      <c r="N23" s="194"/>
      <c r="O23" s="194"/>
      <c r="P23" s="194"/>
      <c r="Q23" s="194"/>
    </row>
    <row r="24" spans="1:22">
      <c r="M24" s="194"/>
      <c r="N24" s="194"/>
      <c r="O24" s="194"/>
      <c r="P24" s="194"/>
      <c r="Q24" s="194"/>
    </row>
    <row r="25" spans="1:22">
      <c r="J25" s="68"/>
      <c r="K25" s="68"/>
      <c r="L25" s="68"/>
      <c r="M25" s="68"/>
    </row>
    <row r="26" spans="1:22" ht="18.600000000000001">
      <c r="V26" s="67"/>
    </row>
    <row r="29" spans="1:22">
      <c r="S29" s="66"/>
    </row>
    <row r="31" spans="1:22">
      <c r="S31" s="66"/>
    </row>
  </sheetData>
  <mergeCells count="3">
    <mergeCell ref="C9:G9"/>
    <mergeCell ref="H9:L9"/>
    <mergeCell ref="M9:Q9"/>
  </mergeCells>
  <phoneticPr fontId="4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868A-D97F-44A3-8F54-7A9A9F5BC0CE}">
  <sheetPr>
    <tabColor rgb="FFC00000"/>
  </sheetPr>
  <dimension ref="A1:K25"/>
  <sheetViews>
    <sheetView showGridLines="0" workbookViewId="0">
      <selection activeCell="I26" sqref="I26"/>
    </sheetView>
  </sheetViews>
  <sheetFormatPr defaultRowHeight="14.4"/>
  <cols>
    <col min="1" max="1" width="30.5546875" bestFit="1" customWidth="1"/>
    <col min="2" max="9" width="12.5546875" bestFit="1" customWidth="1"/>
    <col min="10" max="10" width="13.6640625" bestFit="1" customWidth="1"/>
    <col min="11" max="11" width="12.5546875" bestFit="1" customWidth="1"/>
  </cols>
  <sheetData>
    <row r="1" spans="1:11" ht="15.6">
      <c r="A1" s="199" t="s">
        <v>177</v>
      </c>
      <c r="B1" s="170">
        <v>2017</v>
      </c>
      <c r="C1" s="170">
        <v>2018</v>
      </c>
      <c r="D1" s="170">
        <v>2019</v>
      </c>
      <c r="E1" s="170">
        <v>2020</v>
      </c>
      <c r="F1" s="170">
        <v>2021</v>
      </c>
      <c r="G1" s="171" t="s">
        <v>136</v>
      </c>
      <c r="H1" s="171" t="s">
        <v>137</v>
      </c>
      <c r="I1" s="171" t="s">
        <v>138</v>
      </c>
      <c r="J1" s="171" t="s">
        <v>139</v>
      </c>
      <c r="K1" s="172" t="s">
        <v>140</v>
      </c>
    </row>
    <row r="2" spans="1:11">
      <c r="A2" s="80" t="s">
        <v>150</v>
      </c>
      <c r="B2" s="94">
        <f>'Balance Sheet'!B7</f>
        <v>349771</v>
      </c>
      <c r="C2" s="94">
        <f>'Balance Sheet'!C7</f>
        <v>373466</v>
      </c>
      <c r="D2" s="94">
        <f>'Balance Sheet'!D7</f>
        <v>316765</v>
      </c>
      <c r="E2" s="94">
        <f>'Balance Sheet'!E7</f>
        <v>713237</v>
      </c>
      <c r="F2" s="94">
        <f>'Balance Sheet'!F7</f>
        <v>656055</v>
      </c>
      <c r="G2" s="82">
        <f>(2*'Income Statement'!G4/NWC!G3)-NWC!F2</f>
        <v>615356.20620009373</v>
      </c>
      <c r="H2" s="82">
        <f>(2*'Income Statement'!H4/NWC!H3)-NWC!G2</f>
        <v>928817.8669186905</v>
      </c>
      <c r="I2" s="82">
        <f>(2*'Income Statement'!I4/NWC!I3)-NWC!H2</f>
        <v>891020.96365410206</v>
      </c>
      <c r="J2" s="82">
        <f>(2*'Income Statement'!J4/NWC!J3)-NWC!I2</f>
        <v>1083642.3705977339</v>
      </c>
      <c r="K2" s="83">
        <f>(2*'Income Statement'!K4/NWC!K3)-NWC!J2</f>
        <v>979024.57696995512</v>
      </c>
    </row>
    <row r="3" spans="1:11">
      <c r="A3" s="81" t="s">
        <v>151</v>
      </c>
      <c r="B3" s="95"/>
      <c r="C3" s="95">
        <f>'Income Statement'!C4/AVERAGE(NWC!B2:C2)</f>
        <v>8.3496391915789712</v>
      </c>
      <c r="D3" s="95">
        <f>'Income Statement'!D4/AVERAGE(NWC!C2:D2)</f>
        <v>7.5646558905641736</v>
      </c>
      <c r="E3" s="95">
        <f>'Income Statement'!E4/AVERAGE(NWC!D2:E2)</f>
        <v>4.850375047815441</v>
      </c>
      <c r="F3" s="95">
        <f>'Income Statement'!F4/AVERAGE(NWC!E2:F2)</f>
        <v>4.067117897424362</v>
      </c>
      <c r="G3" s="84">
        <f>AVERAGE(C3:F3)</f>
        <v>6.2079470068457372</v>
      </c>
      <c r="H3" s="84">
        <f t="shared" ref="H3:K3" si="0">AVERAGE(D3:G3)</f>
        <v>5.6725239606624278</v>
      </c>
      <c r="I3" s="84">
        <f t="shared" si="0"/>
        <v>5.1994909781869918</v>
      </c>
      <c r="J3" s="84">
        <f t="shared" si="0"/>
        <v>5.2867699607798802</v>
      </c>
      <c r="K3" s="85">
        <f t="shared" si="0"/>
        <v>5.5916829766187597</v>
      </c>
    </row>
    <row r="4" spans="1:11">
      <c r="A4" s="192" t="s">
        <v>224</v>
      </c>
      <c r="B4" s="96"/>
      <c r="C4" s="97">
        <f>360/C3</f>
        <v>43.115635507110056</v>
      </c>
      <c r="D4" s="97">
        <f t="shared" ref="D4:K4" si="1">360/D3</f>
        <v>47.589739071812708</v>
      </c>
      <c r="E4" s="97">
        <f t="shared" si="1"/>
        <v>74.221064649864616</v>
      </c>
      <c r="F4" s="97">
        <f t="shared" si="1"/>
        <v>88.514768708323402</v>
      </c>
      <c r="G4" s="88">
        <f t="shared" si="1"/>
        <v>57.990185741439873</v>
      </c>
      <c r="H4" s="88">
        <f t="shared" si="1"/>
        <v>63.463813021595385</v>
      </c>
      <c r="I4" s="88">
        <f t="shared" si="1"/>
        <v>69.23754681184738</v>
      </c>
      <c r="J4" s="88">
        <f t="shared" si="1"/>
        <v>68.094508115668887</v>
      </c>
      <c r="K4" s="89">
        <f t="shared" si="1"/>
        <v>64.38133232969669</v>
      </c>
    </row>
    <row r="5" spans="1:11">
      <c r="A5" s="195"/>
      <c r="B5" s="96"/>
      <c r="C5" s="96"/>
      <c r="D5" s="96"/>
      <c r="E5" s="96"/>
      <c r="F5" s="96"/>
      <c r="G5" s="86"/>
      <c r="H5" s="86"/>
      <c r="I5" s="86"/>
      <c r="J5" s="86"/>
      <c r="K5" s="87"/>
    </row>
    <row r="6" spans="1:11">
      <c r="A6" s="80" t="s">
        <v>72</v>
      </c>
      <c r="B6" s="94">
        <f>'Balance Sheet'!B8</f>
        <v>443981</v>
      </c>
      <c r="C6" s="94">
        <f>'Balance Sheet'!C8</f>
        <v>401916</v>
      </c>
      <c r="D6" s="94">
        <f>'Balance Sheet'!D8</f>
        <v>382387</v>
      </c>
      <c r="E6" s="94">
        <f>'Balance Sheet'!E8</f>
        <v>376313</v>
      </c>
      <c r="F6" s="94">
        <f>'Balance Sheet'!F8</f>
        <v>367871</v>
      </c>
      <c r="G6" s="82">
        <f>(2*G7*'Income Statement'!G5)/360 -NWC!F6</f>
        <v>567132.29574586882</v>
      </c>
      <c r="H6" s="82">
        <f>(2*H7*'Income Statement'!H5)/360 -NWC!G6</f>
        <v>617468.50775685662</v>
      </c>
      <c r="I6" s="82">
        <f>(2*I7*'Income Statement'!I5)/360 -NWC!H6</f>
        <v>679065.79524425033</v>
      </c>
      <c r="J6" s="82">
        <f>(2*J7*'Income Statement'!J5)/360 -NWC!I6</f>
        <v>736581.23266907095</v>
      </c>
      <c r="K6" s="83">
        <f>(2*K7*'Income Statement'!K5)/360 -NWC!J6</f>
        <v>826402.69352813961</v>
      </c>
    </row>
    <row r="7" spans="1:11">
      <c r="A7" s="81" t="s">
        <v>152</v>
      </c>
      <c r="B7" s="96"/>
      <c r="C7" s="97">
        <f>360/('Income Statement'!C5/(AVERAGE(NWC!B6:C6)))</f>
        <v>82.943998901789712</v>
      </c>
      <c r="D7" s="97">
        <f>360/('Income Statement'!D5/(AVERAGE(NWC!C6:D6)))</f>
        <v>91.814509048481867</v>
      </c>
      <c r="E7" s="97">
        <f>360/('Income Statement'!E5/(AVERAGE(NWC!D6:E6)))</f>
        <v>91.756581612805036</v>
      </c>
      <c r="F7" s="97">
        <f>360/('Income Statement'!F5/(AVERAGE(NWC!E6:F6)))</f>
        <v>78.704794270635958</v>
      </c>
      <c r="G7" s="88">
        <v>68.892257094005743</v>
      </c>
      <c r="H7" s="88">
        <v>78.648552762154907</v>
      </c>
      <c r="I7" s="88">
        <v>79.685914847676642</v>
      </c>
      <c r="J7" s="88">
        <v>78.861096897591011</v>
      </c>
      <c r="K7" s="89">
        <v>78.808701032819869</v>
      </c>
    </row>
    <row r="8" spans="1:11">
      <c r="A8" s="81" t="s">
        <v>153</v>
      </c>
      <c r="B8" s="96"/>
      <c r="C8" s="97">
        <f>360/C7</f>
        <v>4.3402778352447164</v>
      </c>
      <c r="D8" s="97">
        <f t="shared" ref="D8:K8" si="2">360/D7</f>
        <v>3.9209489189764666</v>
      </c>
      <c r="E8" s="97">
        <f t="shared" si="2"/>
        <v>3.9234242783708981</v>
      </c>
      <c r="F8" s="97">
        <f t="shared" si="2"/>
        <v>4.5740542661492318</v>
      </c>
      <c r="G8" s="88">
        <f t="shared" si="2"/>
        <v>5.225550957181853</v>
      </c>
      <c r="H8" s="88">
        <f t="shared" si="2"/>
        <v>4.57732516819088</v>
      </c>
      <c r="I8" s="88">
        <f t="shared" si="2"/>
        <v>4.5177369261325149</v>
      </c>
      <c r="J8" s="88">
        <f t="shared" si="2"/>
        <v>4.5649884944853847</v>
      </c>
      <c r="K8" s="89">
        <f t="shared" si="2"/>
        <v>4.5680235212870475</v>
      </c>
    </row>
    <row r="9" spans="1:11">
      <c r="A9" s="81"/>
      <c r="B9" s="96"/>
      <c r="C9" s="97"/>
      <c r="D9" s="97"/>
      <c r="E9" s="97"/>
      <c r="F9" s="97"/>
      <c r="G9" s="88"/>
      <c r="H9" s="88"/>
      <c r="I9" s="88"/>
      <c r="J9" s="88"/>
      <c r="K9" s="89"/>
    </row>
    <row r="10" spans="1:11">
      <c r="A10" s="7" t="s">
        <v>170</v>
      </c>
      <c r="B10" s="94">
        <f>'Balance Sheet'!B9</f>
        <v>14404</v>
      </c>
      <c r="C10" s="94">
        <f>'Balance Sheet'!C9</f>
        <v>12107</v>
      </c>
      <c r="D10" s="94">
        <f>'Balance Sheet'!D9</f>
        <v>13344</v>
      </c>
      <c r="E10" s="94">
        <f>'Balance Sheet'!E9</f>
        <v>12201</v>
      </c>
      <c r="F10" s="94">
        <f>'Balance Sheet'!F9</f>
        <v>20293</v>
      </c>
      <c r="G10" s="82">
        <f>'Income Statement'!G4*NWC!G11</f>
        <v>20590.424532437522</v>
      </c>
      <c r="H10" s="82">
        <f>'Income Statement'!H4*NWC!H11</f>
        <v>22850.928970043671</v>
      </c>
      <c r="I10" s="82">
        <f>'Income Statement'!I4*NWC!I11</f>
        <v>24684.539034101588</v>
      </c>
      <c r="J10" s="82">
        <f>'Income Statement'!J4*NWC!J11</f>
        <v>27234.207428361296</v>
      </c>
      <c r="K10" s="83">
        <f>'Income Statement'!K4*NWC!K11</f>
        <v>30088.6647463878</v>
      </c>
    </row>
    <row r="11" spans="1:11">
      <c r="A11" s="6" t="s">
        <v>172</v>
      </c>
      <c r="B11" s="96"/>
      <c r="C11" s="96"/>
      <c r="D11" s="96"/>
      <c r="E11" s="96"/>
      <c r="F11" s="98">
        <f>AVERAGE(B10:F10)/AVERAGE('Income Statement'!B4:F4)</f>
        <v>5.2174856189036688E-3</v>
      </c>
      <c r="G11" s="90">
        <f>F11</f>
        <v>5.2174856189036688E-3</v>
      </c>
      <c r="H11" s="90">
        <f t="shared" ref="H11:K11" si="3">G11</f>
        <v>5.2174856189036688E-3</v>
      </c>
      <c r="I11" s="90">
        <f t="shared" si="3"/>
        <v>5.2174856189036688E-3</v>
      </c>
      <c r="J11" s="90">
        <f t="shared" si="3"/>
        <v>5.2174856189036688E-3</v>
      </c>
      <c r="K11" s="91">
        <f t="shared" si="3"/>
        <v>5.2174856189036688E-3</v>
      </c>
    </row>
    <row r="12" spans="1:11">
      <c r="A12" s="6"/>
      <c r="B12" s="96"/>
      <c r="C12" s="96"/>
      <c r="D12" s="96"/>
      <c r="E12" s="96"/>
      <c r="F12" s="96"/>
      <c r="G12" s="86"/>
      <c r="H12" s="86"/>
      <c r="I12" s="86"/>
      <c r="J12" s="86"/>
      <c r="K12" s="87"/>
    </row>
    <row r="13" spans="1:11">
      <c r="A13" s="7" t="s">
        <v>77</v>
      </c>
      <c r="B13" s="94">
        <f>'Balance Sheet'!B10</f>
        <v>59178</v>
      </c>
      <c r="C13" s="94">
        <f>'Balance Sheet'!C10</f>
        <v>30185</v>
      </c>
      <c r="D13" s="94">
        <f>'Balance Sheet'!D10</f>
        <v>41789</v>
      </c>
      <c r="E13" s="94">
        <f>'Balance Sheet'!E10</f>
        <v>50125</v>
      </c>
      <c r="F13" s="94">
        <f>'Balance Sheet'!F10</f>
        <v>43967</v>
      </c>
      <c r="G13" s="82">
        <f>G14*'Income Statement'!G4</f>
        <v>64104.128369215301</v>
      </c>
      <c r="H13" s="82">
        <f>H14*'Income Statement'!H4</f>
        <v>71141.752407476495</v>
      </c>
      <c r="I13" s="82">
        <f>I14*'Income Statement'!I4</f>
        <v>76850.327028669068</v>
      </c>
      <c r="J13" s="82">
        <f>J14*'Income Statement'!J4</f>
        <v>84788.204646834274</v>
      </c>
      <c r="K13" s="83">
        <f>K14*'Income Statement'!K4</f>
        <v>93674.981024414636</v>
      </c>
    </row>
    <row r="14" spans="1:11" ht="15" thickBot="1">
      <c r="A14" s="9" t="s">
        <v>171</v>
      </c>
      <c r="B14" s="99"/>
      <c r="C14" s="99"/>
      <c r="D14" s="99"/>
      <c r="E14" s="99"/>
      <c r="F14" s="138">
        <f>AVERAGE(B13:F13)/AVERAGE('Income Statement'!B4:F4)</f>
        <v>1.6243587758563879E-2</v>
      </c>
      <c r="G14" s="139">
        <f>F14</f>
        <v>1.6243587758563879E-2</v>
      </c>
      <c r="H14" s="139">
        <f t="shared" ref="H14:K14" si="4">G14</f>
        <v>1.6243587758563879E-2</v>
      </c>
      <c r="I14" s="139">
        <f t="shared" si="4"/>
        <v>1.6243587758563879E-2</v>
      </c>
      <c r="J14" s="139">
        <f t="shared" si="4"/>
        <v>1.6243587758563879E-2</v>
      </c>
      <c r="K14" s="140">
        <f t="shared" si="4"/>
        <v>1.6243587758563879E-2</v>
      </c>
    </row>
    <row r="15" spans="1:11" ht="15" thickBot="1"/>
    <row r="16" spans="1:11" ht="15.6">
      <c r="A16" s="200" t="s">
        <v>178</v>
      </c>
      <c r="B16" s="170">
        <v>2017</v>
      </c>
      <c r="C16" s="170">
        <v>2018</v>
      </c>
      <c r="D16" s="170">
        <v>2019</v>
      </c>
      <c r="E16" s="170">
        <v>2020</v>
      </c>
      <c r="F16" s="170">
        <v>2021</v>
      </c>
      <c r="G16" s="171" t="s">
        <v>136</v>
      </c>
      <c r="H16" s="171" t="s">
        <v>137</v>
      </c>
      <c r="I16" s="171" t="s">
        <v>138</v>
      </c>
      <c r="J16" s="171" t="s">
        <v>139</v>
      </c>
      <c r="K16" s="172" t="s">
        <v>140</v>
      </c>
    </row>
    <row r="17" spans="1:11">
      <c r="A17" s="80" t="s">
        <v>154</v>
      </c>
      <c r="B17" s="94">
        <f>'Balance Sheet'!B28</f>
        <v>781422</v>
      </c>
      <c r="C17" s="94">
        <f>'Balance Sheet'!C28</f>
        <v>738582</v>
      </c>
      <c r="D17" s="94">
        <f>'Balance Sheet'!D28</f>
        <v>676833</v>
      </c>
      <c r="E17" s="94">
        <f>'Balance Sheet'!E28</f>
        <v>776430</v>
      </c>
      <c r="F17" s="94">
        <f>'Balance Sheet'!F28</f>
        <v>714967</v>
      </c>
      <c r="G17" s="82">
        <f>(2*'Income Statement'!G5/NWC!G18)-NWC!F17</f>
        <v>1060881.6706311652</v>
      </c>
      <c r="H17" s="82">
        <f>(2*'Income Statement'!H5/NWC!H18)-NWC!G17</f>
        <v>1154152.9762711274</v>
      </c>
      <c r="I17" s="82">
        <f>(2*'Income Statement'!I5/NWC!I18)-NWC!H17</f>
        <v>1270181.3594417893</v>
      </c>
      <c r="J17" s="82">
        <f>(2*'Income Statement'!J5/NWC!J18)-NWC!I17</f>
        <v>1376876.7932627727</v>
      </c>
      <c r="K17" s="83">
        <f>(2*'Income Statement'!K5/NWC!K18)-NWC!J17</f>
        <v>1545680.357501673</v>
      </c>
    </row>
    <row r="18" spans="1:11">
      <c r="A18" s="81" t="s">
        <v>155</v>
      </c>
      <c r="B18" s="96"/>
      <c r="C18" s="95">
        <f>'Income Statement'!C5/(AVERAGE(NWC!B17:C17))</f>
        <v>2.4154068015610486</v>
      </c>
      <c r="D18" s="95">
        <f>'Income Statement'!D5/(AVERAGE(NWC!C17:D17))</f>
        <v>2.1726574891462929</v>
      </c>
      <c r="E18" s="95">
        <f>'Income Statement'!E5/(AVERAGE(NWC!D17:E17))</f>
        <v>2.0482885754333524</v>
      </c>
      <c r="F18" s="95">
        <f>'Income Statement'!F5/(AVERAGE(NWC!E17:F17))</f>
        <v>2.2823822228420734</v>
      </c>
      <c r="G18" s="84">
        <v>2.7513084013608444</v>
      </c>
      <c r="H18" s="84">
        <v>2.447954066865369</v>
      </c>
      <c r="I18" s="84">
        <v>2.416086267632354</v>
      </c>
      <c r="J18" s="84">
        <v>2.441356412239732</v>
      </c>
      <c r="K18" s="85">
        <v>2.4429795449491594</v>
      </c>
    </row>
    <row r="19" spans="1:11">
      <c r="A19" s="81" t="s">
        <v>156</v>
      </c>
      <c r="B19" s="96"/>
      <c r="C19" s="97">
        <f>360/C18</f>
        <v>149.04321697170693</v>
      </c>
      <c r="D19" s="97">
        <f t="shared" ref="D19:K19" si="5">360/D18</f>
        <v>165.69569837786793</v>
      </c>
      <c r="E19" s="97">
        <f t="shared" si="5"/>
        <v>175.7564848614339</v>
      </c>
      <c r="F19" s="97">
        <f t="shared" si="5"/>
        <v>157.72993515158032</v>
      </c>
      <c r="G19" s="88">
        <f t="shared" si="5"/>
        <v>130.8468362986635</v>
      </c>
      <c r="H19" s="88">
        <f t="shared" si="5"/>
        <v>147.06158292462726</v>
      </c>
      <c r="I19" s="88">
        <f t="shared" si="5"/>
        <v>149.00130215664126</v>
      </c>
      <c r="J19" s="88">
        <f t="shared" si="5"/>
        <v>147.45901016137637</v>
      </c>
      <c r="K19" s="89">
        <f t="shared" si="5"/>
        <v>147.36103736287811</v>
      </c>
    </row>
    <row r="20" spans="1:11">
      <c r="A20" s="81"/>
      <c r="B20" s="96"/>
      <c r="C20" s="97"/>
      <c r="D20" s="97"/>
      <c r="E20" s="97"/>
      <c r="F20" s="97"/>
      <c r="G20" s="88"/>
      <c r="H20" s="88"/>
      <c r="I20" s="88"/>
      <c r="J20" s="88"/>
      <c r="K20" s="89"/>
    </row>
    <row r="21" spans="1:11">
      <c r="A21" s="7" t="s">
        <v>173</v>
      </c>
      <c r="B21" s="94">
        <f>'Balance Sheet'!B33</f>
        <v>61258</v>
      </c>
      <c r="C21" s="94">
        <f>'Balance Sheet'!C33</f>
        <v>14910</v>
      </c>
      <c r="D21" s="94">
        <f>'Balance Sheet'!D33</f>
        <v>19419</v>
      </c>
      <c r="E21" s="94">
        <f>'Balance Sheet'!E33</f>
        <v>15559</v>
      </c>
      <c r="F21" s="94">
        <f>'Balance Sheet'!F33</f>
        <v>15584</v>
      </c>
      <c r="G21" s="82">
        <f>'Income Statement'!G4*NWC!G22</f>
        <v>36067.181315509646</v>
      </c>
      <c r="H21" s="82">
        <f>'Income Statement'!H4*NWC!H22</f>
        <v>40026.789981528898</v>
      </c>
      <c r="I21" s="82">
        <f>'Income Statement'!I4*NWC!I22</f>
        <v>43238.629860698755</v>
      </c>
      <c r="J21" s="82">
        <f>'Income Statement'!J4*NWC!J22</f>
        <v>47704.752068393864</v>
      </c>
      <c r="K21" s="83">
        <f>'Income Statement'!K4*NWC!K22</f>
        <v>52704.757264229309</v>
      </c>
    </row>
    <row r="22" spans="1:11">
      <c r="A22" s="6" t="s">
        <v>174</v>
      </c>
      <c r="B22" s="96"/>
      <c r="C22" s="96"/>
      <c r="D22" s="96"/>
      <c r="E22" s="96"/>
      <c r="F22" s="98">
        <f>AVERAGE(B21:F21)/AVERAGE('Income Statement'!B4:F4)</f>
        <v>9.1391996086146593E-3</v>
      </c>
      <c r="G22" s="90">
        <f>F22</f>
        <v>9.1391996086146593E-3</v>
      </c>
      <c r="H22" s="90">
        <f t="shared" ref="H22:K22" si="6">G22</f>
        <v>9.1391996086146593E-3</v>
      </c>
      <c r="I22" s="90">
        <f t="shared" si="6"/>
        <v>9.1391996086146593E-3</v>
      </c>
      <c r="J22" s="90">
        <f t="shared" si="6"/>
        <v>9.1391996086146593E-3</v>
      </c>
      <c r="K22" s="91">
        <f t="shared" si="6"/>
        <v>9.1391996086146593E-3</v>
      </c>
    </row>
    <row r="23" spans="1:11">
      <c r="A23" s="6"/>
      <c r="B23" s="96"/>
      <c r="C23" s="96"/>
      <c r="D23" s="96"/>
      <c r="E23" s="96"/>
      <c r="F23" s="96"/>
      <c r="G23" s="86"/>
      <c r="H23" s="86"/>
      <c r="I23" s="86"/>
      <c r="J23" s="86"/>
      <c r="K23" s="87"/>
    </row>
    <row r="24" spans="1:11">
      <c r="A24" s="7" t="s">
        <v>175</v>
      </c>
      <c r="B24" s="94">
        <f>'Balance Sheet'!B29</f>
        <v>482824</v>
      </c>
      <c r="C24" s="94">
        <f>'Balance Sheet'!C29</f>
        <v>514489</v>
      </c>
      <c r="D24" s="94">
        <f>'Balance Sheet'!D29</f>
        <v>564082</v>
      </c>
      <c r="E24" s="94">
        <f>'Balance Sheet'!E29</f>
        <v>584434</v>
      </c>
      <c r="F24" s="94">
        <f>'Balance Sheet'!F29</f>
        <v>618079</v>
      </c>
      <c r="G24" s="82">
        <f>'Income Statement'!G4*NWC!G25</f>
        <v>786604.36341345892</v>
      </c>
      <c r="H24" s="82">
        <f>'Income Statement'!H4*NWC!H25</f>
        <v>872961.13820143288</v>
      </c>
      <c r="I24" s="82">
        <f>'Income Statement'!I4*NWC!I25</f>
        <v>943009.50825395866</v>
      </c>
      <c r="J24" s="82">
        <f>'Income Statement'!J4*NWC!J25</f>
        <v>1040413.0504209765</v>
      </c>
      <c r="K24" s="83">
        <f>'Income Statement'!K4*NWC!K25</f>
        <v>1149460.2717640772</v>
      </c>
    </row>
    <row r="25" spans="1:11" ht="15" thickBot="1">
      <c r="A25" s="9" t="s">
        <v>176</v>
      </c>
      <c r="B25" s="99"/>
      <c r="C25" s="99"/>
      <c r="D25" s="99"/>
      <c r="E25" s="99"/>
      <c r="F25" s="100">
        <f>AVERAGE(B24:F24)/AVERAGE('Income Statement'!B4:F4)</f>
        <v>0.19932065739640911</v>
      </c>
      <c r="G25" s="92">
        <f>F25</f>
        <v>0.19932065739640911</v>
      </c>
      <c r="H25" s="92">
        <f t="shared" ref="H25:K25" si="7">G25</f>
        <v>0.19932065739640911</v>
      </c>
      <c r="I25" s="92">
        <f t="shared" si="7"/>
        <v>0.19932065739640911</v>
      </c>
      <c r="J25" s="92">
        <f t="shared" si="7"/>
        <v>0.19932065739640911</v>
      </c>
      <c r="K25" s="93">
        <f t="shared" si="7"/>
        <v>0.19932065739640911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K32"/>
  <sheetViews>
    <sheetView showGridLines="0" zoomScale="85" zoomScaleNormal="85" workbookViewId="0">
      <selection activeCell="L6" sqref="L6"/>
    </sheetView>
  </sheetViews>
  <sheetFormatPr defaultRowHeight="14.4"/>
  <cols>
    <col min="1" max="1" width="54.88671875" customWidth="1"/>
    <col min="2" max="11" width="13" bestFit="1" customWidth="1"/>
    <col min="12" max="12" width="34" customWidth="1"/>
    <col min="13" max="13" width="11" bestFit="1" customWidth="1"/>
  </cols>
  <sheetData>
    <row r="1" spans="1:11" ht="24.6" customHeight="1" thickBot="1">
      <c r="A1" s="234" t="s">
        <v>84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</row>
    <row r="2" spans="1:11" ht="24.6" customHeight="1" thickBot="1">
      <c r="A2" s="190"/>
      <c r="B2" s="236" t="s">
        <v>213</v>
      </c>
      <c r="C2" s="236"/>
      <c r="D2" s="236"/>
      <c r="E2" s="236"/>
      <c r="F2" s="237"/>
      <c r="G2" s="231" t="s">
        <v>89</v>
      </c>
      <c r="H2" s="232"/>
      <c r="I2" s="232"/>
      <c r="J2" s="232"/>
      <c r="K2" s="233"/>
    </row>
    <row r="3" spans="1:11" ht="15" thickBot="1">
      <c r="A3" s="191" t="s">
        <v>82</v>
      </c>
      <c r="B3" s="47">
        <v>2017</v>
      </c>
      <c r="C3" s="47">
        <v>2018</v>
      </c>
      <c r="D3" s="47">
        <v>2019</v>
      </c>
      <c r="E3" s="47">
        <v>2020</v>
      </c>
      <c r="F3" s="47">
        <v>2021</v>
      </c>
      <c r="G3" s="46" t="s">
        <v>136</v>
      </c>
      <c r="H3" s="46" t="s">
        <v>137</v>
      </c>
      <c r="I3" s="46" t="s">
        <v>138</v>
      </c>
      <c r="J3" s="46" t="s">
        <v>139</v>
      </c>
      <c r="K3" s="46" t="s">
        <v>140</v>
      </c>
    </row>
    <row r="4" spans="1:11" ht="16.2">
      <c r="A4" s="176" t="s">
        <v>239</v>
      </c>
      <c r="B4" s="177">
        <v>2954093</v>
      </c>
      <c r="C4" s="177">
        <v>3019384</v>
      </c>
      <c r="D4" s="177">
        <v>2610680</v>
      </c>
      <c r="E4" s="177">
        <v>2497948</v>
      </c>
      <c r="F4" s="177">
        <v>2784536</v>
      </c>
      <c r="G4" s="177">
        <f>SUM('Revenue forecast'!M11:M16)</f>
        <v>3946426.6960000005</v>
      </c>
      <c r="H4" s="177">
        <f>SUM('Revenue forecast'!N11:N16)</f>
        <v>4379682.2145999996</v>
      </c>
      <c r="I4" s="177">
        <f>SUM('Revenue forecast'!O11:O16)</f>
        <v>4731117.7906587999</v>
      </c>
      <c r="J4" s="177">
        <f>SUM('Revenue forecast'!P11:P16)</f>
        <v>5219795.3990880232</v>
      </c>
      <c r="K4" s="177">
        <f>SUM('Revenue forecast'!Q11:Q16)</f>
        <v>5766889.8285742132</v>
      </c>
    </row>
    <row r="5" spans="1:11">
      <c r="A5" s="6" t="s">
        <v>0</v>
      </c>
      <c r="B5" s="20">
        <v>1742884</v>
      </c>
      <c r="C5" s="20">
        <v>1835714</v>
      </c>
      <c r="D5" s="20">
        <v>1537606</v>
      </c>
      <c r="E5" s="20">
        <v>1488351</v>
      </c>
      <c r="F5" s="20">
        <v>1701969</v>
      </c>
      <c r="G5" s="20">
        <f>G4*'Assumption Summary'!$C$20</f>
        <v>2442953.6835265057</v>
      </c>
      <c r="H5" s="20">
        <f>H4*'Assumption Summary'!$C$20</f>
        <v>2711151.5360660818</v>
      </c>
      <c r="I5" s="20">
        <f>I4*'Assumption Summary'!$C$20</f>
        <v>2928700.4483327917</v>
      </c>
      <c r="J5" s="20">
        <f>J4*'Assumption Summary'!$C$20</f>
        <v>3231206.1973383711</v>
      </c>
      <c r="K5" s="20">
        <f>K4*'Assumption Summary'!$C$20</f>
        <v>3569873.6691312185</v>
      </c>
    </row>
    <row r="6" spans="1:11">
      <c r="A6" s="7" t="s">
        <v>1</v>
      </c>
      <c r="B6" s="105">
        <f t="shared" ref="B6:F6" si="0">B4-B5</f>
        <v>1211209</v>
      </c>
      <c r="C6" s="105">
        <f t="shared" si="0"/>
        <v>1183670</v>
      </c>
      <c r="D6" s="105">
        <f t="shared" si="0"/>
        <v>1073074</v>
      </c>
      <c r="E6" s="105">
        <f t="shared" si="0"/>
        <v>1009597</v>
      </c>
      <c r="F6" s="105">
        <f t="shared" si="0"/>
        <v>1082567</v>
      </c>
      <c r="G6" s="105">
        <f>G4-G5</f>
        <v>1503473.0124734947</v>
      </c>
      <c r="H6" s="105">
        <f t="shared" ref="H6:K6" si="1">H4-H5</f>
        <v>1668530.6785339178</v>
      </c>
      <c r="I6" s="105">
        <f t="shared" si="1"/>
        <v>1802417.3423260082</v>
      </c>
      <c r="J6" s="105">
        <f t="shared" si="1"/>
        <v>1988589.2017496522</v>
      </c>
      <c r="K6" s="105">
        <f t="shared" si="1"/>
        <v>2197016.1594429947</v>
      </c>
    </row>
    <row r="7" spans="1:11">
      <c r="A7" s="64" t="s">
        <v>2</v>
      </c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1">
      <c r="A8" s="6" t="s">
        <v>87</v>
      </c>
      <c r="B8" s="63">
        <v>250855</v>
      </c>
      <c r="C8" s="63">
        <v>278152</v>
      </c>
      <c r="D8" s="63">
        <v>256139</v>
      </c>
      <c r="E8" s="63">
        <v>287733</v>
      </c>
      <c r="F8" s="62">
        <v>340452</v>
      </c>
      <c r="G8" s="20">
        <f>F8*(1+'Assumption Summary'!$C$21)</f>
        <v>374497.2</v>
      </c>
      <c r="H8" s="20">
        <f>G8*(1+'Assumption Summary'!$C$21)</f>
        <v>411946.92000000004</v>
      </c>
      <c r="I8" s="20">
        <f>H8*(1+'Assumption Summary'!$C$21)</f>
        <v>453141.61200000008</v>
      </c>
      <c r="J8" s="20">
        <f>I8*(1+'Assumption Summary'!$C$21)</f>
        <v>498455.77320000011</v>
      </c>
      <c r="K8" s="20">
        <f>J8*(1+'Assumption Summary'!$C$21)</f>
        <v>548301.35052000021</v>
      </c>
    </row>
    <row r="9" spans="1:11">
      <c r="A9" s="6" t="s">
        <v>3</v>
      </c>
      <c r="B9" s="20">
        <v>854120</v>
      </c>
      <c r="C9" s="20">
        <v>899023</v>
      </c>
      <c r="D9" s="20">
        <v>830022</v>
      </c>
      <c r="E9" s="20">
        <v>665950</v>
      </c>
      <c r="F9" s="20">
        <v>742821</v>
      </c>
      <c r="G9" s="20">
        <f>F9*(1+'Assumption Summary'!$C$22)</f>
        <v>794818.47000000009</v>
      </c>
      <c r="H9" s="20">
        <f>G9*(1+'Assumption Summary'!$C$22)</f>
        <v>850455.76290000009</v>
      </c>
      <c r="I9" s="20">
        <f>H9*(1+'Assumption Summary'!$C$22)</f>
        <v>909987.66630300018</v>
      </c>
      <c r="J9" s="20">
        <f>I9*(1+'Assumption Summary'!$C$22)</f>
        <v>973686.80294421024</v>
      </c>
      <c r="K9" s="20">
        <f>J9*(1+'Assumption Summary'!$C$22)</f>
        <v>1041844.8791503051</v>
      </c>
    </row>
    <row r="10" spans="1:11">
      <c r="A10" s="6" t="s">
        <v>4</v>
      </c>
      <c r="B10" s="20">
        <v>-19751</v>
      </c>
      <c r="C10" s="20">
        <v>300285</v>
      </c>
      <c r="D10" s="20">
        <v>28714</v>
      </c>
      <c r="E10" s="20">
        <v>137610</v>
      </c>
      <c r="F10" s="20">
        <v>6321</v>
      </c>
      <c r="G10" s="20">
        <f>G4*'Assumption Summary'!$C$23</f>
        <v>128974.11158669098</v>
      </c>
      <c r="H10" s="20">
        <f>H4*'Assumption Summary'!$C$23</f>
        <v>143133.43846791831</v>
      </c>
      <c r="I10" s="20">
        <f>I4*'Assumption Summary'!$C$23</f>
        <v>154618.78830301904</v>
      </c>
      <c r="J10" s="20">
        <f>J4*'Assumption Summary'!$C$23</f>
        <v>170589.37771326967</v>
      </c>
      <c r="K10" s="20">
        <f>K4*'Assumption Summary'!$C$23</f>
        <v>188469.10117767044</v>
      </c>
    </row>
    <row r="11" spans="1:11">
      <c r="A11" s="6" t="s">
        <v>5</v>
      </c>
      <c r="B11" s="20">
        <f>SUM(B8:B10)</f>
        <v>1085224</v>
      </c>
      <c r="C11" s="20">
        <f>SUM(C8:C10)</f>
        <v>1477460</v>
      </c>
      <c r="D11" s="20">
        <f>SUM(D8:D10)</f>
        <v>1114875</v>
      </c>
      <c r="E11" s="20">
        <f>SUM(E8:E10)</f>
        <v>1091293</v>
      </c>
      <c r="F11" s="20">
        <f>SUM(F8:F10)</f>
        <v>1089594</v>
      </c>
      <c r="G11" s="20">
        <f t="shared" ref="G11:K11" si="2">SUM(G8:G10)</f>
        <v>1298289.781586691</v>
      </c>
      <c r="H11" s="20">
        <f t="shared" si="2"/>
        <v>1405536.1213679183</v>
      </c>
      <c r="I11" s="20">
        <f t="shared" si="2"/>
        <v>1517748.0666060192</v>
      </c>
      <c r="J11" s="20">
        <f t="shared" si="2"/>
        <v>1642731.9538574801</v>
      </c>
      <c r="K11" s="20">
        <f t="shared" si="2"/>
        <v>1778615.3308479758</v>
      </c>
    </row>
    <row r="12" spans="1:11" s="45" customFormat="1">
      <c r="A12" s="101" t="s">
        <v>6</v>
      </c>
      <c r="B12" s="178">
        <f>B6-B11</f>
        <v>125985</v>
      </c>
      <c r="C12" s="178">
        <f>C6-C11</f>
        <v>-293790</v>
      </c>
      <c r="D12" s="178">
        <f>D6-D11</f>
        <v>-41801</v>
      </c>
      <c r="E12" s="178">
        <f>E6-E11</f>
        <v>-81696</v>
      </c>
      <c r="F12" s="178">
        <f>F6-F11</f>
        <v>-7027</v>
      </c>
      <c r="G12" s="178">
        <f t="shared" ref="G12:K12" si="3">G6-G11</f>
        <v>205183.23088680371</v>
      </c>
      <c r="H12" s="178">
        <f t="shared" si="3"/>
        <v>262994.55716599943</v>
      </c>
      <c r="I12" s="178">
        <f t="shared" si="3"/>
        <v>284669.27571998909</v>
      </c>
      <c r="J12" s="178">
        <f t="shared" si="3"/>
        <v>345857.24789217208</v>
      </c>
      <c r="K12" s="178">
        <f t="shared" si="3"/>
        <v>418400.82859501895</v>
      </c>
    </row>
    <row r="13" spans="1:11">
      <c r="A13" s="6" t="s">
        <v>7</v>
      </c>
      <c r="B13" s="106">
        <v>36936</v>
      </c>
      <c r="C13" s="106">
        <v>44580</v>
      </c>
      <c r="D13" s="106">
        <v>62337</v>
      </c>
      <c r="E13" s="106">
        <v>72689</v>
      </c>
      <c r="F13" s="106">
        <v>84137</v>
      </c>
      <c r="G13" s="106">
        <f>'Assumption Summary'!$C$46*'Balance Sheet'!G32+'Assumption Summary'!C47*'Balance Sheet'!G27</f>
        <v>100534.21920000001</v>
      </c>
      <c r="H13" s="106">
        <f>'Assumption Summary'!$C$46*'Balance Sheet'!H32+'Assumption Summary'!H3*'Balance Sheet'!H27</f>
        <v>97120.757376000009</v>
      </c>
      <c r="I13" s="106">
        <f>'Assumption Summary'!$C$46*'Balance Sheet'!I32+'Assumption Summary'!I3*'Balance Sheet'!I27</f>
        <v>99063.172523519999</v>
      </c>
      <c r="J13" s="106">
        <f>'Assumption Summary'!$C$46*'Balance Sheet'!J32+'Assumption Summary'!J3*'Balance Sheet'!J27</f>
        <v>101044.43597399039</v>
      </c>
      <c r="K13" s="106">
        <f>'Assumption Summary'!$C$46*'Balance Sheet'!K32+'Assumption Summary'!K3*'Balance Sheet'!K27</f>
        <v>103065.32469347022</v>
      </c>
    </row>
    <row r="14" spans="1:11">
      <c r="A14" s="6" t="s">
        <v>163</v>
      </c>
      <c r="B14" s="20">
        <v>22500</v>
      </c>
      <c r="C14" s="20">
        <v>24659</v>
      </c>
      <c r="D14" s="20">
        <v>-1662</v>
      </c>
      <c r="E14" s="20">
        <v>49644</v>
      </c>
      <c r="F14" s="20">
        <v>21129</v>
      </c>
      <c r="G14" s="20">
        <f>G4*'Assumption Summary'!$C$24</f>
        <v>33090.279898637316</v>
      </c>
      <c r="H14" s="20">
        <f>H4*'Assumption Summary'!$C$24</f>
        <v>36723.071657479406</v>
      </c>
      <c r="I14" s="20">
        <f>I4*'Assumption Summary'!$C$24</f>
        <v>39669.813729215217</v>
      </c>
      <c r="J14" s="20">
        <f>J4*'Assumption Summary'!$C$24</f>
        <v>43767.312577859659</v>
      </c>
      <c r="K14" s="20">
        <f>K4*'Assumption Summary'!$C$24</f>
        <v>48354.628952197127</v>
      </c>
    </row>
    <row r="15" spans="1:11" s="45" customFormat="1">
      <c r="A15" s="7" t="s">
        <v>8</v>
      </c>
      <c r="B15" s="105">
        <f t="shared" ref="B15:E15" si="4">B12-SUM(B13,-B14)</f>
        <v>111549</v>
      </c>
      <c r="C15" s="105">
        <f t="shared" si="4"/>
        <v>-313711</v>
      </c>
      <c r="D15" s="105">
        <f t="shared" si="4"/>
        <v>-105800</v>
      </c>
      <c r="E15" s="105">
        <f t="shared" si="4"/>
        <v>-104741</v>
      </c>
      <c r="F15" s="105">
        <f>F12-SUM(F13,-F14)</f>
        <v>-70035</v>
      </c>
      <c r="G15" s="105">
        <f t="shared" ref="G15:K15" si="5">G12-SUM(G13,-G14)</f>
        <v>137739.29158544101</v>
      </c>
      <c r="H15" s="105">
        <f t="shared" si="5"/>
        <v>202596.87144747883</v>
      </c>
      <c r="I15" s="105">
        <f t="shared" si="5"/>
        <v>225275.91692568432</v>
      </c>
      <c r="J15" s="105">
        <f t="shared" si="5"/>
        <v>288580.12449604133</v>
      </c>
      <c r="K15" s="105">
        <f t="shared" si="5"/>
        <v>363690.13285374583</v>
      </c>
    </row>
    <row r="16" spans="1:11">
      <c r="A16" s="6" t="s">
        <v>9</v>
      </c>
      <c r="B16" s="63">
        <v>21661</v>
      </c>
      <c r="C16" s="63">
        <v>-25450</v>
      </c>
      <c r="D16" s="63">
        <v>14909</v>
      </c>
      <c r="E16" s="63">
        <v>29772</v>
      </c>
      <c r="F16" s="48">
        <v>44381</v>
      </c>
      <c r="G16" s="20">
        <f>G4*'Assumption Summary'!$C$25</f>
        <v>24268.57691404919</v>
      </c>
      <c r="H16" s="20">
        <f>H4*'Assumption Summary'!$C$25</f>
        <v>26932.884574251668</v>
      </c>
      <c r="I16" s="20">
        <f>I4*'Assumption Summary'!$C$25</f>
        <v>29094.039959846639</v>
      </c>
      <c r="J16" s="20">
        <f>J4*'Assumption Summary'!$C$25</f>
        <v>32099.166125843523</v>
      </c>
      <c r="K16" s="20">
        <f>K4*'Assumption Summary'!$C$25</f>
        <v>35463.526917009593</v>
      </c>
    </row>
    <row r="17" spans="1:11">
      <c r="A17" s="6" t="s">
        <v>10</v>
      </c>
      <c r="B17" s="20">
        <f>B15-B16</f>
        <v>89888</v>
      </c>
      <c r="C17" s="20">
        <f>C15-C16</f>
        <v>-288261</v>
      </c>
      <c r="D17" s="20">
        <f>D15-D16</f>
        <v>-120709</v>
      </c>
      <c r="E17" s="20">
        <f>E15-E16</f>
        <v>-134513</v>
      </c>
      <c r="F17" s="20">
        <f>F15-F16</f>
        <v>-114416</v>
      </c>
      <c r="G17" s="20">
        <f t="shared" ref="G17:K17" si="6">G15-G16</f>
        <v>113470.71467139182</v>
      </c>
      <c r="H17" s="20">
        <f t="shared" si="6"/>
        <v>175663.98687322717</v>
      </c>
      <c r="I17" s="20">
        <f t="shared" si="6"/>
        <v>196181.87696583767</v>
      </c>
      <c r="J17" s="20">
        <f t="shared" si="6"/>
        <v>256480.9583701978</v>
      </c>
      <c r="K17" s="20">
        <f t="shared" si="6"/>
        <v>328226.60593673622</v>
      </c>
    </row>
    <row r="18" spans="1:11">
      <c r="A18" s="8" t="s">
        <v>80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</row>
    <row r="19" spans="1:11">
      <c r="A19" s="6" t="s">
        <v>11</v>
      </c>
      <c r="B19" s="20">
        <f>SUM(B17:B18)</f>
        <v>89888</v>
      </c>
      <c r="C19" s="20">
        <f>SUM(C17:C18)</f>
        <v>-288261</v>
      </c>
      <c r="D19" s="20">
        <f>SUM(D17:D18)</f>
        <v>-120709</v>
      </c>
      <c r="E19" s="20">
        <f>SUM(E17:E18)</f>
        <v>-134513</v>
      </c>
      <c r="F19" s="20">
        <f>SUM(F17:F18)</f>
        <v>-114416</v>
      </c>
      <c r="G19" s="20">
        <f t="shared" ref="G19:K19" si="7">SUM(G17:G18)</f>
        <v>113470.71467139182</v>
      </c>
      <c r="H19" s="20">
        <f t="shared" si="7"/>
        <v>175663.98687322717</v>
      </c>
      <c r="I19" s="20">
        <f t="shared" si="7"/>
        <v>196181.87696583767</v>
      </c>
      <c r="J19" s="20">
        <f t="shared" si="7"/>
        <v>256480.9583701978</v>
      </c>
      <c r="K19" s="20">
        <f t="shared" si="7"/>
        <v>328226.60593673622</v>
      </c>
    </row>
    <row r="20" spans="1:11">
      <c r="A20" s="6" t="s">
        <v>12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</row>
    <row r="21" spans="1:11" s="45" customFormat="1">
      <c r="A21" s="101" t="s">
        <v>13</v>
      </c>
      <c r="B21" s="178">
        <f t="shared" ref="B21:F21" si="8">B19-B20</f>
        <v>89888</v>
      </c>
      <c r="C21" s="178">
        <f t="shared" si="8"/>
        <v>-288261</v>
      </c>
      <c r="D21" s="178">
        <f t="shared" si="8"/>
        <v>-120709</v>
      </c>
      <c r="E21" s="178">
        <f t="shared" si="8"/>
        <v>-134513</v>
      </c>
      <c r="F21" s="178">
        <f t="shared" si="8"/>
        <v>-114416</v>
      </c>
      <c r="G21" s="178">
        <f t="shared" ref="G21:K21" si="9">G19-G20</f>
        <v>113470.71467139182</v>
      </c>
      <c r="H21" s="178">
        <f t="shared" si="9"/>
        <v>175663.98687322717</v>
      </c>
      <c r="I21" s="178">
        <f t="shared" si="9"/>
        <v>196181.87696583767</v>
      </c>
      <c r="J21" s="178">
        <f t="shared" si="9"/>
        <v>256480.9583701978</v>
      </c>
      <c r="K21" s="178">
        <f t="shared" si="9"/>
        <v>328226.60593673622</v>
      </c>
    </row>
    <row r="22" spans="1:11">
      <c r="A22" s="6" t="s">
        <v>14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</row>
    <row r="23" spans="1:11">
      <c r="A23" s="6" t="s">
        <v>15</v>
      </c>
      <c r="B23" s="20">
        <f t="shared" ref="B23:F23" si="10">B21/B26</f>
        <v>26.468786808009423</v>
      </c>
      <c r="C23" s="20">
        <f t="shared" si="10"/>
        <v>-84.882508833922259</v>
      </c>
      <c r="D23" s="20">
        <f t="shared" si="10"/>
        <v>-34.876914186651256</v>
      </c>
      <c r="E23" s="20">
        <f t="shared" si="10"/>
        <v>-36.984602694528455</v>
      </c>
      <c r="F23" s="20">
        <f t="shared" si="10"/>
        <v>-29.881431183076522</v>
      </c>
      <c r="G23" s="20">
        <f t="shared" ref="G23:K23" si="11">G21/G26</f>
        <v>29.634555934027635</v>
      </c>
      <c r="H23" s="20">
        <f t="shared" si="11"/>
        <v>45.877249118105816</v>
      </c>
      <c r="I23" s="20">
        <f t="shared" si="11"/>
        <v>51.235799677680248</v>
      </c>
      <c r="J23" s="20">
        <f t="shared" si="11"/>
        <v>66.983796910472137</v>
      </c>
      <c r="K23" s="20">
        <f t="shared" si="11"/>
        <v>85.721234248298828</v>
      </c>
    </row>
    <row r="24" spans="1:11">
      <c r="A24" s="6" t="s">
        <v>16</v>
      </c>
      <c r="B24" s="20">
        <f t="shared" ref="B24:F24" si="12">B21/B27</f>
        <v>26.46099499558434</v>
      </c>
      <c r="C24" s="20">
        <f t="shared" si="12"/>
        <v>-84.882508833922259</v>
      </c>
      <c r="D24" s="20">
        <f t="shared" si="12"/>
        <v>-34.876914186651256</v>
      </c>
      <c r="E24" s="20">
        <f t="shared" si="12"/>
        <v>-36.984602694528455</v>
      </c>
      <c r="F24" s="20">
        <f t="shared" si="12"/>
        <v>-29.881431183076522</v>
      </c>
      <c r="G24" s="20">
        <f t="shared" ref="G24:K24" si="13">G21/G27</f>
        <v>29.634555934027635</v>
      </c>
      <c r="H24" s="20">
        <f t="shared" si="13"/>
        <v>45.877249118105816</v>
      </c>
      <c r="I24" s="20">
        <f t="shared" si="13"/>
        <v>51.235799677680248</v>
      </c>
      <c r="J24" s="20">
        <f t="shared" si="13"/>
        <v>66.983796910472137</v>
      </c>
      <c r="K24" s="20">
        <f t="shared" si="13"/>
        <v>85.721234248298828</v>
      </c>
    </row>
    <row r="25" spans="1:11">
      <c r="A25" s="6" t="s">
        <v>83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</row>
    <row r="26" spans="1:11">
      <c r="A26" s="6" t="s">
        <v>15</v>
      </c>
      <c r="B26" s="20">
        <v>3396</v>
      </c>
      <c r="C26" s="20">
        <v>3396</v>
      </c>
      <c r="D26" s="20">
        <v>3461</v>
      </c>
      <c r="E26" s="20">
        <v>3637</v>
      </c>
      <c r="F26" s="20">
        <v>3829</v>
      </c>
      <c r="G26" s="20">
        <v>3829</v>
      </c>
      <c r="H26" s="20">
        <v>3829</v>
      </c>
      <c r="I26" s="20">
        <v>3829</v>
      </c>
      <c r="J26" s="20">
        <v>3829</v>
      </c>
      <c r="K26" s="20">
        <v>3829</v>
      </c>
    </row>
    <row r="27" spans="1:11">
      <c r="A27" s="6" t="s">
        <v>16</v>
      </c>
      <c r="B27" s="20">
        <v>3397</v>
      </c>
      <c r="C27" s="20">
        <v>3396</v>
      </c>
      <c r="D27" s="20">
        <v>3461</v>
      </c>
      <c r="E27" s="20">
        <v>3637</v>
      </c>
      <c r="F27" s="20">
        <v>3829</v>
      </c>
      <c r="G27" s="20">
        <v>3829</v>
      </c>
      <c r="H27" s="20">
        <v>3829</v>
      </c>
      <c r="I27" s="20">
        <v>3829</v>
      </c>
      <c r="J27" s="20">
        <v>3829</v>
      </c>
      <c r="K27" s="20">
        <v>3829</v>
      </c>
    </row>
    <row r="28" spans="1:11" ht="15" thickBot="1">
      <c r="A28" s="9" t="s">
        <v>17</v>
      </c>
      <c r="B28" s="78">
        <v>311210</v>
      </c>
      <c r="C28" s="78">
        <v>270060</v>
      </c>
      <c r="D28" s="78">
        <v>218700</v>
      </c>
      <c r="E28" s="78">
        <v>304749</v>
      </c>
      <c r="F28" s="78">
        <v>267315</v>
      </c>
      <c r="G28" s="78">
        <f>G21+G16+G13+('Balance Sheet'!G16-'Balance Sheet'!F16)</f>
        <v>256496.55078544107</v>
      </c>
      <c r="H28" s="78">
        <f>H21+H16+H13+('Balance Sheet'!H16-'Balance Sheet'!G16)</f>
        <v>318305.12962347909</v>
      </c>
      <c r="I28" s="78">
        <f>I21+I16+I13+('Balance Sheet'!I16-'Balance Sheet'!H16)</f>
        <v>343298.34026520426</v>
      </c>
      <c r="J28" s="78">
        <f>J21+J16+J13+('Balance Sheet'!J16-'Balance Sheet'!I16)</f>
        <v>408962.9963023517</v>
      </c>
      <c r="K28" s="78">
        <f>K21+K16+K13+('Balance Sheet'!K16-'Balance Sheet'!J16)</f>
        <v>486480.66209618241</v>
      </c>
    </row>
    <row r="29" spans="1:11">
      <c r="B29" s="107"/>
      <c r="C29" s="107"/>
      <c r="D29" s="107"/>
      <c r="E29" s="107"/>
      <c r="F29" s="107"/>
      <c r="G29" s="107"/>
      <c r="H29" s="107"/>
      <c r="I29" s="107"/>
      <c r="J29" s="107"/>
      <c r="K29" s="107"/>
    </row>
    <row r="30" spans="1:11">
      <c r="A30" s="217" t="s">
        <v>238</v>
      </c>
      <c r="B30" s="217" t="s">
        <v>237</v>
      </c>
      <c r="C30" s="218"/>
      <c r="D30" s="218"/>
      <c r="E30" s="217" t="s">
        <v>236</v>
      </c>
      <c r="F30" s="217" t="s">
        <v>235</v>
      </c>
      <c r="G30" s="218"/>
      <c r="H30" s="218"/>
      <c r="I30" s="218"/>
      <c r="J30" s="218"/>
      <c r="K30" s="218"/>
    </row>
    <row r="31" spans="1:11">
      <c r="A31" s="43"/>
    </row>
    <row r="32" spans="1:11">
      <c r="A32" s="61" t="s">
        <v>142</v>
      </c>
    </row>
  </sheetData>
  <mergeCells count="3">
    <mergeCell ref="G2:K2"/>
    <mergeCell ref="A1:K1"/>
    <mergeCell ref="B2:F2"/>
  </mergeCells>
  <phoneticPr fontId="19" type="noConversion"/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U52"/>
  <sheetViews>
    <sheetView showGridLines="0" topLeftCell="A17" zoomScale="70" zoomScaleNormal="70" workbookViewId="0">
      <selection activeCell="G38" sqref="G38"/>
    </sheetView>
  </sheetViews>
  <sheetFormatPr defaultRowHeight="21"/>
  <cols>
    <col min="1" max="1" width="56.44140625" style="19" bestFit="1" customWidth="1"/>
    <col min="2" max="3" width="15.109375" style="1" bestFit="1" customWidth="1"/>
    <col min="4" max="4" width="14.6640625" style="1" bestFit="1" customWidth="1"/>
    <col min="5" max="6" width="15.109375" style="1" bestFit="1" customWidth="1"/>
    <col min="7" max="8" width="15.5546875" style="1" bestFit="1" customWidth="1"/>
    <col min="9" max="10" width="15.109375" style="1" bestFit="1" customWidth="1"/>
    <col min="11" max="11" width="22" style="1" bestFit="1" customWidth="1"/>
    <col min="12" max="12" width="14.44140625" bestFit="1" customWidth="1"/>
  </cols>
  <sheetData>
    <row r="1" spans="1:21" ht="36.6" customHeight="1" thickBot="1">
      <c r="A1" s="238" t="s">
        <v>85</v>
      </c>
      <c r="B1" s="239"/>
      <c r="C1" s="239"/>
      <c r="D1" s="239"/>
      <c r="E1" s="239"/>
      <c r="F1" s="239"/>
      <c r="G1" s="239"/>
      <c r="H1" s="239"/>
      <c r="I1" s="239"/>
      <c r="J1" s="239"/>
      <c r="K1" s="240"/>
    </row>
    <row r="2" spans="1:21" ht="36.6" customHeight="1" thickBot="1">
      <c r="A2" s="190"/>
      <c r="B2" s="236" t="s">
        <v>213</v>
      </c>
      <c r="C2" s="236"/>
      <c r="D2" s="236"/>
      <c r="E2" s="236"/>
      <c r="F2" s="237"/>
      <c r="G2" s="231" t="s">
        <v>89</v>
      </c>
      <c r="H2" s="232"/>
      <c r="I2" s="232"/>
      <c r="J2" s="232"/>
      <c r="K2" s="233"/>
    </row>
    <row r="3" spans="1:21" ht="15" thickBot="1">
      <c r="A3" s="191" t="s">
        <v>81</v>
      </c>
      <c r="B3" s="47">
        <v>2017</v>
      </c>
      <c r="C3" s="47">
        <v>2018</v>
      </c>
      <c r="D3" s="47">
        <v>2019</v>
      </c>
      <c r="E3" s="47">
        <v>2020</v>
      </c>
      <c r="F3" s="47">
        <v>2021</v>
      </c>
      <c r="G3" s="46" t="s">
        <v>136</v>
      </c>
      <c r="H3" s="46" t="s">
        <v>137</v>
      </c>
      <c r="I3" s="46" t="s">
        <v>138</v>
      </c>
      <c r="J3" s="46" t="s">
        <v>139</v>
      </c>
      <c r="K3" s="46" t="s">
        <v>140</v>
      </c>
    </row>
    <row r="4" spans="1:21">
      <c r="A4" s="49" t="s">
        <v>55</v>
      </c>
      <c r="B4" s="50">
        <f t="shared" ref="B4:K4" si="0">B22</f>
        <v>3313506</v>
      </c>
      <c r="C4" s="50">
        <f t="shared" si="0"/>
        <v>3071946</v>
      </c>
      <c r="D4" s="50">
        <f t="shared" si="0"/>
        <v>3221213</v>
      </c>
      <c r="E4" s="50">
        <f t="shared" si="0"/>
        <v>3431258</v>
      </c>
      <c r="F4" s="50">
        <f t="shared" si="0"/>
        <v>3306201</v>
      </c>
      <c r="G4" s="50">
        <f>G22</f>
        <v>3998073.6724122297</v>
      </c>
      <c r="H4" s="50">
        <f t="shared" si="0"/>
        <v>4447684.3280533627</v>
      </c>
      <c r="I4" s="50">
        <f t="shared" si="0"/>
        <v>4911609.0533029446</v>
      </c>
      <c r="J4" s="50">
        <f t="shared" si="0"/>
        <v>5476410.687785659</v>
      </c>
      <c r="K4" s="50">
        <f t="shared" si="0"/>
        <v>6196610.0669785421</v>
      </c>
    </row>
    <row r="5" spans="1:21">
      <c r="A5" s="10" t="s">
        <v>54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21">
      <c r="A6" s="10" t="s">
        <v>53</v>
      </c>
      <c r="B6" s="15">
        <v>492395</v>
      </c>
      <c r="C6" s="15">
        <v>416638</v>
      </c>
      <c r="D6" s="15">
        <v>441589</v>
      </c>
      <c r="E6" s="15">
        <v>317000</v>
      </c>
      <c r="F6" s="15">
        <v>381590</v>
      </c>
      <c r="G6" s="15">
        <f>G44-(SUM(G7:G10,G16:G20))</f>
        <v>266608.82179071009</v>
      </c>
      <c r="H6" s="15">
        <f t="shared" ref="H6:K6" si="1">H44-(SUM(H7:H10,H16:H20))</f>
        <v>156913.55775933526</v>
      </c>
      <c r="I6" s="15">
        <f t="shared" si="1"/>
        <v>434569.39908324741</v>
      </c>
      <c r="J6" s="15">
        <f t="shared" si="1"/>
        <v>530343.51303715259</v>
      </c>
      <c r="K6" s="15">
        <f t="shared" si="1"/>
        <v>1022207.1829114677</v>
      </c>
    </row>
    <row r="7" spans="1:21">
      <c r="A7" s="11" t="s">
        <v>52</v>
      </c>
      <c r="B7" s="14">
        <v>349771</v>
      </c>
      <c r="C7" s="14">
        <v>373466</v>
      </c>
      <c r="D7" s="14">
        <v>316765</v>
      </c>
      <c r="E7" s="14">
        <v>713237</v>
      </c>
      <c r="F7" s="14">
        <v>656055</v>
      </c>
      <c r="G7" s="14">
        <f>NWC!G2</f>
        <v>615356.20620009373</v>
      </c>
      <c r="H7" s="14">
        <f>NWC!H2</f>
        <v>928817.8669186905</v>
      </c>
      <c r="I7" s="14">
        <f>NWC!I2</f>
        <v>891020.96365410206</v>
      </c>
      <c r="J7" s="14">
        <f>NWC!J2</f>
        <v>1083642.3705977339</v>
      </c>
      <c r="K7" s="14">
        <f>NWC!K2</f>
        <v>979024.57696995512</v>
      </c>
      <c r="L7" s="48"/>
    </row>
    <row r="8" spans="1:21">
      <c r="A8" s="11" t="s">
        <v>51</v>
      </c>
      <c r="B8" s="14">
        <v>443981</v>
      </c>
      <c r="C8" s="14">
        <v>401916</v>
      </c>
      <c r="D8" s="14">
        <v>382387</v>
      </c>
      <c r="E8" s="14">
        <v>376313</v>
      </c>
      <c r="F8" s="14">
        <v>367871</v>
      </c>
      <c r="G8" s="14">
        <f>NWC!G6</f>
        <v>567132.29574586882</v>
      </c>
      <c r="H8" s="14">
        <f>NWC!H6</f>
        <v>617468.50775685662</v>
      </c>
      <c r="I8" s="14">
        <f>NWC!I6</f>
        <v>679065.79524425033</v>
      </c>
      <c r="J8" s="14">
        <f>NWC!J6</f>
        <v>736581.23266907095</v>
      </c>
      <c r="K8" s="14">
        <f>NWC!K6</f>
        <v>826402.69352813961</v>
      </c>
      <c r="L8" s="48"/>
    </row>
    <row r="9" spans="1:21">
      <c r="A9" s="11" t="s">
        <v>50</v>
      </c>
      <c r="B9" s="14">
        <v>14404</v>
      </c>
      <c r="C9" s="14">
        <v>12107</v>
      </c>
      <c r="D9" s="14">
        <v>13344</v>
      </c>
      <c r="E9" s="14">
        <v>12201</v>
      </c>
      <c r="F9" s="14">
        <v>20293</v>
      </c>
      <c r="G9" s="14">
        <f>NWC!G10</f>
        <v>20590.424532437522</v>
      </c>
      <c r="H9" s="14">
        <f>NWC!H10</f>
        <v>22850.928970043671</v>
      </c>
      <c r="I9" s="14">
        <f>NWC!I10</f>
        <v>24684.539034101588</v>
      </c>
      <c r="J9" s="14">
        <f>NWC!J10</f>
        <v>27234.207428361296</v>
      </c>
      <c r="K9" s="14">
        <f>NWC!K10</f>
        <v>30088.6647463878</v>
      </c>
      <c r="L9" s="48"/>
    </row>
    <row r="10" spans="1:21">
      <c r="A10" s="11" t="s">
        <v>49</v>
      </c>
      <c r="B10" s="14">
        <v>59178</v>
      </c>
      <c r="C10" s="14">
        <v>30185</v>
      </c>
      <c r="D10" s="14">
        <v>41789</v>
      </c>
      <c r="E10" s="14">
        <v>50125</v>
      </c>
      <c r="F10" s="14">
        <v>43967</v>
      </c>
      <c r="G10" s="14">
        <f>NWC!G13</f>
        <v>64104.128369215301</v>
      </c>
      <c r="H10" s="14">
        <f>NWC!H13</f>
        <v>71141.752407476495</v>
      </c>
      <c r="I10" s="14">
        <f>NWC!I13</f>
        <v>76850.327028669068</v>
      </c>
      <c r="J10" s="14">
        <f>NWC!J13</f>
        <v>84788.204646834274</v>
      </c>
      <c r="K10" s="14">
        <f>NWC!K13</f>
        <v>93674.981024414636</v>
      </c>
      <c r="L10" s="48"/>
    </row>
    <row r="11" spans="1:21">
      <c r="A11" s="11" t="s">
        <v>48</v>
      </c>
      <c r="B11" s="15">
        <f t="shared" ref="B11:K11" si="2">SUM(B6:B10)</f>
        <v>1359729</v>
      </c>
      <c r="C11" s="15">
        <f t="shared" si="2"/>
        <v>1234312</v>
      </c>
      <c r="D11" s="15">
        <f t="shared" si="2"/>
        <v>1195874</v>
      </c>
      <c r="E11" s="15">
        <f t="shared" si="2"/>
        <v>1468876</v>
      </c>
      <c r="F11" s="15">
        <f t="shared" si="2"/>
        <v>1469776</v>
      </c>
      <c r="G11" s="15">
        <f>SUM(G6:G10)</f>
        <v>1533791.8766383256</v>
      </c>
      <c r="H11" s="15">
        <f>SUM(H6:H10)</f>
        <v>1797192.6138124028</v>
      </c>
      <c r="I11" s="15">
        <f t="shared" si="2"/>
        <v>2106191.0240443703</v>
      </c>
      <c r="J11" s="15">
        <f t="shared" si="2"/>
        <v>2462589.528379153</v>
      </c>
      <c r="K11" s="15">
        <f t="shared" si="2"/>
        <v>2951398.099180365</v>
      </c>
    </row>
    <row r="12" spans="1:21">
      <c r="A12" s="10" t="s">
        <v>47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21">
      <c r="A13" s="11" t="s">
        <v>46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21">
      <c r="A14" s="11" t="s">
        <v>45</v>
      </c>
      <c r="B14" s="14">
        <v>1446194</v>
      </c>
      <c r="C14" s="14">
        <v>1532092</v>
      </c>
      <c r="D14" s="14">
        <v>1792332</v>
      </c>
      <c r="E14" s="14">
        <v>1969974</v>
      </c>
      <c r="F14" s="14">
        <v>2029518</v>
      </c>
      <c r="G14" s="14">
        <f>F14*(1+'Assumption Summary'!$C$31)</f>
        <v>2070108.36</v>
      </c>
      <c r="H14" s="14">
        <f>G14*(1+'Assumption Summary'!$C$31)</f>
        <v>2111510.5272000004</v>
      </c>
      <c r="I14" s="14">
        <f>H14*(1+'Assumption Summary'!$C$31)</f>
        <v>2153740.7377440003</v>
      </c>
      <c r="J14" s="14">
        <f>I14*(1+'Assumption Summary'!$C$31)</f>
        <v>2196815.5524988803</v>
      </c>
      <c r="K14" s="14">
        <f>J14*(1+'Assumption Summary'!$C$31)</f>
        <v>2240751.8635488581</v>
      </c>
    </row>
    <row r="15" spans="1:21">
      <c r="A15" s="11" t="s">
        <v>44</v>
      </c>
      <c r="B15" s="14">
        <v>546086</v>
      </c>
      <c r="C15" s="14">
        <v>720512</v>
      </c>
      <c r="D15" s="14">
        <v>864755</v>
      </c>
      <c r="E15" s="14">
        <v>1024896</v>
      </c>
      <c r="F15" s="14">
        <v>1118366</v>
      </c>
      <c r="G15" s="14">
        <f>F15/F14 *G14</f>
        <v>1140733.32</v>
      </c>
      <c r="H15" s="14">
        <f t="shared" ref="H15:K15" si="3">G15/G14 *H14</f>
        <v>1163547.9864000001</v>
      </c>
      <c r="I15" s="14">
        <f t="shared" si="3"/>
        <v>1186818.946128</v>
      </c>
      <c r="J15" s="14">
        <f t="shared" si="3"/>
        <v>1210555.3250505601</v>
      </c>
      <c r="K15" s="14">
        <f t="shared" si="3"/>
        <v>1234766.4315515715</v>
      </c>
      <c r="L15" s="48"/>
      <c r="M15" s="48"/>
      <c r="N15" s="48"/>
      <c r="O15" s="48"/>
      <c r="P15" s="48"/>
      <c r="Q15" s="48"/>
      <c r="R15" s="48"/>
      <c r="S15" s="48"/>
      <c r="T15" s="48"/>
      <c r="U15" s="48"/>
    </row>
    <row r="16" spans="1:21">
      <c r="A16" s="11" t="s">
        <v>43</v>
      </c>
      <c r="B16" s="14">
        <f t="shared" ref="B16:K16" si="4">B14-B15</f>
        <v>900108</v>
      </c>
      <c r="C16" s="14">
        <f t="shared" si="4"/>
        <v>811580</v>
      </c>
      <c r="D16" s="14">
        <f t="shared" si="4"/>
        <v>927577</v>
      </c>
      <c r="E16" s="14">
        <f t="shared" si="4"/>
        <v>945078</v>
      </c>
      <c r="F16" s="14">
        <f t="shared" si="4"/>
        <v>911152</v>
      </c>
      <c r="G16" s="14">
        <f t="shared" si="4"/>
        <v>929375.04</v>
      </c>
      <c r="H16" s="14">
        <f t="shared" si="4"/>
        <v>947962.54080000031</v>
      </c>
      <c r="I16" s="14">
        <f t="shared" si="4"/>
        <v>966921.79161600024</v>
      </c>
      <c r="J16" s="14">
        <f t="shared" si="4"/>
        <v>986260.22744832025</v>
      </c>
      <c r="K16" s="14">
        <f t="shared" si="4"/>
        <v>1005985.4319972866</v>
      </c>
    </row>
    <row r="17" spans="1:11">
      <c r="A17" s="11" t="s">
        <v>79</v>
      </c>
      <c r="B17" s="14">
        <v>1165</v>
      </c>
      <c r="C17" s="14">
        <v>7479</v>
      </c>
      <c r="D17" s="14">
        <v>7771</v>
      </c>
      <c r="E17" s="14">
        <v>8037</v>
      </c>
      <c r="F17" s="14">
        <v>8072</v>
      </c>
      <c r="G17" s="14">
        <f>F17*(1+'Assumption Summary'!C29)</f>
        <v>8072</v>
      </c>
      <c r="H17" s="14">
        <f>G17*(1+'Assumption Summary'!$C$29)</f>
        <v>8072</v>
      </c>
      <c r="I17" s="14">
        <f>H17*(1+'Assumption Summary'!$C$29)</f>
        <v>8072</v>
      </c>
      <c r="J17" s="14">
        <f>I17*(1+'Assumption Summary'!$C$29)</f>
        <v>8072</v>
      </c>
      <c r="K17" s="14">
        <f>J17*(1+'Assumption Summary'!$C$29)</f>
        <v>8072</v>
      </c>
    </row>
    <row r="18" spans="1:11">
      <c r="A18" s="11" t="s">
        <v>42</v>
      </c>
      <c r="B18" s="14">
        <v>713201</v>
      </c>
      <c r="C18" s="14">
        <v>612124</v>
      </c>
      <c r="D18" s="14">
        <v>691946</v>
      </c>
      <c r="E18" s="14">
        <v>643600</v>
      </c>
      <c r="F18" s="14">
        <v>571842</v>
      </c>
      <c r="G18" s="14">
        <f>'Assumption Summary'!$C$32*'Income Statement'!G4</f>
        <v>998954.14673468587</v>
      </c>
      <c r="H18" s="14">
        <f>'Assumption Summary'!$C$32*'Income Statement'!H4</f>
        <v>1108623.5844920967</v>
      </c>
      <c r="I18" s="14">
        <f>'Assumption Summary'!$C$32*'Income Statement'!I4</f>
        <v>1197582.0405986968</v>
      </c>
      <c r="J18" s="14">
        <f>'Assumption Summary'!$C$32*'Income Statement'!J4</f>
        <v>1321280.4039438353</v>
      </c>
      <c r="K18" s="14">
        <f>'Assumption Summary'!$C$32*'Income Statement'!K4</f>
        <v>1459765.7455174208</v>
      </c>
    </row>
    <row r="19" spans="1:11">
      <c r="A19" s="11" t="s">
        <v>141</v>
      </c>
      <c r="B19" s="14">
        <v>243316</v>
      </c>
      <c r="C19" s="14">
        <v>317395</v>
      </c>
      <c r="D19" s="14">
        <v>265440</v>
      </c>
      <c r="E19" s="14">
        <v>266846</v>
      </c>
      <c r="F19" s="14">
        <v>224566</v>
      </c>
      <c r="G19" s="14">
        <f>'Assumption Summary'!$C$30*'Income Statement'!G4</f>
        <v>374976.59287940373</v>
      </c>
      <c r="H19" s="14">
        <f>'Assumption Summary'!$C$30*'Income Statement'!H4</f>
        <v>416143.11913858727</v>
      </c>
      <c r="I19" s="14">
        <f>'Assumption Summary'!$C$30*'Income Statement'!I4</f>
        <v>449535.38132369472</v>
      </c>
      <c r="J19" s="14">
        <f>'Assumption Summary'!$C$30*'Income Statement'!J4</f>
        <v>495967.93379222933</v>
      </c>
      <c r="K19" s="14">
        <f>'Assumption Summary'!$C$30*'Income Statement'!K4</f>
        <v>547951.06206367677</v>
      </c>
    </row>
    <row r="20" spans="1:11">
      <c r="A20" s="11" t="s">
        <v>41</v>
      </c>
      <c r="B20" s="14">
        <v>95987</v>
      </c>
      <c r="C20" s="14">
        <v>89056</v>
      </c>
      <c r="D20" s="14">
        <v>132605</v>
      </c>
      <c r="E20" s="14">
        <v>98821</v>
      </c>
      <c r="F20" s="14">
        <v>120793</v>
      </c>
      <c r="G20" s="14">
        <f>'Assumption Summary'!$C$33*'Income Statement'!G4</f>
        <v>152904.01615981493</v>
      </c>
      <c r="H20" s="14">
        <f>'Assumption Summary'!$C$33*'Income Statement'!H4</f>
        <v>169690.46981027524</v>
      </c>
      <c r="I20" s="14">
        <f>'Assumption Summary'!$C$33*'Income Statement'!I4</f>
        <v>183306.81572018255</v>
      </c>
      <c r="J20" s="14">
        <f>'Assumption Summary'!$C$33*'Income Statement'!J4</f>
        <v>202240.59422212123</v>
      </c>
      <c r="K20" s="14">
        <f>'Assumption Summary'!$C$33*'Income Statement'!K4</f>
        <v>223437.728219793</v>
      </c>
    </row>
    <row r="21" spans="1:11" s="45" customFormat="1" ht="21.6" thickBot="1">
      <c r="A21" s="10" t="s">
        <v>40</v>
      </c>
      <c r="B21" s="15">
        <f t="shared" ref="B21:K21" si="5">SUM(B16:B20)</f>
        <v>1953777</v>
      </c>
      <c r="C21" s="15">
        <f t="shared" si="5"/>
        <v>1837634</v>
      </c>
      <c r="D21" s="15">
        <f t="shared" si="5"/>
        <v>2025339</v>
      </c>
      <c r="E21" s="15">
        <f t="shared" si="5"/>
        <v>1962382</v>
      </c>
      <c r="F21" s="15">
        <f t="shared" si="5"/>
        <v>1836425</v>
      </c>
      <c r="G21" s="15">
        <f>SUM(G16:G20)</f>
        <v>2464281.7957739043</v>
      </c>
      <c r="H21" s="15">
        <f>SUM(H16:H20)</f>
        <v>2650491.7142409598</v>
      </c>
      <c r="I21" s="15">
        <f t="shared" si="5"/>
        <v>2805418.0292585744</v>
      </c>
      <c r="J21" s="15">
        <f t="shared" si="5"/>
        <v>3013821.1594065065</v>
      </c>
      <c r="K21" s="15">
        <f t="shared" si="5"/>
        <v>3245211.9677981776</v>
      </c>
    </row>
    <row r="22" spans="1:11" s="53" customFormat="1" ht="21.6" thickBot="1">
      <c r="A22" s="51" t="s">
        <v>39</v>
      </c>
      <c r="B22" s="52">
        <f t="shared" ref="B22:K22" si="6">SUM(B21,B11)</f>
        <v>3313506</v>
      </c>
      <c r="C22" s="52">
        <f t="shared" si="6"/>
        <v>3071946</v>
      </c>
      <c r="D22" s="52">
        <f t="shared" si="6"/>
        <v>3221213</v>
      </c>
      <c r="E22" s="52">
        <f t="shared" si="6"/>
        <v>3431258</v>
      </c>
      <c r="F22" s="52">
        <f t="shared" si="6"/>
        <v>3306201</v>
      </c>
      <c r="G22" s="52">
        <f t="shared" si="6"/>
        <v>3998073.6724122297</v>
      </c>
      <c r="H22" s="52">
        <f t="shared" si="6"/>
        <v>4447684.3280533627</v>
      </c>
      <c r="I22" s="52">
        <f t="shared" si="6"/>
        <v>4911609.0533029446</v>
      </c>
      <c r="J22" s="52">
        <f t="shared" si="6"/>
        <v>5476410.687785659</v>
      </c>
      <c r="K22" s="52">
        <f t="shared" si="6"/>
        <v>6196610.0669785421</v>
      </c>
    </row>
    <row r="23" spans="1:11" s="53" customFormat="1" ht="21.6" thickBot="1">
      <c r="A23" s="174"/>
      <c r="B23" s="175"/>
      <c r="C23" s="175"/>
      <c r="D23" s="175"/>
      <c r="E23" s="175"/>
      <c r="F23" s="175"/>
      <c r="G23" s="175"/>
      <c r="H23" s="175"/>
      <c r="I23" s="175"/>
      <c r="J23" s="175"/>
      <c r="K23" s="175"/>
    </row>
    <row r="24" spans="1:11" s="57" customFormat="1">
      <c r="A24" s="54" t="s">
        <v>38</v>
      </c>
      <c r="B24" s="55"/>
      <c r="C24" s="55"/>
      <c r="D24" s="55"/>
      <c r="E24" s="55"/>
      <c r="F24" s="55"/>
      <c r="G24" s="55"/>
      <c r="H24" s="55"/>
      <c r="I24" s="55"/>
      <c r="J24" s="56"/>
      <c r="K24" s="55"/>
    </row>
    <row r="25" spans="1:11">
      <c r="A25" s="11" t="s">
        <v>37</v>
      </c>
      <c r="B25" s="14"/>
      <c r="C25" s="14"/>
      <c r="D25" s="14"/>
      <c r="E25" s="14"/>
      <c r="F25" s="14"/>
      <c r="G25" s="14"/>
      <c r="H25" s="14"/>
      <c r="I25" s="14"/>
      <c r="J25" s="44"/>
      <c r="K25" s="14"/>
    </row>
    <row r="26" spans="1:11">
      <c r="A26" s="10" t="s">
        <v>36</v>
      </c>
      <c r="B26" s="14"/>
      <c r="C26" s="14"/>
      <c r="D26" s="14"/>
      <c r="E26" s="14"/>
      <c r="F26" s="14"/>
      <c r="G26" s="14"/>
      <c r="H26" s="14"/>
      <c r="I26" s="14"/>
      <c r="J26" s="44"/>
      <c r="K26" s="14"/>
    </row>
    <row r="27" spans="1:11">
      <c r="A27" s="11" t="s">
        <v>35</v>
      </c>
      <c r="B27" s="14">
        <v>167949</v>
      </c>
      <c r="C27" s="14">
        <v>201503</v>
      </c>
      <c r="D27" s="14">
        <v>163625</v>
      </c>
      <c r="E27" s="14">
        <v>216628</v>
      </c>
      <c r="F27" s="14">
        <v>173784</v>
      </c>
      <c r="G27" s="14">
        <f>F27*(1+'Assumption Summary'!$C$36)</f>
        <v>177259.68</v>
      </c>
      <c r="H27" s="14">
        <f>G27*(1+'Assumption Summary'!$C$36)</f>
        <v>180804.87359999999</v>
      </c>
      <c r="I27" s="14">
        <f>H27*(1+'Assumption Summary'!$C$36)</f>
        <v>184420.97107199999</v>
      </c>
      <c r="J27" s="14">
        <f>I27*(1+'Assumption Summary'!$C$36)</f>
        <v>188109.39049343998</v>
      </c>
      <c r="K27" s="14">
        <f>J27*(1+'Assumption Summary'!$C$36)</f>
        <v>191871.57830330878</v>
      </c>
    </row>
    <row r="28" spans="1:11">
      <c r="A28" s="11" t="s">
        <v>34</v>
      </c>
      <c r="B28" s="14">
        <v>781422</v>
      </c>
      <c r="C28" s="14">
        <v>738582</v>
      </c>
      <c r="D28" s="14">
        <v>676833</v>
      </c>
      <c r="E28" s="14">
        <v>776430</v>
      </c>
      <c r="F28" s="14">
        <v>714967</v>
      </c>
      <c r="G28" s="14">
        <f>NWC!G17</f>
        <v>1060881.6706311652</v>
      </c>
      <c r="H28" s="14">
        <f>NWC!H17</f>
        <v>1154152.9762711274</v>
      </c>
      <c r="I28" s="14">
        <f>NWC!I17</f>
        <v>1270181.3594417893</v>
      </c>
      <c r="J28" s="14">
        <f>NWC!J17</f>
        <v>1376876.7932627727</v>
      </c>
      <c r="K28" s="14">
        <f>NWC!K17</f>
        <v>1545680.357501673</v>
      </c>
    </row>
    <row r="29" spans="1:11">
      <c r="A29" s="11" t="s">
        <v>33</v>
      </c>
      <c r="B29" s="71">
        <v>482824</v>
      </c>
      <c r="C29" s="71">
        <v>514489</v>
      </c>
      <c r="D29" s="71">
        <v>564082</v>
      </c>
      <c r="E29" s="71">
        <v>584434</v>
      </c>
      <c r="F29" s="71">
        <v>618079</v>
      </c>
      <c r="G29" s="17">
        <f>NWC!G24</f>
        <v>786604.36341345892</v>
      </c>
      <c r="H29" s="17">
        <f>NWC!H24</f>
        <v>872961.13820143288</v>
      </c>
      <c r="I29" s="17">
        <f>NWC!I24</f>
        <v>943009.50825395866</v>
      </c>
      <c r="J29" s="17">
        <f>NWC!J24</f>
        <v>1040413.0504209765</v>
      </c>
      <c r="K29" s="17">
        <f>NWC!K24</f>
        <v>1149460.2717640772</v>
      </c>
    </row>
    <row r="30" spans="1:11">
      <c r="A30" s="12" t="s">
        <v>32</v>
      </c>
      <c r="B30" s="17">
        <f>SUM(B27:B29)</f>
        <v>1432195</v>
      </c>
      <c r="C30" s="17">
        <f>SUM(C27:C29)</f>
        <v>1454574</v>
      </c>
      <c r="D30" s="17">
        <f>SUM(D27:D29)</f>
        <v>1404540</v>
      </c>
      <c r="E30" s="17">
        <f>SUM(E27:E29)</f>
        <v>1577492</v>
      </c>
      <c r="F30" s="17">
        <f>SUM(F27:F29)</f>
        <v>1506830</v>
      </c>
      <c r="G30" s="17">
        <f t="shared" ref="G30:K30" si="7">SUM(G27:G29)</f>
        <v>2024745.714044624</v>
      </c>
      <c r="H30" s="17">
        <f t="shared" si="7"/>
        <v>2207918.9880725602</v>
      </c>
      <c r="I30" s="17">
        <f t="shared" si="7"/>
        <v>2397611.8387677479</v>
      </c>
      <c r="J30" s="17">
        <f t="shared" si="7"/>
        <v>2605399.2341771889</v>
      </c>
      <c r="K30" s="17">
        <f t="shared" si="7"/>
        <v>2887012.207569059</v>
      </c>
    </row>
    <row r="31" spans="1:11">
      <c r="A31" s="10" t="s">
        <v>31</v>
      </c>
      <c r="B31" s="14"/>
      <c r="C31" s="14"/>
      <c r="D31" s="14"/>
      <c r="E31" s="14"/>
      <c r="F31" s="14"/>
      <c r="G31" s="14"/>
      <c r="H31" s="14"/>
      <c r="I31" s="14"/>
      <c r="J31" s="44"/>
      <c r="K31" s="14"/>
    </row>
    <row r="32" spans="1:11">
      <c r="A32" s="11" t="s">
        <v>30</v>
      </c>
      <c r="B32" s="14">
        <v>611995</v>
      </c>
      <c r="C32" s="14">
        <v>709737</v>
      </c>
      <c r="D32" s="14">
        <v>884786</v>
      </c>
      <c r="E32" s="14">
        <v>985248</v>
      </c>
      <c r="F32" s="14">
        <v>1037216</v>
      </c>
      <c r="G32" s="14">
        <f>('Assumption Summary'!$C$37+1)*'Balance Sheet'!F32</f>
        <v>1057960.32</v>
      </c>
      <c r="H32" s="14">
        <f>('Assumption Summary'!$C$37+1)*'Balance Sheet'!G32</f>
        <v>1079119.5264000001</v>
      </c>
      <c r="I32" s="14">
        <f>('Assumption Summary'!$C$37+1)*'Balance Sheet'!H32</f>
        <v>1100701.916928</v>
      </c>
      <c r="J32" s="14">
        <f>('Assumption Summary'!$C$37+1)*'Balance Sheet'!I32</f>
        <v>1122715.95526656</v>
      </c>
      <c r="K32" s="14">
        <f>('Assumption Summary'!$C$37+1)*'Balance Sheet'!J32</f>
        <v>1145170.2743718913</v>
      </c>
    </row>
    <row r="33" spans="1:11">
      <c r="A33" s="11" t="s">
        <v>29</v>
      </c>
      <c r="B33" s="14">
        <v>61258</v>
      </c>
      <c r="C33" s="14">
        <v>14910</v>
      </c>
      <c r="D33" s="14">
        <v>19419</v>
      </c>
      <c r="E33" s="14">
        <v>15559</v>
      </c>
      <c r="F33" s="14">
        <v>15584</v>
      </c>
      <c r="G33" s="14">
        <f>NWC!G21</f>
        <v>36067.181315509646</v>
      </c>
      <c r="H33" s="14">
        <f>NWC!H21</f>
        <v>40026.789981528898</v>
      </c>
      <c r="I33" s="14">
        <f>NWC!I21</f>
        <v>43238.629860698755</v>
      </c>
      <c r="J33" s="14">
        <f>NWC!J21</f>
        <v>47704.752068393864</v>
      </c>
      <c r="K33" s="14">
        <f>NWC!K21</f>
        <v>52704.757264229309</v>
      </c>
    </row>
    <row r="34" spans="1:11">
      <c r="A34" s="11" t="s">
        <v>28</v>
      </c>
      <c r="B34" s="14">
        <v>5251</v>
      </c>
      <c r="C34" s="14">
        <v>5231</v>
      </c>
      <c r="D34" s="14">
        <v>8136</v>
      </c>
      <c r="E34" s="14">
        <v>15735</v>
      </c>
      <c r="F34" s="14">
        <v>42711</v>
      </c>
      <c r="G34" s="14">
        <f>'Assumption Summary'!$C$35*'Income Statement'!G4</f>
        <v>21932.30695887663</v>
      </c>
      <c r="H34" s="14">
        <f>'Assumption Summary'!$C$35*'Income Statement'!H4</f>
        <v>24340.12896028204</v>
      </c>
      <c r="I34" s="14">
        <f>'Assumption Summary'!$C$35*'Income Statement'!I4</f>
        <v>26293.235789354447</v>
      </c>
      <c r="J34" s="14">
        <f>'Assumption Summary'!$C$35*'Income Statement'!J4</f>
        <v>29009.066625098276</v>
      </c>
      <c r="K34" s="14">
        <f>'Assumption Summary'!$C$35*'Income Statement'!K4</f>
        <v>32049.549544784717</v>
      </c>
    </row>
    <row r="35" spans="1:11">
      <c r="A35" s="11" t="s">
        <v>27</v>
      </c>
      <c r="B35" s="14">
        <v>248528</v>
      </c>
      <c r="C35" s="14">
        <v>285698</v>
      </c>
      <c r="D35" s="14">
        <v>273547</v>
      </c>
      <c r="E35" s="14">
        <v>284757</v>
      </c>
      <c r="F35" s="14">
        <v>258248</v>
      </c>
      <c r="G35" s="14">
        <f>'Assumption Summary'!$C$38*'Income Statement'!G4</f>
        <v>384429.53557169955</v>
      </c>
      <c r="H35" s="14">
        <f>'Assumption Summary'!$C$38*'Income Statement'!H4</f>
        <v>426633.8461111784</v>
      </c>
      <c r="I35" s="14">
        <f>'Assumption Summary'!$C$38*'Income Statement'!I4</f>
        <v>460867.90788270289</v>
      </c>
      <c r="J35" s="14">
        <f>'Assumption Summary'!$C$38*'Income Statement'!J4</f>
        <v>508470.99810179847</v>
      </c>
      <c r="K35" s="14">
        <f>'Assumption Summary'!$C$38*'Income Statement'!K4</f>
        <v>561764.59092449408</v>
      </c>
    </row>
    <row r="36" spans="1:11">
      <c r="A36" s="11" t="s">
        <v>26</v>
      </c>
      <c r="B36" s="14">
        <f t="shared" ref="B36:K36" si="8">SUM(B32:B35)</f>
        <v>927032</v>
      </c>
      <c r="C36" s="14">
        <f t="shared" si="8"/>
        <v>1015576</v>
      </c>
      <c r="D36" s="14">
        <f t="shared" si="8"/>
        <v>1185888</v>
      </c>
      <c r="E36" s="14">
        <f t="shared" si="8"/>
        <v>1301299</v>
      </c>
      <c r="F36" s="14">
        <f t="shared" si="8"/>
        <v>1353759</v>
      </c>
      <c r="G36" s="14">
        <f t="shared" si="8"/>
        <v>1500389.3438460857</v>
      </c>
      <c r="H36" s="14">
        <f t="shared" si="8"/>
        <v>1570120.2914529894</v>
      </c>
      <c r="I36" s="14">
        <f t="shared" si="8"/>
        <v>1631101.690460756</v>
      </c>
      <c r="J36" s="14">
        <f t="shared" si="8"/>
        <v>1707900.7720618504</v>
      </c>
      <c r="K36" s="14">
        <f t="shared" si="8"/>
        <v>1791689.1721053994</v>
      </c>
    </row>
    <row r="37" spans="1:11">
      <c r="A37" s="10" t="s">
        <v>25</v>
      </c>
      <c r="B37" s="15">
        <f t="shared" ref="B37:K37" si="9">SUM(B36,B30)</f>
        <v>2359227</v>
      </c>
      <c r="C37" s="15">
        <f t="shared" si="9"/>
        <v>2470150</v>
      </c>
      <c r="D37" s="15">
        <f t="shared" si="9"/>
        <v>2590428</v>
      </c>
      <c r="E37" s="15">
        <f t="shared" si="9"/>
        <v>2878791</v>
      </c>
      <c r="F37" s="15">
        <f t="shared" si="9"/>
        <v>2860589</v>
      </c>
      <c r="G37" s="15">
        <f t="shared" si="9"/>
        <v>3525135.0578907095</v>
      </c>
      <c r="H37" s="15">
        <f t="shared" si="9"/>
        <v>3778039.2795255496</v>
      </c>
      <c r="I37" s="15">
        <f t="shared" si="9"/>
        <v>4028713.5292285038</v>
      </c>
      <c r="J37" s="15">
        <f t="shared" si="9"/>
        <v>4313300.0062390398</v>
      </c>
      <c r="K37" s="15">
        <f t="shared" si="9"/>
        <v>4678701.3796744589</v>
      </c>
    </row>
    <row r="38" spans="1:11">
      <c r="A38" s="11" t="s">
        <v>24</v>
      </c>
      <c r="B38" s="14"/>
      <c r="C38" s="14"/>
      <c r="D38" s="14"/>
      <c r="E38" s="14"/>
      <c r="F38" s="14"/>
      <c r="G38" s="14"/>
      <c r="H38" s="14"/>
      <c r="I38" s="14"/>
      <c r="J38" s="44"/>
      <c r="K38" s="14"/>
    </row>
    <row r="39" spans="1:11">
      <c r="A39" s="11" t="s">
        <v>23</v>
      </c>
      <c r="B39" s="14">
        <v>6792</v>
      </c>
      <c r="C39" s="14">
        <v>6792</v>
      </c>
      <c r="D39" s="14">
        <v>7195</v>
      </c>
      <c r="E39" s="14">
        <v>7658</v>
      </c>
      <c r="F39" s="14">
        <v>7659</v>
      </c>
      <c r="G39" s="14">
        <f>F39*(1+'Assumption Summary'!$C39)</f>
        <v>7659</v>
      </c>
      <c r="H39" s="14">
        <f>G39*(1+'Assumption Summary'!$C39)</f>
        <v>7659</v>
      </c>
      <c r="I39" s="14">
        <f>H39*(1+'Assumption Summary'!$C39)</f>
        <v>7659</v>
      </c>
      <c r="J39" s="14">
        <f>I39*(1+'Assumption Summary'!$C39)</f>
        <v>7659</v>
      </c>
      <c r="K39" s="14">
        <f>J39*(1+'Assumption Summary'!$C39)</f>
        <v>7659</v>
      </c>
    </row>
    <row r="40" spans="1:11">
      <c r="A40" s="11" t="s">
        <v>22</v>
      </c>
      <c r="B40" s="14">
        <v>188919</v>
      </c>
      <c r="C40" s="14">
        <v>188919</v>
      </c>
      <c r="D40" s="14">
        <v>218729</v>
      </c>
      <c r="E40" s="14">
        <v>252966</v>
      </c>
      <c r="F40" s="14">
        <v>141435</v>
      </c>
      <c r="G40" s="14">
        <f>F40*(1+'Assumption Summary'!$C40)</f>
        <v>141435</v>
      </c>
      <c r="H40" s="14">
        <f>G40*(1+'Assumption Summary'!$C40)</f>
        <v>141435</v>
      </c>
      <c r="I40" s="14">
        <f>H40*(1+'Assumption Summary'!$C40)</f>
        <v>141435</v>
      </c>
      <c r="J40" s="14">
        <f>I40*(1+'Assumption Summary'!$C40)</f>
        <v>141435</v>
      </c>
      <c r="K40" s="14">
        <f>J40*(1+'Assumption Summary'!$C40)</f>
        <v>141435</v>
      </c>
    </row>
    <row r="41" spans="1:11">
      <c r="A41" s="11" t="s">
        <v>21</v>
      </c>
      <c r="B41" s="14">
        <v>676602</v>
      </c>
      <c r="C41" s="14">
        <v>388341</v>
      </c>
      <c r="D41" s="14">
        <v>267632</v>
      </c>
      <c r="E41" s="14">
        <v>133119</v>
      </c>
      <c r="F41" s="14">
        <v>18703</v>
      </c>
      <c r="G41" s="14">
        <f>F41+'Income Statement'!G21</f>
        <v>132173.71467139182</v>
      </c>
      <c r="H41" s="14">
        <f>G41+'Income Statement'!H21</f>
        <v>307837.70154461899</v>
      </c>
      <c r="I41" s="14">
        <f>H41+'Income Statement'!I21</f>
        <v>504019.57851045666</v>
      </c>
      <c r="J41" s="14">
        <f>I41+'Income Statement'!J21</f>
        <v>760500.53688065452</v>
      </c>
      <c r="K41" s="14">
        <f>J41+'Income Statement'!K21</f>
        <v>1088727.1428173906</v>
      </c>
    </row>
    <row r="42" spans="1:11">
      <c r="A42" s="11" t="s">
        <v>20</v>
      </c>
      <c r="B42" s="14">
        <v>81966</v>
      </c>
      <c r="C42" s="14">
        <v>17744</v>
      </c>
      <c r="D42" s="14">
        <v>137229</v>
      </c>
      <c r="E42" s="14">
        <v>158724</v>
      </c>
      <c r="F42" s="14">
        <v>277815</v>
      </c>
      <c r="G42" s="14">
        <f>'Assumption Summary'!$C$41*'Income Statement'!G4</f>
        <v>191670.89985012868</v>
      </c>
      <c r="H42" s="14">
        <f>'Assumption Summary'!$C$41*'Income Statement'!H4</f>
        <v>212713.34698319359</v>
      </c>
      <c r="I42" s="14">
        <f>'Assumption Summary'!$C$41*'Income Statement'!I4</f>
        <v>229781.9455639839</v>
      </c>
      <c r="J42" s="14">
        <f>'Assumption Summary'!$C$41*'Income Statement'!J4</f>
        <v>253516.14466596517</v>
      </c>
      <c r="K42" s="14">
        <f>'Assumption Summary'!$C$41*'Income Statement'!K4</f>
        <v>280087.54448669322</v>
      </c>
    </row>
    <row r="43" spans="1:11" ht="21.6" thickBot="1">
      <c r="A43" s="10" t="s">
        <v>19</v>
      </c>
      <c r="B43" s="15">
        <f t="shared" ref="B43:K43" si="10">SUM(B39:B42)</f>
        <v>954279</v>
      </c>
      <c r="C43" s="15">
        <f t="shared" si="10"/>
        <v>601796</v>
      </c>
      <c r="D43" s="15">
        <f t="shared" si="10"/>
        <v>630785</v>
      </c>
      <c r="E43" s="15">
        <f t="shared" si="10"/>
        <v>552467</v>
      </c>
      <c r="F43" s="15">
        <f t="shared" si="10"/>
        <v>445612</v>
      </c>
      <c r="G43" s="15">
        <f t="shared" si="10"/>
        <v>472938.6145215205</v>
      </c>
      <c r="H43" s="15">
        <f t="shared" si="10"/>
        <v>669645.04852781259</v>
      </c>
      <c r="I43" s="15">
        <f t="shared" si="10"/>
        <v>882895.52407444059</v>
      </c>
      <c r="J43" s="15">
        <f t="shared" si="10"/>
        <v>1163110.6815466196</v>
      </c>
      <c r="K43" s="15">
        <f t="shared" si="10"/>
        <v>1517908.6873040837</v>
      </c>
    </row>
    <row r="44" spans="1:11" ht="21.6" thickBot="1">
      <c r="A44" s="18" t="s">
        <v>18</v>
      </c>
      <c r="B44" s="16">
        <f t="shared" ref="B44:K44" si="11">SUM(B43,B37)</f>
        <v>3313506</v>
      </c>
      <c r="C44" s="16">
        <f t="shared" si="11"/>
        <v>3071946</v>
      </c>
      <c r="D44" s="16">
        <f t="shared" si="11"/>
        <v>3221213</v>
      </c>
      <c r="E44" s="16">
        <f t="shared" si="11"/>
        <v>3431258</v>
      </c>
      <c r="F44" s="16">
        <f t="shared" si="11"/>
        <v>3306201</v>
      </c>
      <c r="G44" s="16">
        <f t="shared" si="11"/>
        <v>3998073.6724122302</v>
      </c>
      <c r="H44" s="16">
        <f t="shared" si="11"/>
        <v>4447684.3280533627</v>
      </c>
      <c r="I44" s="16">
        <f t="shared" si="11"/>
        <v>4911609.0533029446</v>
      </c>
      <c r="J44" s="16">
        <f t="shared" si="11"/>
        <v>5476410.687785659</v>
      </c>
      <c r="K44" s="16">
        <f t="shared" si="11"/>
        <v>6196610.0669785421</v>
      </c>
    </row>
    <row r="45" spans="1:11" ht="21.6" thickBot="1"/>
    <row r="46" spans="1:11" ht="21.6" thickBot="1">
      <c r="A46" s="173" t="s">
        <v>214</v>
      </c>
      <c r="B46" s="28">
        <f>B22-B44</f>
        <v>0</v>
      </c>
      <c r="C46" s="28">
        <f>C22-C44</f>
        <v>0</v>
      </c>
      <c r="D46" s="28">
        <f>D22-D44</f>
        <v>0</v>
      </c>
      <c r="E46" s="28">
        <f>E22-E44</f>
        <v>0</v>
      </c>
      <c r="F46" s="28">
        <f>F22-F44</f>
        <v>0</v>
      </c>
      <c r="G46" s="28">
        <f t="shared" ref="G46:K46" si="12">G22-G44</f>
        <v>0</v>
      </c>
      <c r="H46" s="28">
        <f t="shared" si="12"/>
        <v>0</v>
      </c>
      <c r="I46" s="28">
        <f t="shared" si="12"/>
        <v>0</v>
      </c>
      <c r="J46" s="28">
        <f t="shared" si="12"/>
        <v>0</v>
      </c>
      <c r="K46" s="28">
        <f t="shared" si="12"/>
        <v>0</v>
      </c>
    </row>
    <row r="48" spans="1:11" ht="14.4">
      <c r="A48" s="61" t="s">
        <v>142</v>
      </c>
      <c r="B48" s="58"/>
      <c r="C48" s="58"/>
      <c r="D48" s="58"/>
      <c r="E48" s="58"/>
      <c r="F48"/>
      <c r="G48"/>
      <c r="H48" s="48"/>
      <c r="I48"/>
      <c r="J48"/>
      <c r="K48"/>
    </row>
    <row r="49" spans="2:11">
      <c r="D49" s="60"/>
      <c r="E49" s="60"/>
      <c r="F49" s="60"/>
      <c r="H49" s="58"/>
      <c r="I49" s="58"/>
      <c r="J49" s="58"/>
      <c r="K49" s="58"/>
    </row>
    <row r="50" spans="2:11">
      <c r="B50" s="58"/>
      <c r="C50" s="58"/>
      <c r="D50" s="58"/>
      <c r="E50" s="58"/>
      <c r="F50" s="58"/>
    </row>
    <row r="51" spans="2:11">
      <c r="B51" s="58"/>
      <c r="C51" s="58"/>
      <c r="D51" s="60"/>
      <c r="E51" s="58"/>
      <c r="F51" s="58"/>
    </row>
    <row r="52" spans="2:11">
      <c r="D52" s="60"/>
      <c r="E52" s="58"/>
      <c r="F52" s="58"/>
      <c r="G52" s="58"/>
    </row>
  </sheetData>
  <mergeCells count="3">
    <mergeCell ref="B2:F2"/>
    <mergeCell ref="G2:K2"/>
    <mergeCell ref="A1:K1"/>
  </mergeCells>
  <phoneticPr fontId="19" type="noConversion"/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Q54"/>
  <sheetViews>
    <sheetView showGridLines="0" topLeftCell="A28" zoomScaleNormal="100" workbookViewId="0">
      <selection activeCell="K27" sqref="K27"/>
    </sheetView>
  </sheetViews>
  <sheetFormatPr defaultRowHeight="16.8" customHeight="1"/>
  <cols>
    <col min="1" max="1" width="47.44140625" bestFit="1" customWidth="1"/>
    <col min="2" max="3" width="12" bestFit="1" customWidth="1"/>
    <col min="4" max="4" width="11.33203125" bestFit="1" customWidth="1"/>
    <col min="5" max="6" width="12" bestFit="1" customWidth="1"/>
    <col min="7" max="11" width="12" customWidth="1"/>
    <col min="12" max="12" width="12" bestFit="1" customWidth="1"/>
    <col min="16" max="16" width="9.88671875" bestFit="1" customWidth="1"/>
  </cols>
  <sheetData>
    <row r="1" spans="1:11" ht="16.8" customHeight="1" thickBot="1">
      <c r="A1" s="241" t="s">
        <v>86</v>
      </c>
      <c r="B1" s="241"/>
      <c r="C1" s="241"/>
      <c r="D1" s="241"/>
      <c r="E1" s="241"/>
      <c r="F1" s="241"/>
      <c r="G1" s="241"/>
      <c r="H1" s="241"/>
      <c r="I1" s="241"/>
      <c r="J1" s="241"/>
      <c r="K1" s="242"/>
    </row>
    <row r="2" spans="1:11" ht="16.8" customHeight="1" thickBot="1">
      <c r="A2" s="190"/>
      <c r="B2" s="236" t="s">
        <v>213</v>
      </c>
      <c r="C2" s="236"/>
      <c r="D2" s="236"/>
      <c r="E2" s="236"/>
      <c r="F2" s="237"/>
      <c r="G2" s="231" t="s">
        <v>89</v>
      </c>
      <c r="H2" s="232"/>
      <c r="I2" s="232"/>
      <c r="J2" s="232"/>
      <c r="K2" s="233"/>
    </row>
    <row r="3" spans="1:11" ht="16.8" customHeight="1" thickBot="1">
      <c r="A3" s="191" t="s">
        <v>81</v>
      </c>
      <c r="B3" s="47">
        <v>2017</v>
      </c>
      <c r="C3" s="47">
        <v>2018</v>
      </c>
      <c r="D3" s="47">
        <v>2019</v>
      </c>
      <c r="E3" s="47">
        <v>2020</v>
      </c>
      <c r="F3" s="47">
        <v>2021</v>
      </c>
      <c r="G3" s="46" t="s">
        <v>136</v>
      </c>
      <c r="H3" s="46" t="s">
        <v>137</v>
      </c>
      <c r="I3" s="46" t="s">
        <v>138</v>
      </c>
      <c r="J3" s="46" t="s">
        <v>139</v>
      </c>
      <c r="K3" s="46" t="s">
        <v>140</v>
      </c>
    </row>
    <row r="4" spans="1:11" ht="16.8" customHeight="1">
      <c r="A4" s="179" t="s">
        <v>75</v>
      </c>
      <c r="B4" s="180"/>
      <c r="C4" s="180"/>
      <c r="D4" s="180"/>
      <c r="E4" s="180"/>
      <c r="F4" s="180"/>
      <c r="G4" s="181"/>
      <c r="H4" s="181"/>
      <c r="I4" s="181"/>
      <c r="J4" s="181"/>
      <c r="K4" s="181"/>
    </row>
    <row r="5" spans="1:11" ht="16.8" customHeight="1">
      <c r="A5" s="6" t="s">
        <v>11</v>
      </c>
      <c r="B5" s="20">
        <v>89888</v>
      </c>
      <c r="C5" s="20">
        <v>-288261</v>
      </c>
      <c r="D5" s="20">
        <v>-120709</v>
      </c>
      <c r="E5" s="20">
        <v>-134513</v>
      </c>
      <c r="F5" s="20">
        <v>-114416</v>
      </c>
      <c r="G5" s="20">
        <f>'Income Statement'!G21</f>
        <v>113470.71467139182</v>
      </c>
      <c r="H5" s="20">
        <f>'Income Statement'!H21</f>
        <v>175663.98687322717</v>
      </c>
      <c r="I5" s="20">
        <f>'Income Statement'!I21</f>
        <v>196181.87696583767</v>
      </c>
      <c r="J5" s="20">
        <f>'Income Statement'!J21</f>
        <v>256480.9583701978</v>
      </c>
      <c r="K5" s="20">
        <f>'Income Statement'!K21</f>
        <v>328226.60593673622</v>
      </c>
    </row>
    <row r="6" spans="1:11" ht="16.8" customHeight="1">
      <c r="A6" s="6" t="s">
        <v>74</v>
      </c>
      <c r="B6" s="20">
        <v>215536</v>
      </c>
      <c r="C6" s="20">
        <v>235906</v>
      </c>
      <c r="D6" s="20">
        <v>214254</v>
      </c>
      <c r="E6" s="20">
        <v>235467</v>
      </c>
      <c r="F6" s="20">
        <v>248357</v>
      </c>
      <c r="G6" s="20">
        <f>'Balance Sheet'!G15-'Balance Sheet'!F15</f>
        <v>22367.320000000065</v>
      </c>
      <c r="H6" s="20">
        <f>'Balance Sheet'!H15-'Balance Sheet'!G15</f>
        <v>22814.666399999987</v>
      </c>
      <c r="I6" s="20">
        <f>'Balance Sheet'!I15-'Balance Sheet'!H15</f>
        <v>23270.959727999987</v>
      </c>
      <c r="J6" s="20">
        <f>'Balance Sheet'!J15-'Balance Sheet'!I15</f>
        <v>23736.378922560019</v>
      </c>
      <c r="K6" s="20">
        <f>'Balance Sheet'!K15-'Balance Sheet'!J15</f>
        <v>24211.106501011411</v>
      </c>
    </row>
    <row r="7" spans="1:11" ht="16.8" customHeight="1">
      <c r="A7" s="6" t="s">
        <v>73</v>
      </c>
      <c r="B7" s="20">
        <f t="shared" ref="B7:F7" si="0">SUM(B8:B13)</f>
        <v>-70315</v>
      </c>
      <c r="C7" s="20">
        <f t="shared" si="0"/>
        <v>242682</v>
      </c>
      <c r="D7" s="20">
        <f t="shared" si="0"/>
        <v>171828</v>
      </c>
      <c r="E7" s="20">
        <f t="shared" si="0"/>
        <v>188489</v>
      </c>
      <c r="F7" s="20">
        <f t="shared" si="0"/>
        <v>7559</v>
      </c>
      <c r="G7" s="20">
        <f t="shared" ref="G7" si="1">SUM(G8:G13)</f>
        <v>315305.85082779342</v>
      </c>
      <c r="H7" s="20">
        <f t="shared" ref="H7" si="2">SUM(H8:H13)</f>
        <v>-200505.54481577693</v>
      </c>
      <c r="I7" s="20">
        <f t="shared" ref="I7" si="3">SUM(I8:I13)</f>
        <v>149025.60969393945</v>
      </c>
      <c r="J7" s="20">
        <f t="shared" ref="J7" si="4">SUM(J8:J13)</f>
        <v>-64463.292011041354</v>
      </c>
      <c r="K7" s="20">
        <f t="shared" ref="K7" si="5">SUM(K8:K13)</f>
        <v>272019.10827752395</v>
      </c>
    </row>
    <row r="8" spans="1:11" ht="16.8" customHeight="1">
      <c r="A8" s="6" t="s">
        <v>168</v>
      </c>
      <c r="B8" s="20">
        <v>26673</v>
      </c>
      <c r="C8" s="20">
        <v>338960</v>
      </c>
      <c r="D8" s="20">
        <v>139023</v>
      </c>
      <c r="E8" s="20">
        <v>210460</v>
      </c>
      <c r="F8" s="20">
        <v>131392</v>
      </c>
      <c r="G8" s="20">
        <f>-('Balance Sheet'!G9-'Balance Sheet'!F9)</f>
        <v>-297.42453243752243</v>
      </c>
      <c r="H8" s="20">
        <f>-('Balance Sheet'!H9-'Balance Sheet'!G9)</f>
        <v>-2260.5044376061487</v>
      </c>
      <c r="I8" s="20">
        <f>-('Balance Sheet'!I9-'Balance Sheet'!H9)</f>
        <v>-1833.610064057917</v>
      </c>
      <c r="J8" s="20">
        <f>-('Balance Sheet'!J9-'Balance Sheet'!I9)</f>
        <v>-2549.6683942597083</v>
      </c>
      <c r="K8" s="20">
        <f>-('Balance Sheet'!K9-'Balance Sheet'!J9)</f>
        <v>-2854.4573180265033</v>
      </c>
    </row>
    <row r="9" spans="1:11" ht="16.8" customHeight="1">
      <c r="A9" s="6" t="s">
        <v>78</v>
      </c>
      <c r="B9" s="20">
        <v>-140312</v>
      </c>
      <c r="C9" s="20">
        <v>-88790</v>
      </c>
      <c r="D9" s="20">
        <v>100142</v>
      </c>
      <c r="E9" s="20">
        <v>-68142</v>
      </c>
      <c r="F9" s="20">
        <v>4660</v>
      </c>
      <c r="G9" s="20">
        <f>-('Balance Sheet'!G7-'Balance Sheet'!F7)</f>
        <v>40698.793799906271</v>
      </c>
      <c r="H9" s="20">
        <f>-('Balance Sheet'!H7-'Balance Sheet'!G7)</f>
        <v>-313461.66071859677</v>
      </c>
      <c r="I9" s="20">
        <f>-('Balance Sheet'!I7-'Balance Sheet'!H7)</f>
        <v>37796.903264588444</v>
      </c>
      <c r="J9" s="20">
        <f>-('Balance Sheet'!J7-'Balance Sheet'!I7)</f>
        <v>-192621.40694363182</v>
      </c>
      <c r="K9" s="20">
        <f>-('Balance Sheet'!K7-'Balance Sheet'!J7)</f>
        <v>104617.79362777877</v>
      </c>
    </row>
    <row r="10" spans="1:11" ht="16.8" customHeight="1">
      <c r="A10" s="6" t="s">
        <v>51</v>
      </c>
      <c r="B10" s="20">
        <v>-35604</v>
      </c>
      <c r="C10" s="20">
        <v>20686</v>
      </c>
      <c r="D10" s="20">
        <v>23255</v>
      </c>
      <c r="E10" s="20">
        <v>38145</v>
      </c>
      <c r="F10" s="20">
        <v>5974</v>
      </c>
      <c r="G10" s="20">
        <f>-('Balance Sheet'!G8-'Balance Sheet'!F8)</f>
        <v>-199261.29574586882</v>
      </c>
      <c r="H10" s="20">
        <f>-('Balance Sheet'!H8-'Balance Sheet'!G8)</f>
        <v>-50336.212010987801</v>
      </c>
      <c r="I10" s="20">
        <f>-('Balance Sheet'!I8-'Balance Sheet'!H8)</f>
        <v>-61597.287487393711</v>
      </c>
      <c r="J10" s="20">
        <f>-('Balance Sheet'!J8-'Balance Sheet'!I8)</f>
        <v>-57515.437424820615</v>
      </c>
      <c r="K10" s="20">
        <f>-('Balance Sheet'!K8-'Balance Sheet'!J8)</f>
        <v>-89821.460859068669</v>
      </c>
    </row>
    <row r="11" spans="1:11" ht="16.8" customHeight="1">
      <c r="A11" s="6" t="s">
        <v>143</v>
      </c>
      <c r="B11" s="20">
        <v>1513</v>
      </c>
      <c r="C11" s="20">
        <v>2949</v>
      </c>
      <c r="D11" s="20">
        <v>-28309</v>
      </c>
      <c r="E11" s="20">
        <v>38535</v>
      </c>
      <c r="F11" s="20">
        <v>-53122</v>
      </c>
      <c r="G11" s="20">
        <f>-('Balance Sheet'!G10-'Balance Sheet'!F10)</f>
        <v>-20137.128369215301</v>
      </c>
      <c r="H11" s="20">
        <f>-('Balance Sheet'!H10-'Balance Sheet'!G10)</f>
        <v>-7037.6240382611941</v>
      </c>
      <c r="I11" s="20">
        <f>-('Balance Sheet'!I10-'Balance Sheet'!H10)</f>
        <v>-5708.5746211925725</v>
      </c>
      <c r="J11" s="20">
        <f>-('Balance Sheet'!J10-'Balance Sheet'!I10)</f>
        <v>-7937.8776181652065</v>
      </c>
      <c r="K11" s="20">
        <f>-('Balance Sheet'!K10-'Balance Sheet'!J10)</f>
        <v>-8886.7763775803614</v>
      </c>
    </row>
    <row r="12" spans="1:11" ht="16.8" customHeight="1">
      <c r="A12" s="6" t="s">
        <v>76</v>
      </c>
      <c r="B12" s="20">
        <v>73203</v>
      </c>
      <c r="C12" s="20">
        <v>-46837</v>
      </c>
      <c r="D12" s="20">
        <v>-80848</v>
      </c>
      <c r="E12" s="20">
        <v>57482</v>
      </c>
      <c r="F12" s="20">
        <v>-70119</v>
      </c>
      <c r="G12" s="20">
        <f>'Balance Sheet'!G28-'Balance Sheet'!F28</f>
        <v>345914.67063116515</v>
      </c>
      <c r="H12" s="20">
        <f>'Balance Sheet'!H28-'Balance Sheet'!G28</f>
        <v>93271.3056399622</v>
      </c>
      <c r="I12" s="20">
        <f>'Balance Sheet'!I28-'Balance Sheet'!H28</f>
        <v>116028.38317066198</v>
      </c>
      <c r="J12" s="20">
        <f>'Balance Sheet'!J28-'Balance Sheet'!I28</f>
        <v>106695.43382098339</v>
      </c>
      <c r="K12" s="20">
        <f>'Balance Sheet'!K28-'Balance Sheet'!J28</f>
        <v>168803.56423890032</v>
      </c>
    </row>
    <row r="13" spans="1:11" ht="16.8" customHeight="1">
      <c r="A13" s="6" t="s">
        <v>144</v>
      </c>
      <c r="B13" s="4">
        <v>4212</v>
      </c>
      <c r="C13" s="4">
        <v>15714</v>
      </c>
      <c r="D13" s="4">
        <v>18565</v>
      </c>
      <c r="E13" s="4">
        <v>-87991</v>
      </c>
      <c r="F13">
        <v>-11226</v>
      </c>
      <c r="G13" s="20">
        <f>('Balance Sheet'!G29-'Balance Sheet'!F29)-('Balance Sheet'!G10-'Balance Sheet'!F10)</f>
        <v>148388.23504424363</v>
      </c>
      <c r="H13" s="20">
        <f>('Balance Sheet'!H29-'Balance Sheet'!G29)-('Balance Sheet'!H10-'Balance Sheet'!G10)</f>
        <v>79319.150749712775</v>
      </c>
      <c r="I13" s="20">
        <f>('Balance Sheet'!I29-'Balance Sheet'!H29)-('Balance Sheet'!I10-'Balance Sheet'!H10)</f>
        <v>64339.795431333201</v>
      </c>
      <c r="J13" s="20">
        <f>('Balance Sheet'!J29-'Balance Sheet'!I29)-('Balance Sheet'!J10-'Balance Sheet'!I10)</f>
        <v>89465.664548852612</v>
      </c>
      <c r="K13" s="20">
        <f>('Balance Sheet'!K29-'Balance Sheet'!J29)-('Balance Sheet'!K10-'Balance Sheet'!J10)</f>
        <v>100160.44496552041</v>
      </c>
    </row>
    <row r="14" spans="1:11" s="45" customFormat="1" ht="16.8" customHeight="1">
      <c r="A14" s="7" t="s">
        <v>182</v>
      </c>
      <c r="B14" s="105">
        <v>235109</v>
      </c>
      <c r="C14" s="105">
        <v>190328</v>
      </c>
      <c r="D14" s="105">
        <v>265373</v>
      </c>
      <c r="E14" s="105">
        <v>289443</v>
      </c>
      <c r="F14" s="105">
        <v>141500</v>
      </c>
      <c r="G14" s="105">
        <f>SUM(G5,G6,G7)</f>
        <v>451143.8854991853</v>
      </c>
      <c r="H14" s="105">
        <f t="shared" ref="H14:K14" si="6">SUM(H5,H6,H7)</f>
        <v>-2026.8915425497689</v>
      </c>
      <c r="I14" s="105">
        <f t="shared" si="6"/>
        <v>368478.4463877771</v>
      </c>
      <c r="J14" s="105">
        <f t="shared" si="6"/>
        <v>215754.04528171645</v>
      </c>
      <c r="K14" s="105">
        <f t="shared" si="6"/>
        <v>624456.82071527163</v>
      </c>
    </row>
    <row r="15" spans="1:11" ht="16.8" customHeight="1">
      <c r="A15" s="182" t="s">
        <v>71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</row>
    <row r="16" spans="1:11" ht="16.8" customHeight="1">
      <c r="A16" s="6" t="s">
        <v>70</v>
      </c>
      <c r="B16" s="20">
        <v>-198654</v>
      </c>
      <c r="C16" s="20">
        <v>-174196</v>
      </c>
      <c r="D16" s="20">
        <v>-143192</v>
      </c>
      <c r="E16" s="20">
        <v>-117757</v>
      </c>
      <c r="F16" s="20">
        <v>-90394</v>
      </c>
      <c r="G16" s="20">
        <f>-('Balance Sheet'!G14-'Balance Sheet'!F14)</f>
        <v>-40590.360000000102</v>
      </c>
      <c r="H16" s="20">
        <f>-('Balance Sheet'!H14-'Balance Sheet'!G14)</f>
        <v>-41402.167200000258</v>
      </c>
      <c r="I16" s="20">
        <f>-('Balance Sheet'!I14-'Balance Sheet'!H14)</f>
        <v>-42230.210543999914</v>
      </c>
      <c r="J16" s="20">
        <f>-('Balance Sheet'!J14-'Balance Sheet'!I14)</f>
        <v>-43074.814754880033</v>
      </c>
      <c r="K16" s="20">
        <f>-('Balance Sheet'!K14-'Balance Sheet'!J14)</f>
        <v>-43936.311049977783</v>
      </c>
    </row>
    <row r="17" spans="1:17" ht="16.8" customHeight="1">
      <c r="A17" s="6" t="s">
        <v>69</v>
      </c>
      <c r="B17" s="20">
        <v>39836</v>
      </c>
      <c r="C17" s="20">
        <v>89103</v>
      </c>
      <c r="D17" s="20">
        <v>-57587</v>
      </c>
      <c r="E17" s="20">
        <v>-360</v>
      </c>
      <c r="F17" s="20">
        <v>122394</v>
      </c>
      <c r="G17" s="20">
        <f>-('Balance Sheet'!G19-'Balance Sheet'!F19)-('Balance Sheet'!G17-'Balance Sheet'!F17)</f>
        <v>-150410.59287940373</v>
      </c>
      <c r="H17" s="20">
        <f>-('Balance Sheet'!H19-'Balance Sheet'!G19)-('Balance Sheet'!H17-'Balance Sheet'!G17)</f>
        <v>-41166.526259183534</v>
      </c>
      <c r="I17" s="20">
        <f>-('Balance Sheet'!I19-'Balance Sheet'!H19)-('Balance Sheet'!I17-'Balance Sheet'!H17)</f>
        <v>-33392.262185107451</v>
      </c>
      <c r="J17" s="20">
        <f>-('Balance Sheet'!J19-'Balance Sheet'!I19)-('Balance Sheet'!J17-'Balance Sheet'!I17)</f>
        <v>-46432.552468534617</v>
      </c>
      <c r="K17" s="20">
        <f>-('Balance Sheet'!K19-'Balance Sheet'!J19)-('Balance Sheet'!K17-'Balance Sheet'!J17)</f>
        <v>-51983.128271447436</v>
      </c>
    </row>
    <row r="18" spans="1:17" ht="16.8" customHeight="1">
      <c r="A18" s="6" t="s">
        <v>68</v>
      </c>
      <c r="B18" s="4">
        <v>-152135</v>
      </c>
      <c r="C18" s="4">
        <v>-178840</v>
      </c>
      <c r="D18" s="4">
        <v>-153829</v>
      </c>
      <c r="E18" s="4">
        <v>-84298</v>
      </c>
      <c r="F18" s="4">
        <v>-61290</v>
      </c>
      <c r="G18" s="21">
        <f>-('Balance Sheet'!G18-'Balance Sheet'!F18)</f>
        <v>-427112.14673468587</v>
      </c>
      <c r="H18" s="21">
        <f>-('Balance Sheet'!H18-'Balance Sheet'!G18)</f>
        <v>-109669.43775741081</v>
      </c>
      <c r="I18" s="21">
        <f>-('Balance Sheet'!I18-'Balance Sheet'!H18)</f>
        <v>-88958.456106600119</v>
      </c>
      <c r="J18" s="21">
        <f>-('Balance Sheet'!J18-'Balance Sheet'!I18)</f>
        <v>-123698.3633451385</v>
      </c>
      <c r="K18" s="21">
        <f>-('Balance Sheet'!K18-'Balance Sheet'!J18)</f>
        <v>-138485.34157358552</v>
      </c>
    </row>
    <row r="19" spans="1:17" ht="16.8" customHeight="1">
      <c r="A19" s="6" t="s">
        <v>67</v>
      </c>
      <c r="B19" s="20">
        <v>48937</v>
      </c>
      <c r="C19" s="20">
        <v>66821</v>
      </c>
      <c r="D19" s="20">
        <v>12905</v>
      </c>
      <c r="E19" s="20">
        <v>-58849</v>
      </c>
      <c r="F19" s="20">
        <v>-18461</v>
      </c>
      <c r="G19" s="20">
        <f>-('Balance Sheet'!G20-'Balance Sheet'!F20)</f>
        <v>-32111.016159814928</v>
      </c>
      <c r="H19" s="20">
        <f>-('Balance Sheet'!H20-'Balance Sheet'!G20)</f>
        <v>-16786.453650460317</v>
      </c>
      <c r="I19" s="20">
        <f>-('Balance Sheet'!I20-'Balance Sheet'!H20)</f>
        <v>-13616.345909907308</v>
      </c>
      <c r="J19" s="20">
        <f>-('Balance Sheet'!J20-'Balance Sheet'!I20)</f>
        <v>-18933.778501938679</v>
      </c>
      <c r="K19" s="20">
        <f>-('Balance Sheet'!K20-'Balance Sheet'!J20)</f>
        <v>-21197.133997671772</v>
      </c>
      <c r="P19" s="59"/>
    </row>
    <row r="20" spans="1:17" s="45" customFormat="1" ht="16.8" customHeight="1">
      <c r="A20" s="7" t="s">
        <v>181</v>
      </c>
      <c r="B20" s="105">
        <v>-262016</v>
      </c>
      <c r="C20" s="105">
        <v>-197112</v>
      </c>
      <c r="D20" s="105">
        <v>-341703</v>
      </c>
      <c r="E20" s="105">
        <v>-261264</v>
      </c>
      <c r="F20" s="105">
        <v>-47751</v>
      </c>
      <c r="G20" s="105">
        <f>SUM(G16:G19)</f>
        <v>-650224.1157739046</v>
      </c>
      <c r="H20" s="105">
        <f t="shared" ref="H20:K20" si="7">SUM(H16:H19)</f>
        <v>-209024.58486705492</v>
      </c>
      <c r="I20" s="105">
        <f t="shared" si="7"/>
        <v>-178197.27474561479</v>
      </c>
      <c r="J20" s="105">
        <f t="shared" si="7"/>
        <v>-232139.50907049183</v>
      </c>
      <c r="K20" s="105">
        <f t="shared" si="7"/>
        <v>-255601.91489268251</v>
      </c>
    </row>
    <row r="21" spans="1:17" ht="16.8" customHeight="1">
      <c r="A21" s="182" t="s">
        <v>66</v>
      </c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P21" s="59"/>
      <c r="Q21" s="59"/>
    </row>
    <row r="22" spans="1:17" ht="16.8" customHeight="1">
      <c r="A22" s="6" t="s">
        <v>169</v>
      </c>
      <c r="B22" s="20">
        <v>1900</v>
      </c>
      <c r="C22" s="20">
        <v>110164</v>
      </c>
      <c r="D22" s="20">
        <v>86854</v>
      </c>
      <c r="E22" s="20">
        <v>199990</v>
      </c>
      <c r="F22" s="20">
        <v>41781</v>
      </c>
      <c r="G22" s="79">
        <f>('Balance Sheet'!G27-'Balance Sheet'!F27)+('Balance Sheet'!G32-'Balance Sheet'!F32)</f>
        <v>24220.000000000058</v>
      </c>
      <c r="H22" s="79">
        <f>('Balance Sheet'!H27-'Balance Sheet'!G27)+('Balance Sheet'!H32-'Balance Sheet'!G32)</f>
        <v>24704.400000000023</v>
      </c>
      <c r="I22" s="79">
        <f>('Balance Sheet'!I27-'Balance Sheet'!H27)+('Balance Sheet'!I32-'Balance Sheet'!H32)</f>
        <v>25198.487999999954</v>
      </c>
      <c r="J22" s="79">
        <f>('Balance Sheet'!J27-'Balance Sheet'!I27)+('Balance Sheet'!J32-'Balance Sheet'!I32)</f>
        <v>25702.457759999903</v>
      </c>
      <c r="K22" s="79">
        <f>('Balance Sheet'!K27-'Balance Sheet'!J27)+('Balance Sheet'!K32-'Balance Sheet'!J32)</f>
        <v>26216.506915200123</v>
      </c>
      <c r="P22" s="59"/>
    </row>
    <row r="23" spans="1:17" ht="16.8" customHeight="1">
      <c r="A23" s="6" t="s">
        <v>88</v>
      </c>
      <c r="B23" s="20">
        <v>0</v>
      </c>
      <c r="C23" s="20">
        <v>0</v>
      </c>
      <c r="D23" s="20">
        <v>38888</v>
      </c>
      <c r="E23" s="20">
        <v>26025</v>
      </c>
      <c r="F23" s="20">
        <v>37686</v>
      </c>
      <c r="G23" s="20">
        <f>'Balance Sheet'!G40-'Balance Sheet'!F40</f>
        <v>0</v>
      </c>
      <c r="H23" s="20">
        <f>'Balance Sheet'!H40-'Balance Sheet'!G40</f>
        <v>0</v>
      </c>
      <c r="I23" s="20">
        <f>'Balance Sheet'!I40-'Balance Sheet'!H40</f>
        <v>0</v>
      </c>
      <c r="J23" s="20">
        <f>'Balance Sheet'!J40-'Balance Sheet'!I40</f>
        <v>0</v>
      </c>
      <c r="K23" s="20">
        <f>'Balance Sheet'!K40-'Balance Sheet'!J40</f>
        <v>0</v>
      </c>
    </row>
    <row r="24" spans="1:17" ht="16.8" customHeight="1">
      <c r="A24" s="6" t="s">
        <v>65</v>
      </c>
      <c r="B24" s="20">
        <v>0</v>
      </c>
      <c r="C24" s="20">
        <v>0</v>
      </c>
      <c r="D24" s="20">
        <v>0</v>
      </c>
      <c r="E24" s="20">
        <v>-16</v>
      </c>
      <c r="F24" s="20">
        <v>-15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</row>
    <row r="25" spans="1:17" ht="16.8" customHeight="1">
      <c r="A25" s="6" t="s">
        <v>64</v>
      </c>
      <c r="B25" s="20">
        <v>-55066</v>
      </c>
      <c r="C25" s="20">
        <v>-70998</v>
      </c>
      <c r="D25" s="20">
        <v>-75974</v>
      </c>
      <c r="E25" s="20">
        <v>-81515</v>
      </c>
      <c r="F25" s="20">
        <v>-93498</v>
      </c>
      <c r="G25" s="20">
        <f>SUM('Balance Sheet'!G33:G35)-SUM('Balance Sheet'!F33:F35)+'Balance Sheet'!G42-'Balance Sheet'!F42</f>
        <v>39741.923696214508</v>
      </c>
      <c r="H25" s="20">
        <f>SUM('Balance Sheet'!H33:H35)-SUM('Balance Sheet'!G33:G35)+'Balance Sheet'!H42-'Balance Sheet'!G42</f>
        <v>69614.188339968445</v>
      </c>
      <c r="I25" s="20">
        <f>SUM('Balance Sheet'!I33:I35)-SUM('Balance Sheet'!H33:H35)+'Balance Sheet'!I42-'Balance Sheet'!H42</f>
        <v>56467.607060557057</v>
      </c>
      <c r="J25" s="20">
        <f>SUM('Balance Sheet'!J33:J35)-SUM('Balance Sheet'!I33:I35)+'Balance Sheet'!J42-'Balance Sheet'!I42</f>
        <v>78519.242364515696</v>
      </c>
      <c r="K25" s="20">
        <f>SUM('Balance Sheet'!K33:K35)-SUM('Balance Sheet'!J33:J35)+'Balance Sheet'!K42-'Balance Sheet'!J42</f>
        <v>87905.480758945632</v>
      </c>
    </row>
    <row r="26" spans="1:17" s="45" customFormat="1" ht="16.8" customHeight="1">
      <c r="A26" s="7" t="s">
        <v>63</v>
      </c>
      <c r="B26" s="105">
        <v>-53166</v>
      </c>
      <c r="C26" s="105">
        <v>39166</v>
      </c>
      <c r="D26" s="105">
        <v>49768</v>
      </c>
      <c r="E26" s="105">
        <v>144484</v>
      </c>
      <c r="F26" s="105">
        <v>-14046</v>
      </c>
      <c r="G26" s="105">
        <f>SUM(G22:G25)</f>
        <v>63961.923696214566</v>
      </c>
      <c r="H26" s="105">
        <f t="shared" ref="H26:K26" si="8">SUM(H22:H25)</f>
        <v>94318.588339968468</v>
      </c>
      <c r="I26" s="105">
        <f t="shared" si="8"/>
        <v>81666.095060557011</v>
      </c>
      <c r="J26" s="105">
        <f t="shared" si="8"/>
        <v>104221.7001245156</v>
      </c>
      <c r="K26" s="105">
        <f t="shared" si="8"/>
        <v>114121.98767414576</v>
      </c>
    </row>
    <row r="27" spans="1:17" ht="16.8" customHeight="1">
      <c r="A27" s="330" t="s">
        <v>248</v>
      </c>
      <c r="B27" s="105">
        <v>13064</v>
      </c>
      <c r="C27" s="105">
        <v>-14109</v>
      </c>
      <c r="D27" s="105">
        <v>10557</v>
      </c>
      <c r="E27" s="105">
        <v>4538</v>
      </c>
      <c r="F27" s="105">
        <v>3315</v>
      </c>
      <c r="G27" s="227">
        <f>IF(F30+SUM(G26,G20,G14)&gt;'Balance Sheet'!G6,(F30+SUM(G26,G20,G14))-'Balance Sheet'!G6,-(F30+SUM(G26,G20,G14))+'Balance Sheet'!G6)</f>
        <v>20137.128369214828</v>
      </c>
      <c r="H27" s="227">
        <f>IF(G30+SUM(H26,H20,H14)&gt;'Balance Sheet'!H6,(G30+SUM(H26,H20,H14))-'Balance Sheet'!H6,-(G30+SUM(H26,H20,H14))+'Balance Sheet'!H6)</f>
        <v>7037.6240382613905</v>
      </c>
      <c r="I27" s="227">
        <f>IF(H30+SUM(I26,I20,I14)&gt;'Balance Sheet'!I6,(H30+SUM(I26,I20,I14))-'Balance Sheet'!I6,-(H30+SUM(I26,I20,I14))+'Balance Sheet'!I6)</f>
        <v>5708.5746211928199</v>
      </c>
      <c r="J27" s="227">
        <f>IF(I30+SUM(J26,J20,J14)&gt;'Balance Sheet'!J6,(I30+SUM(J26,J20,J14))-'Balance Sheet'!J6,-(I30+SUM(J26,J20,J14))+'Balance Sheet'!J6)</f>
        <v>7937.8776181649882</v>
      </c>
      <c r="K27" s="227">
        <f>IF(J30+SUM(K26,K20,K14)&gt;'Balance Sheet'!K6,(J30+SUM(K26,K20,K14))-'Balance Sheet'!K6,-(J30+SUM(K26,K20,K14))+'Balance Sheet'!K6)</f>
        <v>8886.776377580245</v>
      </c>
    </row>
    <row r="28" spans="1:17" ht="16.8" customHeight="1">
      <c r="A28" s="6" t="s">
        <v>62</v>
      </c>
      <c r="B28" s="63">
        <v>-16412</v>
      </c>
      <c r="C28" s="63">
        <v>-75757</v>
      </c>
      <c r="D28" s="63">
        <v>24951</v>
      </c>
      <c r="E28" s="62">
        <v>-124589</v>
      </c>
      <c r="F28" s="62">
        <v>64590</v>
      </c>
      <c r="G28" s="20">
        <f>SUM(G26,G20,G14,G27)</f>
        <v>-114981.17820928991</v>
      </c>
      <c r="H28" s="20">
        <f>SUM(H26,H20,H14,H27)</f>
        <v>-109695.26403137483</v>
      </c>
      <c r="I28" s="20">
        <f>SUM(I26,I20,I14,I27)</f>
        <v>277655.84132391214</v>
      </c>
      <c r="J28" s="20">
        <f>SUM(J26,J20,J14,J27)</f>
        <v>95774.113953905209</v>
      </c>
      <c r="K28" s="20">
        <f>SUM(K26,K20,K14,K27)</f>
        <v>491863.66987431515</v>
      </c>
    </row>
    <row r="29" spans="1:17" ht="16.8" customHeight="1">
      <c r="A29" s="6" t="s">
        <v>61</v>
      </c>
      <c r="B29" s="20">
        <v>508807</v>
      </c>
      <c r="C29" s="20">
        <v>492395</v>
      </c>
      <c r="D29" s="20">
        <v>416638</v>
      </c>
      <c r="E29" s="20">
        <v>441589</v>
      </c>
      <c r="F29" s="20">
        <v>317000</v>
      </c>
      <c r="G29" s="20">
        <f>'Balance Sheet'!F6</f>
        <v>381590</v>
      </c>
      <c r="H29" s="20">
        <f>G30</f>
        <v>266608.82179071009</v>
      </c>
      <c r="I29" s="20">
        <f t="shared" ref="I29:K29" si="9">H30</f>
        <v>156913.55775933526</v>
      </c>
      <c r="J29" s="20">
        <f t="shared" si="9"/>
        <v>434569.39908324741</v>
      </c>
      <c r="K29" s="20">
        <f t="shared" si="9"/>
        <v>530343.51303715259</v>
      </c>
    </row>
    <row r="30" spans="1:17" s="45" customFormat="1" ht="16.8" customHeight="1">
      <c r="A30" s="7" t="s">
        <v>60</v>
      </c>
      <c r="B30" s="105">
        <v>492395</v>
      </c>
      <c r="C30" s="105">
        <v>416638</v>
      </c>
      <c r="D30" s="105">
        <v>441589</v>
      </c>
      <c r="E30" s="105">
        <v>317000</v>
      </c>
      <c r="F30" s="105">
        <v>381590</v>
      </c>
      <c r="G30" s="105">
        <f>G29+G28</f>
        <v>266608.82179071009</v>
      </c>
      <c r="H30" s="105">
        <f>H29+H28</f>
        <v>156913.55775933526</v>
      </c>
      <c r="I30" s="105">
        <f>I29+I28</f>
        <v>434569.39908324741</v>
      </c>
      <c r="J30" s="105">
        <f>J29+J28</f>
        <v>530343.51303715259</v>
      </c>
      <c r="K30" s="105">
        <f>K29+K28</f>
        <v>1022207.1829114677</v>
      </c>
    </row>
    <row r="31" spans="1:17" ht="16.8" customHeight="1">
      <c r="A31" s="6" t="s">
        <v>59</v>
      </c>
      <c r="B31" s="20"/>
      <c r="C31" s="20"/>
      <c r="D31" s="20"/>
      <c r="E31" s="20"/>
      <c r="F31" s="20"/>
      <c r="G31" s="21"/>
      <c r="H31" s="21"/>
      <c r="I31" s="21"/>
      <c r="J31" s="21"/>
      <c r="K31" s="21"/>
    </row>
    <row r="32" spans="1:17" ht="16.8" customHeight="1">
      <c r="A32" s="6" t="s">
        <v>58</v>
      </c>
      <c r="B32" s="20">
        <v>235109</v>
      </c>
      <c r="C32" s="20">
        <v>190328</v>
      </c>
      <c r="D32" s="20">
        <v>265373</v>
      </c>
      <c r="E32" s="20">
        <v>289443</v>
      </c>
      <c r="F32" s="20">
        <v>141500</v>
      </c>
      <c r="G32" s="21">
        <f>G14</f>
        <v>451143.8854991853</v>
      </c>
      <c r="H32" s="21">
        <f>H14</f>
        <v>-2026.8915425497689</v>
      </c>
      <c r="I32" s="21">
        <f>I14</f>
        <v>368478.4463877771</v>
      </c>
      <c r="J32" s="21">
        <f>J14</f>
        <v>215754.04528171645</v>
      </c>
      <c r="K32" s="21">
        <f>K14</f>
        <v>624456.82071527163</v>
      </c>
    </row>
    <row r="33" spans="1:11" ht="16.8" customHeight="1">
      <c r="A33" s="6" t="s">
        <v>57</v>
      </c>
      <c r="B33" s="21">
        <v>-350789</v>
      </c>
      <c r="C33" s="21">
        <v>-353036</v>
      </c>
      <c r="D33" s="21">
        <v>-297021</v>
      </c>
      <c r="E33" s="21">
        <v>-202055</v>
      </c>
      <c r="F33" s="21">
        <v>-151684</v>
      </c>
      <c r="G33" s="22">
        <f>G16+G6</f>
        <v>-18223.040000000037</v>
      </c>
      <c r="H33" s="22">
        <f>H16+H6</f>
        <v>-18587.500800000271</v>
      </c>
      <c r="I33" s="22">
        <f>I16+I6</f>
        <v>-18959.250815999927</v>
      </c>
      <c r="J33" s="22">
        <f>J16+J6</f>
        <v>-19338.435832320014</v>
      </c>
      <c r="K33" s="22">
        <f>K16+K6</f>
        <v>-19725.204548966372</v>
      </c>
    </row>
    <row r="34" spans="1:11" ht="16.8" customHeight="1" thickBot="1">
      <c r="A34" s="9" t="s">
        <v>56</v>
      </c>
      <c r="B34" s="23">
        <v>-115680</v>
      </c>
      <c r="C34" s="23">
        <v>-162708</v>
      </c>
      <c r="D34" s="23">
        <v>-31648</v>
      </c>
      <c r="E34" s="23">
        <v>87388</v>
      </c>
      <c r="F34" s="23">
        <v>-10184</v>
      </c>
      <c r="G34" s="23">
        <f>SUM(G32:G33)</f>
        <v>432920.84549918526</v>
      </c>
      <c r="H34" s="23">
        <f t="shared" ref="H34:K34" si="10">SUM(H32:H33)</f>
        <v>-20614.39234255004</v>
      </c>
      <c r="I34" s="23">
        <f t="shared" si="10"/>
        <v>349519.19557177718</v>
      </c>
      <c r="J34" s="23">
        <f t="shared" si="10"/>
        <v>196415.60944939643</v>
      </c>
      <c r="K34" s="23">
        <f t="shared" si="10"/>
        <v>604731.61616630526</v>
      </c>
    </row>
    <row r="35" spans="1:11" ht="16.8" customHeight="1" thickBot="1">
      <c r="A35" s="6"/>
      <c r="B35" s="157"/>
      <c r="C35" s="157"/>
      <c r="D35" s="157"/>
      <c r="E35" s="157"/>
      <c r="F35" s="157"/>
      <c r="G35" s="157"/>
      <c r="H35" s="157"/>
      <c r="I35" s="157"/>
      <c r="J35" s="157"/>
      <c r="K35" s="157"/>
    </row>
    <row r="36" spans="1:11" ht="16.8" customHeight="1" thickBot="1">
      <c r="A36" s="173" t="s">
        <v>214</v>
      </c>
      <c r="B36" s="228">
        <f>B30-'Balance Sheet'!B6</f>
        <v>0</v>
      </c>
      <c r="C36" s="228">
        <f>C30-'Balance Sheet'!C6</f>
        <v>0</v>
      </c>
      <c r="D36" s="228">
        <f>D30-'Balance Sheet'!D6</f>
        <v>0</v>
      </c>
      <c r="E36" s="228">
        <f>E30-'Balance Sheet'!E6</f>
        <v>0</v>
      </c>
      <c r="F36" s="228">
        <f>F30-'Balance Sheet'!F6</f>
        <v>0</v>
      </c>
      <c r="G36" s="228">
        <f>G30-'Balance Sheet'!G6</f>
        <v>0</v>
      </c>
      <c r="H36" s="228">
        <f>H30-'Balance Sheet'!H6</f>
        <v>0</v>
      </c>
      <c r="I36" s="228">
        <f>I30-'Balance Sheet'!I6</f>
        <v>0</v>
      </c>
      <c r="J36" s="228">
        <f>J30-'Balance Sheet'!J6</f>
        <v>0</v>
      </c>
      <c r="K36" s="228">
        <f>K30-'Balance Sheet'!K6</f>
        <v>0</v>
      </c>
    </row>
    <row r="37" spans="1:11" ht="16.8" customHeight="1">
      <c r="A37" s="61" t="s">
        <v>142</v>
      </c>
    </row>
    <row r="38" spans="1:11" ht="16.8" customHeight="1">
      <c r="B38" s="48"/>
      <c r="C38" s="48"/>
      <c r="D38" s="48"/>
      <c r="E38" s="48"/>
      <c r="F38" s="48"/>
    </row>
    <row r="39" spans="1:11" ht="16.8" customHeight="1">
      <c r="B39" s="48"/>
      <c r="C39" s="48"/>
      <c r="D39" s="48"/>
      <c r="E39" s="48"/>
      <c r="F39" s="48"/>
    </row>
    <row r="40" spans="1:11" ht="16.8" customHeight="1">
      <c r="B40" s="48"/>
      <c r="C40" s="48"/>
      <c r="D40" s="48"/>
      <c r="E40" s="48"/>
      <c r="F40" s="48"/>
    </row>
    <row r="47" spans="1:11" ht="16.8" customHeight="1">
      <c r="H47" s="48"/>
    </row>
    <row r="48" spans="1:11" ht="16.8" customHeight="1">
      <c r="G48" s="206"/>
      <c r="H48" s="206"/>
      <c r="I48" s="206"/>
      <c r="J48" s="206"/>
      <c r="K48" s="206"/>
    </row>
    <row r="53" spans="8:9" ht="16.8" customHeight="1">
      <c r="I53" s="206"/>
    </row>
    <row r="54" spans="8:9" ht="16.8" customHeight="1">
      <c r="H54" s="206"/>
      <c r="I54" s="206"/>
    </row>
  </sheetData>
  <mergeCells count="3">
    <mergeCell ref="B2:F2"/>
    <mergeCell ref="G2:K2"/>
    <mergeCell ref="A1:K1"/>
  </mergeCells>
  <phoneticPr fontId="1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-0.249977111117893"/>
  </sheetPr>
  <dimension ref="A1:S53"/>
  <sheetViews>
    <sheetView showGridLines="0" tabSelected="1" zoomScale="70" zoomScaleNormal="70" workbookViewId="0">
      <selection activeCell="M52" sqref="M52"/>
    </sheetView>
  </sheetViews>
  <sheetFormatPr defaultRowHeight="14.4"/>
  <cols>
    <col min="2" max="2" width="52.109375" customWidth="1"/>
    <col min="3" max="3" width="13.6640625" bestFit="1" customWidth="1"/>
    <col min="4" max="4" width="13.6640625" customWidth="1"/>
    <col min="5" max="5" width="11.6640625" bestFit="1" customWidth="1"/>
    <col min="6" max="6" width="13.88671875" bestFit="1" customWidth="1"/>
    <col min="7" max="7" width="12.5546875" bestFit="1" customWidth="1"/>
    <col min="8" max="8" width="18.5546875" customWidth="1"/>
    <col min="9" max="9" width="9.6640625" bestFit="1" customWidth="1"/>
    <col min="10" max="11" width="10.6640625" bestFit="1" customWidth="1"/>
    <col min="12" max="12" width="12.6640625" customWidth="1"/>
    <col min="13" max="14" width="10.6640625" bestFit="1" customWidth="1"/>
    <col min="15" max="15" width="12.33203125" customWidth="1"/>
    <col min="16" max="16" width="5.88671875" customWidth="1"/>
    <col min="18" max="18" width="6.6640625" customWidth="1"/>
  </cols>
  <sheetData>
    <row r="1" spans="1:19" ht="14.4" customHeight="1">
      <c r="A1" s="243" t="s">
        <v>98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</row>
    <row r="2" spans="1:19" ht="15" customHeight="1" thickBot="1">
      <c r="A2" s="245"/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</row>
    <row r="4" spans="1:19" ht="15" thickBot="1"/>
    <row r="5" spans="1:19" ht="15" thickBot="1">
      <c r="B5" s="3"/>
      <c r="C5" s="34" t="str">
        <f>'Income Statement'!G3</f>
        <v>2022F</v>
      </c>
      <c r="D5" s="34" t="str">
        <f>'Income Statement'!H3</f>
        <v>2023F</v>
      </c>
      <c r="E5" s="34" t="str">
        <f>'Income Statement'!I3</f>
        <v>2024F</v>
      </c>
      <c r="F5" s="34" t="str">
        <f>'Income Statement'!J3</f>
        <v>2025F</v>
      </c>
      <c r="G5" s="34" t="str">
        <f>'Income Statement'!K3</f>
        <v>2026F</v>
      </c>
      <c r="J5" s="246" t="s">
        <v>99</v>
      </c>
      <c r="K5" s="247"/>
      <c r="L5" s="247"/>
      <c r="M5" s="247"/>
      <c r="N5" s="247"/>
      <c r="O5" s="247"/>
      <c r="P5" s="247"/>
      <c r="Q5" s="248"/>
    </row>
    <row r="6" spans="1:19">
      <c r="B6" s="6" t="s">
        <v>100</v>
      </c>
      <c r="C6" s="108">
        <f>'Income Statement'!G19</f>
        <v>113470.71467139182</v>
      </c>
      <c r="D6" s="108">
        <f>'Income Statement'!H19</f>
        <v>175663.98687322717</v>
      </c>
      <c r="E6" s="108">
        <f>'Income Statement'!I19</f>
        <v>196181.87696583767</v>
      </c>
      <c r="F6" s="108">
        <f>'Income Statement'!J19</f>
        <v>256480.9583701978</v>
      </c>
      <c r="G6" s="108">
        <f>'Income Statement'!K19</f>
        <v>328226.60593673622</v>
      </c>
      <c r="J6" s="249" t="s">
        <v>101</v>
      </c>
      <c r="K6" s="250"/>
      <c r="L6" s="250"/>
      <c r="M6" s="250"/>
      <c r="N6" s="250"/>
      <c r="O6" s="251">
        <f>'Assumption Summary'!C52</f>
        <v>7.1999999999999995E-2</v>
      </c>
      <c r="P6" s="250"/>
      <c r="Q6" s="252"/>
    </row>
    <row r="7" spans="1:19">
      <c r="B7" s="6" t="s">
        <v>102</v>
      </c>
      <c r="C7" s="109">
        <f>'Cash Flow Statement'!G6</f>
        <v>22367.320000000065</v>
      </c>
      <c r="D7" s="109">
        <f>'Cash Flow Statement'!H6</f>
        <v>22814.666399999987</v>
      </c>
      <c r="E7" s="109">
        <f>'Cash Flow Statement'!I6</f>
        <v>23270.959727999987</v>
      </c>
      <c r="F7" s="109">
        <f>'Cash Flow Statement'!J6</f>
        <v>23736.378922560019</v>
      </c>
      <c r="G7" s="109">
        <f>'Cash Flow Statement'!K6</f>
        <v>24211.106501011411</v>
      </c>
      <c r="J7" s="253" t="s">
        <v>215</v>
      </c>
      <c r="K7" s="254"/>
      <c r="L7" s="254"/>
      <c r="M7" s="254"/>
      <c r="N7" s="254"/>
      <c r="O7" s="255">
        <f>'Assumption Summary'!C53</f>
        <v>1.71</v>
      </c>
      <c r="P7" s="256"/>
      <c r="Q7" s="257"/>
      <c r="S7" s="193"/>
    </row>
    <row r="8" spans="1:19" ht="15" thickBot="1">
      <c r="B8" s="6" t="s">
        <v>7</v>
      </c>
      <c r="C8" s="109">
        <f>'Income Statement'!G13</f>
        <v>100534.21920000001</v>
      </c>
      <c r="D8" s="109">
        <f>'Income Statement'!H13</f>
        <v>97120.757376000009</v>
      </c>
      <c r="E8" s="109">
        <f>'Income Statement'!I13</f>
        <v>99063.172523519999</v>
      </c>
      <c r="F8" s="109">
        <f>'Income Statement'!J13</f>
        <v>101044.43597399039</v>
      </c>
      <c r="G8" s="109">
        <f>'Income Statement'!K13</f>
        <v>103065.32469347022</v>
      </c>
      <c r="J8" s="253" t="s">
        <v>105</v>
      </c>
      <c r="K8" s="254"/>
      <c r="L8" s="254"/>
      <c r="M8" s="254"/>
      <c r="N8" s="254"/>
      <c r="O8" s="258">
        <f>'Assumption Summary'!C54</f>
        <v>0.13</v>
      </c>
      <c r="P8" s="259"/>
      <c r="Q8" s="260"/>
    </row>
    <row r="9" spans="1:19" ht="15" thickBot="1">
      <c r="B9" s="6" t="s">
        <v>103</v>
      </c>
      <c r="C9" s="123">
        <f>'Assumption Summary'!$C$42</f>
        <v>0.3</v>
      </c>
      <c r="D9" s="123">
        <f>'Assumption Summary'!$C$42</f>
        <v>0.3</v>
      </c>
      <c r="E9" s="123">
        <f>'Assumption Summary'!$C$42</f>
        <v>0.3</v>
      </c>
      <c r="F9" s="123">
        <f>'Assumption Summary'!$C$42</f>
        <v>0.3</v>
      </c>
      <c r="G9" s="123">
        <f>'Assumption Summary'!$C$42</f>
        <v>0.3</v>
      </c>
      <c r="J9" s="261" t="s">
        <v>107</v>
      </c>
      <c r="K9" s="262"/>
      <c r="L9" s="262"/>
      <c r="M9" s="262"/>
      <c r="N9" s="262"/>
      <c r="O9" s="263">
        <f>O6+O7*(O8-O6)</f>
        <v>0.17118</v>
      </c>
      <c r="P9" s="262"/>
      <c r="Q9" s="264"/>
    </row>
    <row r="10" spans="1:19">
      <c r="B10" s="6" t="s">
        <v>104</v>
      </c>
      <c r="C10" s="119">
        <f>'Cash Flow Statement'!G33*-1</f>
        <v>18223.040000000037</v>
      </c>
      <c r="D10" s="119">
        <f>'Cash Flow Statement'!H33*-1</f>
        <v>18587.500800000271</v>
      </c>
      <c r="E10" s="119">
        <f>'Cash Flow Statement'!I33*-1</f>
        <v>18959.250815999927</v>
      </c>
      <c r="F10" s="119">
        <f>'Cash Flow Statement'!J33*-1</f>
        <v>19338.435832320014</v>
      </c>
      <c r="G10" s="119">
        <f>'Cash Flow Statement'!K33*-1</f>
        <v>19725.204548966372</v>
      </c>
    </row>
    <row r="11" spans="1:19" ht="15" thickBot="1">
      <c r="B11" s="6" t="s">
        <v>106</v>
      </c>
      <c r="C11" s="120">
        <f>'Cash Flow Statement'!G7*-1</f>
        <v>-315305.85082779342</v>
      </c>
      <c r="D11" s="120">
        <f>'Cash Flow Statement'!H7*-1</f>
        <v>200505.54481577693</v>
      </c>
      <c r="E11" s="120">
        <f>'Cash Flow Statement'!I7*-1</f>
        <v>-149025.60969393945</v>
      </c>
      <c r="F11" s="120">
        <f>'Cash Flow Statement'!J7*-1</f>
        <v>64463.292011041354</v>
      </c>
      <c r="G11" s="120">
        <f>'Cash Flow Statement'!K7*-1</f>
        <v>-272019.10827752395</v>
      </c>
    </row>
    <row r="12" spans="1:19" ht="15" thickBot="1">
      <c r="B12" s="184" t="s">
        <v>108</v>
      </c>
      <c r="C12" s="185">
        <f>C6+C7+(C8*(1-C9))-C10-C11</f>
        <v>503294.79893918528</v>
      </c>
      <c r="D12" s="185">
        <f t="shared" ref="D12:G12" si="0">D6+D7+(D8*(1-D9))-D10-D11</f>
        <v>47370.13782064995</v>
      </c>
      <c r="E12" s="185">
        <f t="shared" si="0"/>
        <v>418863.41633824119</v>
      </c>
      <c r="F12" s="185">
        <f t="shared" si="0"/>
        <v>267146.71463118971</v>
      </c>
      <c r="G12" s="185">
        <f t="shared" si="0"/>
        <v>676877.3434517344</v>
      </c>
    </row>
    <row r="13" spans="1:19" ht="15" thickBot="1">
      <c r="B13" s="30" t="s">
        <v>7</v>
      </c>
      <c r="C13" s="121">
        <f>C8</f>
        <v>100534.21920000001</v>
      </c>
      <c r="D13" s="121">
        <f t="shared" ref="D13:G13" si="1">D8</f>
        <v>97120.757376000009</v>
      </c>
      <c r="E13" s="121">
        <f t="shared" si="1"/>
        <v>99063.172523519999</v>
      </c>
      <c r="F13" s="121">
        <f t="shared" si="1"/>
        <v>101044.43597399039</v>
      </c>
      <c r="G13" s="121">
        <f t="shared" si="1"/>
        <v>103065.32469347022</v>
      </c>
      <c r="J13" s="246" t="s">
        <v>109</v>
      </c>
      <c r="K13" s="247"/>
      <c r="L13" s="247"/>
      <c r="M13" s="247"/>
      <c r="N13" s="247"/>
      <c r="O13" s="247"/>
      <c r="P13" s="247"/>
      <c r="Q13" s="248"/>
    </row>
    <row r="14" spans="1:19" ht="15" thickBot="1">
      <c r="B14" s="6" t="s">
        <v>103</v>
      </c>
      <c r="C14" s="123">
        <f>C9</f>
        <v>0.3</v>
      </c>
      <c r="D14" s="123">
        <f t="shared" ref="D14:G14" si="2">D9</f>
        <v>0.3</v>
      </c>
      <c r="E14" s="123">
        <f t="shared" si="2"/>
        <v>0.3</v>
      </c>
      <c r="F14" s="123">
        <f t="shared" si="2"/>
        <v>0.3</v>
      </c>
      <c r="G14" s="123">
        <f t="shared" si="2"/>
        <v>0.3</v>
      </c>
      <c r="J14" s="265" t="s">
        <v>110</v>
      </c>
      <c r="K14" s="266"/>
      <c r="L14" s="266"/>
      <c r="M14" s="266"/>
      <c r="N14" s="266"/>
      <c r="O14" s="267">
        <f>'Income Statement'!K13/('Balance Sheet'!K27+'Balance Sheet'!K32)</f>
        <v>7.7084591246903394E-2</v>
      </c>
      <c r="P14" s="268"/>
      <c r="Q14" s="269"/>
    </row>
    <row r="15" spans="1:19" ht="15" thickBot="1">
      <c r="B15" s="6" t="s">
        <v>111</v>
      </c>
      <c r="C15" s="122">
        <f>'Cash Flow Statement'!G22</f>
        <v>24220.000000000058</v>
      </c>
      <c r="D15" s="122">
        <f>'Cash Flow Statement'!H22</f>
        <v>24704.400000000023</v>
      </c>
      <c r="E15" s="122">
        <f>'Cash Flow Statement'!I22</f>
        <v>25198.487999999954</v>
      </c>
      <c r="F15" s="122">
        <f>'Cash Flow Statement'!J22</f>
        <v>25702.457759999903</v>
      </c>
      <c r="G15" s="122">
        <f>'Cash Flow Statement'!K22</f>
        <v>26216.506915200123</v>
      </c>
    </row>
    <row r="16" spans="1:19" ht="15" thickBot="1">
      <c r="B16" s="186" t="s">
        <v>112</v>
      </c>
      <c r="C16" s="187">
        <f>C12-(C13*(1-C14))+C15</f>
        <v>457140.84549918532</v>
      </c>
      <c r="D16" s="187">
        <f t="shared" ref="D16:G16" si="3">D12-(D13*(1-D14))+D15</f>
        <v>4090.007657449969</v>
      </c>
      <c r="E16" s="187">
        <f t="shared" si="3"/>
        <v>374717.68357177713</v>
      </c>
      <c r="F16" s="187">
        <f t="shared" si="3"/>
        <v>222118.06720939634</v>
      </c>
      <c r="G16" s="187">
        <f t="shared" si="3"/>
        <v>630948.12308150542</v>
      </c>
      <c r="J16" s="246" t="s">
        <v>113</v>
      </c>
      <c r="K16" s="247"/>
      <c r="L16" s="247"/>
      <c r="M16" s="247"/>
      <c r="N16" s="247"/>
      <c r="O16" s="247"/>
      <c r="P16" s="247"/>
      <c r="Q16" s="248"/>
    </row>
    <row r="17" spans="2:17">
      <c r="J17" s="249" t="s">
        <v>107</v>
      </c>
      <c r="K17" s="250"/>
      <c r="L17" s="250"/>
      <c r="M17" s="250"/>
      <c r="N17" s="250"/>
      <c r="O17" s="251">
        <f>O9</f>
        <v>0.17118</v>
      </c>
      <c r="P17" s="250"/>
      <c r="Q17" s="252"/>
    </row>
    <row r="18" spans="2:17" ht="15" thickBot="1">
      <c r="J18" s="253" t="s">
        <v>127</v>
      </c>
      <c r="K18" s="254"/>
      <c r="L18" s="254"/>
      <c r="M18" s="254"/>
      <c r="N18" s="270"/>
      <c r="O18" s="271">
        <v>0.6</v>
      </c>
      <c r="P18" s="272"/>
      <c r="Q18" s="273"/>
    </row>
    <row r="19" spans="2:17" ht="15" thickBot="1">
      <c r="B19" s="274" t="s">
        <v>114</v>
      </c>
      <c r="C19" s="275"/>
      <c r="D19" s="275"/>
      <c r="E19" s="275"/>
      <c r="F19" s="275"/>
      <c r="G19" s="276"/>
      <c r="J19" s="253" t="s">
        <v>115</v>
      </c>
      <c r="K19" s="254"/>
      <c r="L19" s="254"/>
      <c r="M19" s="254"/>
      <c r="N19" s="254"/>
      <c r="O19" s="277">
        <f>O14</f>
        <v>7.7084591246903394E-2</v>
      </c>
      <c r="P19" s="278"/>
      <c r="Q19" s="279"/>
    </row>
    <row r="20" spans="2:17" ht="15" thickBot="1">
      <c r="B20" s="5" t="s">
        <v>108</v>
      </c>
      <c r="C20" s="285">
        <f>G12</f>
        <v>676877.3434517344</v>
      </c>
      <c r="D20" s="285"/>
      <c r="E20" s="285"/>
      <c r="F20" s="285"/>
      <c r="G20" s="286"/>
      <c r="J20" s="287" t="s">
        <v>116</v>
      </c>
      <c r="K20" s="259"/>
      <c r="L20" s="259"/>
      <c r="M20" s="259"/>
      <c r="N20" s="260"/>
      <c r="O20" s="288">
        <f>1-O18</f>
        <v>0.4</v>
      </c>
      <c r="P20" s="289"/>
      <c r="Q20" s="290"/>
    </row>
    <row r="21" spans="2:17" ht="15" thickBot="1">
      <c r="B21" s="4" t="s">
        <v>117</v>
      </c>
      <c r="C21" s="291">
        <f>'Assumption Summary'!C51</f>
        <v>0.01</v>
      </c>
      <c r="D21" s="292"/>
      <c r="E21" s="292"/>
      <c r="F21" s="292"/>
      <c r="G21" s="293"/>
      <c r="J21" s="294" t="s">
        <v>118</v>
      </c>
      <c r="K21" s="295"/>
      <c r="L21" s="295"/>
      <c r="M21" s="295"/>
      <c r="N21" s="295"/>
      <c r="O21" s="296">
        <f>O17*O18+O19*O20</f>
        <v>0.13354183649876136</v>
      </c>
      <c r="P21" s="297"/>
      <c r="Q21" s="298"/>
    </row>
    <row r="22" spans="2:17" ht="15" thickBot="1">
      <c r="B22" s="2" t="s">
        <v>113</v>
      </c>
      <c r="C22" s="280">
        <f>O21</f>
        <v>0.13354183649876136</v>
      </c>
      <c r="D22" s="280"/>
      <c r="E22" s="280"/>
      <c r="F22" s="280"/>
      <c r="G22" s="281"/>
    </row>
    <row r="23" spans="2:17" ht="15" thickBot="1">
      <c r="B23" s="3" t="s">
        <v>114</v>
      </c>
      <c r="C23" s="282">
        <f>C20*(1+C21)/(C22-C21)</f>
        <v>5533721.5008383496</v>
      </c>
      <c r="D23" s="283"/>
      <c r="E23" s="283"/>
      <c r="F23" s="283"/>
      <c r="G23" s="284"/>
    </row>
    <row r="24" spans="2:17" ht="15" thickBot="1"/>
    <row r="25" spans="2:17" ht="15" thickBot="1">
      <c r="B25" s="37" t="s">
        <v>128</v>
      </c>
      <c r="C25" s="29" t="s">
        <v>119</v>
      </c>
      <c r="D25" s="31" t="s">
        <v>120</v>
      </c>
      <c r="J25" s="246" t="s">
        <v>130</v>
      </c>
      <c r="K25" s="247"/>
      <c r="L25" s="247"/>
      <c r="M25" s="275"/>
      <c r="N25" s="275"/>
      <c r="O25" s="276"/>
    </row>
    <row r="26" spans="2:17">
      <c r="B26" s="39" t="str">
        <f>C5</f>
        <v>2022F</v>
      </c>
      <c r="C26" s="112">
        <f>C12</f>
        <v>503294.79893918528</v>
      </c>
      <c r="D26" s="108">
        <f>C26/(1+O21)</f>
        <v>444001.96158065251</v>
      </c>
      <c r="J26" s="249" t="s">
        <v>121</v>
      </c>
      <c r="K26" s="250"/>
      <c r="L26" s="252"/>
      <c r="M26" s="305">
        <f>C32</f>
        <v>4248786.556268408</v>
      </c>
      <c r="N26" s="305"/>
      <c r="O26" s="306"/>
    </row>
    <row r="27" spans="2:17">
      <c r="B27" s="40" t="str">
        <f>D5</f>
        <v>2023F</v>
      </c>
      <c r="C27" s="113">
        <f>D12</f>
        <v>47370.13782064995</v>
      </c>
      <c r="D27" s="109">
        <f>C27/(1+O21)^2</f>
        <v>36866.299002132866</v>
      </c>
      <c r="J27" s="253" t="s">
        <v>122</v>
      </c>
      <c r="K27" s="254"/>
      <c r="L27" s="270"/>
      <c r="M27" s="307">
        <f>'Income Statement'!K26</f>
        <v>3829</v>
      </c>
      <c r="N27" s="303"/>
      <c r="O27" s="304"/>
    </row>
    <row r="28" spans="2:17">
      <c r="B28" s="40" t="str">
        <f>E5</f>
        <v>2024F</v>
      </c>
      <c r="C28" s="113">
        <f>E12</f>
        <v>418863.41633824119</v>
      </c>
      <c r="D28" s="109">
        <f>C28/(1+O21)^3</f>
        <v>287580.72206020064</v>
      </c>
      <c r="J28" s="253" t="s">
        <v>123</v>
      </c>
      <c r="K28" s="254"/>
      <c r="L28" s="270"/>
      <c r="M28" s="303">
        <f>M26/M27</f>
        <v>1109.6334699055649</v>
      </c>
      <c r="N28" s="303"/>
      <c r="O28" s="304"/>
    </row>
    <row r="29" spans="2:17" ht="15" customHeight="1" thickBot="1">
      <c r="B29" s="40" t="str">
        <f>F5</f>
        <v>2025F</v>
      </c>
      <c r="C29" s="113">
        <f>F12</f>
        <v>267146.71463118971</v>
      </c>
      <c r="D29" s="109">
        <f>C29/(1+O21)^4</f>
        <v>161807.86338041676</v>
      </c>
      <c r="J29" s="287" t="s">
        <v>132</v>
      </c>
      <c r="K29" s="259"/>
      <c r="L29" s="260"/>
      <c r="M29" s="309">
        <v>400</v>
      </c>
      <c r="N29" s="310"/>
      <c r="O29" s="311"/>
    </row>
    <row r="30" spans="2:17" ht="15" customHeight="1" thickBot="1">
      <c r="B30" s="40" t="str">
        <f>G5</f>
        <v>2026F</v>
      </c>
      <c r="C30" s="113">
        <f>G12</f>
        <v>676877.3434517344</v>
      </c>
      <c r="D30" s="109">
        <f>C30/(1+O21)^5</f>
        <v>361678.09751574032</v>
      </c>
      <c r="J30" s="287" t="s">
        <v>134</v>
      </c>
      <c r="K30" s="259"/>
      <c r="L30" s="260"/>
      <c r="M30" s="301">
        <f>(M29-M28)/M28</f>
        <v>-0.6395206067152589</v>
      </c>
      <c r="N30" s="301"/>
      <c r="O30" s="302"/>
    </row>
    <row r="31" spans="2:17" ht="15" customHeight="1" thickBot="1">
      <c r="B31" s="41" t="s">
        <v>114</v>
      </c>
      <c r="C31" s="114">
        <f>C23</f>
        <v>5533721.5008383496</v>
      </c>
      <c r="D31" s="110">
        <f>C31/(1+O21)^5</f>
        <v>2956851.6127292649</v>
      </c>
    </row>
    <row r="32" spans="2:17" ht="15" customHeight="1" thickBot="1">
      <c r="B32" s="188" t="s">
        <v>124</v>
      </c>
      <c r="C32" s="299">
        <f>D26+D27+D28+D29+D30+D31</f>
        <v>4248786.556268408</v>
      </c>
      <c r="D32" s="300"/>
      <c r="F32" s="278"/>
      <c r="G32" s="278"/>
      <c r="H32" s="278"/>
      <c r="I32" s="308"/>
      <c r="J32" s="308"/>
      <c r="K32" s="308"/>
    </row>
    <row r="33" spans="2:17">
      <c r="F33" s="278"/>
      <c r="G33" s="278"/>
      <c r="H33" s="278"/>
      <c r="I33" s="308"/>
      <c r="J33" s="308"/>
      <c r="K33" s="308"/>
    </row>
    <row r="34" spans="2:17" ht="15.75" customHeight="1" thickBot="1"/>
    <row r="35" spans="2:17" ht="15" customHeight="1" thickBot="1">
      <c r="B35" s="37" t="s">
        <v>129</v>
      </c>
      <c r="C35" s="29" t="s">
        <v>119</v>
      </c>
      <c r="D35" s="42" t="s">
        <v>120</v>
      </c>
      <c r="J35" s="246" t="s">
        <v>131</v>
      </c>
      <c r="K35" s="247"/>
      <c r="L35" s="247"/>
      <c r="M35" s="275"/>
      <c r="N35" s="275"/>
      <c r="O35" s="276"/>
    </row>
    <row r="36" spans="2:17" ht="15.75" customHeight="1">
      <c r="B36" s="38" t="str">
        <f>B26</f>
        <v>2022F</v>
      </c>
      <c r="C36" s="111">
        <f>C16</f>
        <v>457140.84549918532</v>
      </c>
      <c r="D36" s="108">
        <f>C36/(1+$O$9)</f>
        <v>390325.01024538098</v>
      </c>
      <c r="J36" s="249" t="s">
        <v>121</v>
      </c>
      <c r="K36" s="250"/>
      <c r="L36" s="252"/>
      <c r="M36" s="285">
        <f>C42</f>
        <v>3542257.6922068764</v>
      </c>
      <c r="N36" s="285"/>
      <c r="O36" s="286"/>
    </row>
    <row r="37" spans="2:17" ht="15" customHeight="1">
      <c r="B37" s="35" t="str">
        <f t="shared" ref="B37:B41" si="4">B27</f>
        <v>2023F</v>
      </c>
      <c r="C37" s="115">
        <f>D16</f>
        <v>4090.007657449969</v>
      </c>
      <c r="D37" s="109">
        <f>C37/(1+$O$9)^2</f>
        <v>2981.788436975361</v>
      </c>
      <c r="J37" s="253" t="s">
        <v>122</v>
      </c>
      <c r="K37" s="254"/>
      <c r="L37" s="270"/>
      <c r="M37" s="312">
        <f>M27</f>
        <v>3829</v>
      </c>
      <c r="N37" s="313"/>
      <c r="O37" s="314"/>
    </row>
    <row r="38" spans="2:17" ht="15.75" customHeight="1">
      <c r="B38" s="35" t="str">
        <f t="shared" si="4"/>
        <v>2024F</v>
      </c>
      <c r="C38" s="115">
        <f>E16</f>
        <v>374717.68357177713</v>
      </c>
      <c r="D38" s="109">
        <f>C38/(1+$O$9)^3</f>
        <v>233256.22696617758</v>
      </c>
      <c r="J38" s="253" t="s">
        <v>123</v>
      </c>
      <c r="K38" s="254"/>
      <c r="L38" s="270"/>
      <c r="M38" s="313">
        <f>M36/M37</f>
        <v>925.11300397150069</v>
      </c>
      <c r="N38" s="313"/>
      <c r="O38" s="314"/>
    </row>
    <row r="39" spans="2:17" ht="15.75" customHeight="1" thickBot="1">
      <c r="B39" s="35" t="str">
        <f t="shared" si="4"/>
        <v>2025F</v>
      </c>
      <c r="C39" s="115">
        <f>F16</f>
        <v>222118.06720939634</v>
      </c>
      <c r="D39" s="109">
        <f>C39/(1+$O$9)^4</f>
        <v>118056.33484370803</v>
      </c>
      <c r="J39" s="287" t="s">
        <v>132</v>
      </c>
      <c r="K39" s="259"/>
      <c r="L39" s="260"/>
      <c r="M39" s="310">
        <v>400</v>
      </c>
      <c r="N39" s="310"/>
      <c r="O39" s="311"/>
      <c r="P39" s="33"/>
      <c r="Q39" s="33"/>
    </row>
    <row r="40" spans="2:17" ht="15.75" customHeight="1" thickBot="1">
      <c r="B40" s="35" t="str">
        <f t="shared" si="4"/>
        <v>2026F</v>
      </c>
      <c r="C40" s="115">
        <f>G16</f>
        <v>630948.12308150542</v>
      </c>
      <c r="D40" s="109">
        <f>C40/(1+$O$9)^5</f>
        <v>286335.64523995173</v>
      </c>
      <c r="J40" s="287" t="s">
        <v>134</v>
      </c>
      <c r="K40" s="259"/>
      <c r="L40" s="260"/>
      <c r="M40" s="301">
        <f>(M39-M38)/M38</f>
        <v>-0.5676203898520461</v>
      </c>
      <c r="N40" s="301"/>
      <c r="O40" s="302"/>
      <c r="P40" s="33"/>
      <c r="Q40" s="33"/>
    </row>
    <row r="41" spans="2:17" ht="15.75" customHeight="1" thickBot="1">
      <c r="B41" s="36" t="str">
        <f t="shared" si="4"/>
        <v>Terminal Value</v>
      </c>
      <c r="C41" s="116">
        <f>C23</f>
        <v>5533721.5008383496</v>
      </c>
      <c r="D41" s="110">
        <f>C41/(1+$O$9)^5</f>
        <v>2511302.6864746823</v>
      </c>
      <c r="N41" s="32"/>
      <c r="O41" s="32"/>
      <c r="P41" s="33"/>
      <c r="Q41" s="33"/>
    </row>
    <row r="42" spans="2:17" ht="15.75" customHeight="1" thickBot="1">
      <c r="B42" s="188" t="s">
        <v>124</v>
      </c>
      <c r="C42" s="299">
        <f>D36+D37+D38+D39+D40+D41</f>
        <v>3542257.6922068764</v>
      </c>
      <c r="D42" s="300"/>
    </row>
    <row r="43" spans="2:17" ht="15.75" customHeight="1">
      <c r="B43" s="45"/>
      <c r="C43" s="189"/>
      <c r="D43" s="189"/>
    </row>
    <row r="44" spans="2:17" ht="15.75" customHeight="1" thickBot="1"/>
    <row r="45" spans="2:17" ht="15.75" customHeight="1">
      <c r="B45" s="315" t="s">
        <v>135</v>
      </c>
      <c r="C45" s="316"/>
      <c r="D45" s="316"/>
      <c r="E45" s="317"/>
      <c r="F45" s="324">
        <f>M38</f>
        <v>925.11300397150069</v>
      </c>
      <c r="G45" s="325"/>
      <c r="H45" s="331" t="s">
        <v>249</v>
      </c>
      <c r="I45" s="332"/>
    </row>
    <row r="46" spans="2:17" ht="14.4" customHeight="1">
      <c r="B46" s="318"/>
      <c r="C46" s="319"/>
      <c r="D46" s="319"/>
      <c r="E46" s="320"/>
      <c r="F46" s="326"/>
      <c r="G46" s="327"/>
      <c r="H46" s="333"/>
      <c r="I46" s="334"/>
    </row>
    <row r="47" spans="2:17" ht="15" thickBot="1">
      <c r="B47" s="321"/>
      <c r="C47" s="322"/>
      <c r="D47" s="322"/>
      <c r="E47" s="323"/>
      <c r="F47" s="328"/>
      <c r="G47" s="329"/>
      <c r="H47" s="335"/>
      <c r="I47" s="336"/>
    </row>
    <row r="48" spans="2:17">
      <c r="B48" s="315" t="s">
        <v>250</v>
      </c>
      <c r="C48" s="316"/>
      <c r="D48" s="316"/>
      <c r="E48" s="317"/>
      <c r="F48" s="324">
        <v>419</v>
      </c>
      <c r="G48" s="325"/>
      <c r="H48" s="331" t="s">
        <v>251</v>
      </c>
      <c r="I48" s="332"/>
    </row>
    <row r="49" spans="2:9">
      <c r="B49" s="318"/>
      <c r="C49" s="319"/>
      <c r="D49" s="319"/>
      <c r="E49" s="320"/>
      <c r="F49" s="326"/>
      <c r="G49" s="327"/>
      <c r="H49" s="333"/>
      <c r="I49" s="334"/>
    </row>
    <row r="50" spans="2:9" ht="15" thickBot="1">
      <c r="B50" s="321"/>
      <c r="C50" s="322"/>
      <c r="D50" s="322"/>
      <c r="E50" s="323"/>
      <c r="F50" s="328"/>
      <c r="G50" s="329"/>
      <c r="H50" s="335"/>
      <c r="I50" s="336"/>
    </row>
    <row r="51" spans="2:9" ht="14.4" customHeight="1">
      <c r="B51" s="315" t="s">
        <v>252</v>
      </c>
      <c r="C51" s="316"/>
      <c r="D51" s="316"/>
      <c r="E51" s="317"/>
      <c r="F51" s="337">
        <f>(F45-F48)/F48</f>
        <v>1.207906930719572</v>
      </c>
      <c r="G51" s="343"/>
      <c r="H51" s="343"/>
      <c r="I51" s="338"/>
    </row>
    <row r="52" spans="2:9" ht="14.4" customHeight="1">
      <c r="B52" s="318"/>
      <c r="C52" s="319"/>
      <c r="D52" s="319"/>
      <c r="E52" s="320"/>
      <c r="F52" s="339"/>
      <c r="G52" s="344"/>
      <c r="H52" s="344"/>
      <c r="I52" s="340"/>
    </row>
    <row r="53" spans="2:9" ht="15" customHeight="1" thickBot="1">
      <c r="B53" s="321"/>
      <c r="C53" s="322"/>
      <c r="D53" s="322"/>
      <c r="E53" s="323"/>
      <c r="F53" s="341"/>
      <c r="G53" s="345"/>
      <c r="H53" s="345"/>
      <c r="I53" s="342"/>
    </row>
  </sheetData>
  <mergeCells count="63">
    <mergeCell ref="B48:E50"/>
    <mergeCell ref="F48:G50"/>
    <mergeCell ref="H48:I50"/>
    <mergeCell ref="B51:E53"/>
    <mergeCell ref="F51:I53"/>
    <mergeCell ref="B45:E47"/>
    <mergeCell ref="F45:G47"/>
    <mergeCell ref="M38:O38"/>
    <mergeCell ref="J39:L39"/>
    <mergeCell ref="M39:O39"/>
    <mergeCell ref="J40:L40"/>
    <mergeCell ref="M40:O40"/>
    <mergeCell ref="C42:D42"/>
    <mergeCell ref="H45:I47"/>
    <mergeCell ref="J26:L26"/>
    <mergeCell ref="M26:O26"/>
    <mergeCell ref="J27:L27"/>
    <mergeCell ref="M27:O27"/>
    <mergeCell ref="J38:L38"/>
    <mergeCell ref="I32:K33"/>
    <mergeCell ref="M29:O29"/>
    <mergeCell ref="J29:L29"/>
    <mergeCell ref="J35:O35"/>
    <mergeCell ref="J36:L36"/>
    <mergeCell ref="M36:O36"/>
    <mergeCell ref="J37:L37"/>
    <mergeCell ref="M37:O37"/>
    <mergeCell ref="C32:D32"/>
    <mergeCell ref="J30:L30"/>
    <mergeCell ref="M30:O30"/>
    <mergeCell ref="J28:L28"/>
    <mergeCell ref="M28:O28"/>
    <mergeCell ref="F32:H33"/>
    <mergeCell ref="C22:G22"/>
    <mergeCell ref="C23:G23"/>
    <mergeCell ref="J25:O25"/>
    <mergeCell ref="C20:G20"/>
    <mergeCell ref="J20:N20"/>
    <mergeCell ref="O20:Q20"/>
    <mergeCell ref="C21:G21"/>
    <mergeCell ref="J21:N21"/>
    <mergeCell ref="O21:Q21"/>
    <mergeCell ref="J17:N17"/>
    <mergeCell ref="O17:Q17"/>
    <mergeCell ref="J18:N18"/>
    <mergeCell ref="O18:Q18"/>
    <mergeCell ref="B19:G19"/>
    <mergeCell ref="J19:N19"/>
    <mergeCell ref="O19:Q19"/>
    <mergeCell ref="J16:Q16"/>
    <mergeCell ref="J8:N8"/>
    <mergeCell ref="O8:Q8"/>
    <mergeCell ref="J9:N9"/>
    <mergeCell ref="O9:Q9"/>
    <mergeCell ref="J13:Q13"/>
    <mergeCell ref="J14:N14"/>
    <mergeCell ref="O14:Q14"/>
    <mergeCell ref="A1:R2"/>
    <mergeCell ref="J5:Q5"/>
    <mergeCell ref="J6:N6"/>
    <mergeCell ref="O6:Q6"/>
    <mergeCell ref="J7:N7"/>
    <mergeCell ref="O7:Q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FFBD-696E-4057-9207-563A41E86E09}">
  <sheetPr>
    <tabColor theme="7" tint="-0.249977111117893"/>
  </sheetPr>
  <dimension ref="A1:J21"/>
  <sheetViews>
    <sheetView showGridLines="0" workbookViewId="0">
      <selection activeCell="J20" sqref="J20"/>
    </sheetView>
  </sheetViews>
  <sheetFormatPr defaultRowHeight="14.4"/>
  <cols>
    <col min="1" max="1" width="30.5546875" bestFit="1" customWidth="1"/>
    <col min="2" max="2" width="12.88671875" bestFit="1" customWidth="1"/>
    <col min="3" max="5" width="10.88671875" bestFit="1" customWidth="1"/>
    <col min="6" max="6" width="11.88671875" bestFit="1" customWidth="1"/>
    <col min="7" max="7" width="13" bestFit="1" customWidth="1"/>
    <col min="8" max="8" width="12.5546875" bestFit="1" customWidth="1"/>
    <col min="9" max="10" width="11.5546875" bestFit="1" customWidth="1"/>
  </cols>
  <sheetData>
    <row r="1" spans="1:10">
      <c r="A1" s="196" t="s">
        <v>234</v>
      </c>
      <c r="B1" s="201">
        <v>2018</v>
      </c>
      <c r="C1" s="201">
        <v>2019</v>
      </c>
      <c r="D1" s="201">
        <v>2020</v>
      </c>
      <c r="E1" s="201">
        <v>2021</v>
      </c>
      <c r="F1" s="171" t="s">
        <v>136</v>
      </c>
      <c r="G1" s="171" t="s">
        <v>137</v>
      </c>
      <c r="H1" s="171" t="s">
        <v>138</v>
      </c>
      <c r="I1" s="171" t="s">
        <v>139</v>
      </c>
      <c r="J1" s="172" t="s">
        <v>140</v>
      </c>
    </row>
    <row r="2" spans="1:10">
      <c r="A2" s="202" t="s">
        <v>231</v>
      </c>
      <c r="B2" s="203"/>
      <c r="C2" s="203"/>
      <c r="D2" s="203"/>
      <c r="E2" s="203"/>
      <c r="F2" s="203"/>
      <c r="G2" s="203"/>
      <c r="H2" s="203"/>
      <c r="I2" s="203"/>
      <c r="J2" s="204"/>
    </row>
    <row r="3" spans="1:10">
      <c r="A3" s="6" t="s">
        <v>216</v>
      </c>
      <c r="B3" s="197">
        <f>'Income Statement'!C6/'Income Statement'!C5</f>
        <v>0.6448008785682301</v>
      </c>
      <c r="C3" s="197">
        <f>'Income Statement'!D6/'Income Statement'!D5</f>
        <v>0.69788619451276857</v>
      </c>
      <c r="D3" s="197">
        <f>'Income Statement'!E6/'Income Statement'!E5</f>
        <v>0.67833259761978193</v>
      </c>
      <c r="E3" s="197">
        <f>'Income Statement'!F6/'Income Statement'!F5</f>
        <v>0.63606740193270261</v>
      </c>
      <c r="F3" s="197">
        <f>'Income Statement'!G6/'Income Statement'!G5</f>
        <v>0.61543246710398891</v>
      </c>
      <c r="G3" s="197">
        <f>'Income Statement'!H6/'Income Statement'!H5</f>
        <v>0.6154324671039888</v>
      </c>
      <c r="H3" s="197">
        <f>'Income Statement'!I6/'Income Statement'!I5</f>
        <v>0.61543246710398891</v>
      </c>
      <c r="I3" s="197">
        <f>'Income Statement'!J6/'Income Statement'!J5</f>
        <v>0.61543246710398891</v>
      </c>
      <c r="J3" s="198">
        <f>'Income Statement'!K6/'Income Statement'!K5</f>
        <v>0.61543246710398891</v>
      </c>
    </row>
    <row r="4" spans="1:10">
      <c r="A4" s="6" t="s">
        <v>232</v>
      </c>
      <c r="B4" s="197">
        <f>'Income Statement'!C19/'Income Statement'!C4</f>
        <v>-9.5470135630313993E-2</v>
      </c>
      <c r="C4" s="197">
        <f>'Income Statement'!D19/'Income Statement'!D4</f>
        <v>-4.6236612683285584E-2</v>
      </c>
      <c r="D4" s="197">
        <f>'Income Statement'!E19/'Income Statement'!E4</f>
        <v>-5.3849399587181157E-2</v>
      </c>
      <c r="E4" s="197">
        <f>'Income Statement'!F19/'Income Statement'!F4</f>
        <v>-4.1089790184073757E-2</v>
      </c>
      <c r="F4" s="197">
        <f>'Income Statement'!G19/'Income Statement'!G4</f>
        <v>2.8752773942666388E-2</v>
      </c>
      <c r="G4" s="197">
        <f>'Income Statement'!H19/'Income Statement'!H4</f>
        <v>4.0108843122827059E-2</v>
      </c>
      <c r="H4" s="197">
        <f>'Income Statement'!I19/'Income Statement'!I4</f>
        <v>4.1466284638522956E-2</v>
      </c>
      <c r="I4" s="197">
        <f>'Income Statement'!J19/'Income Statement'!J4</f>
        <v>4.9136209134750544E-2</v>
      </c>
      <c r="J4" s="198">
        <f>'Income Statement'!K19/'Income Statement'!K4</f>
        <v>5.6915705985991737E-2</v>
      </c>
    </row>
    <row r="5" spans="1:10">
      <c r="A5" s="205" t="s">
        <v>217</v>
      </c>
      <c r="B5" s="197">
        <f>B6*B7*B8*B9*B10</f>
        <v>-0.60939472204997402</v>
      </c>
      <c r="C5" s="197">
        <f t="shared" ref="C5:J5" si="0">C6*C7*C8*C9*C10</f>
        <v>-0.33255444413542273</v>
      </c>
      <c r="D5" s="197">
        <f t="shared" si="0"/>
        <v>-0.38158828838426595</v>
      </c>
      <c r="E5" s="197">
        <f t="shared" si="0"/>
        <v>-0.37510515271743428</v>
      </c>
      <c r="F5" s="197">
        <f t="shared" si="0"/>
        <v>0.39911633316176875</v>
      </c>
      <c r="G5" s="197">
        <f t="shared" si="0"/>
        <v>0.49672215151160926</v>
      </c>
      <c r="H5" s="197">
        <f t="shared" si="0"/>
        <v>0.40825802442871939</v>
      </c>
      <c r="I5" s="197">
        <f t="shared" si="0"/>
        <v>0.40501115412736099</v>
      </c>
      <c r="J5" s="198">
        <f t="shared" si="0"/>
        <v>0.39554202551311529</v>
      </c>
    </row>
    <row r="6" spans="1:10">
      <c r="A6" s="6" t="s">
        <v>218</v>
      </c>
      <c r="B6" s="197">
        <f>('Income Statement'!C19+'Income Statement'!C13+'Income Statement'!C16)/'Income Statement'!C5</f>
        <v>-0.14660834966666922</v>
      </c>
      <c r="C6" s="197">
        <f>('Income Statement'!D19+'Income Statement'!D13+'Income Statement'!D16)/'Income Statement'!D5</f>
        <v>-2.8266669094683554E-2</v>
      </c>
      <c r="D6" s="197">
        <f>('Income Statement'!E19+'Income Statement'!E13+'Income Statement'!E16)/'Income Statement'!E5</f>
        <v>-2.1535242694767566E-2</v>
      </c>
      <c r="E6" s="197">
        <f>('Income Statement'!F19+'Income Statement'!F13+'Income Statement'!F16)/'Income Statement'!F5</f>
        <v>8.2856973305624245E-3</v>
      </c>
      <c r="F6" s="197">
        <f>('Income Statement'!G19+'Income Statement'!G13+'Income Statement'!G16)/'Income Statement'!G5</f>
        <v>9.7535009522359523E-2</v>
      </c>
      <c r="G6" s="197">
        <f>('Income Statement'!H19+'Income Statement'!H13+'Income Statement'!H16)/'Income Statement'!H5</f>
        <v>0.11054993600924765</v>
      </c>
      <c r="H6" s="197">
        <f>('Income Statement'!I19+'Income Statement'!I13+'Income Statement'!I16)/'Income Statement'!I5</f>
        <v>0.1107450540507956</v>
      </c>
      <c r="I6" s="197">
        <f>('Income Statement'!J19+'Income Statement'!J13+'Income Statement'!J16)/'Income Statement'!J5</f>
        <v>0.12058176936865732</v>
      </c>
      <c r="J6" s="198">
        <f>('Income Statement'!K19+'Income Statement'!K13+'Income Statement'!K16)/'Income Statement'!K5</f>
        <v>0.13074845241254934</v>
      </c>
    </row>
    <row r="7" spans="1:10">
      <c r="A7" s="6" t="s">
        <v>219</v>
      </c>
      <c r="B7" s="197">
        <f>'Income Statement'!C19/('Income Statement'!C19+'Income Statement'!C16)</f>
        <v>0.91887437801033434</v>
      </c>
      <c r="C7" s="197">
        <f>'Income Statement'!D19/('Income Statement'!D19+'Income Statement'!D16)</f>
        <v>1.1409168241965975</v>
      </c>
      <c r="D7" s="197">
        <f>'Income Statement'!E19/('Income Statement'!E19+'Income Statement'!E16)</f>
        <v>1.2842439923239228</v>
      </c>
      <c r="E7" s="197">
        <f>'Income Statement'!F19/('Income Statement'!F19+'Income Statement'!F16)</f>
        <v>1.6336974369957877</v>
      </c>
      <c r="F7" s="197">
        <f>'Income Statement'!G19/('Income Statement'!G19+'Income Statement'!G16)</f>
        <v>0.82380788637209479</v>
      </c>
      <c r="G7" s="197">
        <f>'Income Statement'!H19/('Income Statement'!H19+'Income Statement'!H16)</f>
        <v>0.86706169556407131</v>
      </c>
      <c r="H7" s="197">
        <f>'Income Statement'!I19/('Income Statement'!I19+'Income Statement'!I16)</f>
        <v>0.87085153017291062</v>
      </c>
      <c r="I7" s="197">
        <f>'Income Statement'!J19/('Income Statement'!J19+'Income Statement'!J16)</f>
        <v>0.8887686177906412</v>
      </c>
      <c r="J7" s="198">
        <f>'Income Statement'!K19/('Income Statement'!K19+'Income Statement'!K16)</f>
        <v>0.90248971936978317</v>
      </c>
    </row>
    <row r="8" spans="1:10">
      <c r="A8" s="6" t="s">
        <v>220</v>
      </c>
      <c r="B8" s="197">
        <f>('Income Statement'!C19+'Income Statement'!C16)/('Income Statement'!C19+'Income Statement'!C13+'Income Statement'!C16)</f>
        <v>1.16564424016557</v>
      </c>
      <c r="C8" s="197">
        <f>('Income Statement'!D19+'Income Statement'!D16)/('Income Statement'!D19+'Income Statement'!D13+'Income Statement'!D16)</f>
        <v>2.4342544233025794</v>
      </c>
      <c r="D8" s="197">
        <f>('Income Statement'!E19+'Income Statement'!E16)/('Income Statement'!E19+'Income Statement'!E13+'Income Statement'!E16)</f>
        <v>3.2678460002495946</v>
      </c>
      <c r="E8" s="197">
        <f>('Income Statement'!F19+'Income Statement'!F16)/('Income Statement'!F19+'Income Statement'!F13+'Income Statement'!F16)</f>
        <v>-4.9663168344915611</v>
      </c>
      <c r="F8" s="197">
        <f>('Income Statement'!G19+'Income Statement'!G16)/('Income Statement'!G19+'Income Statement'!G13+'Income Statement'!G16)</f>
        <v>0.57807219581983493</v>
      </c>
      <c r="G8" s="197">
        <f>('Income Statement'!H19+'Income Statement'!H16)/('Income Statement'!H19+'Income Statement'!H13+'Income Statement'!H16)</f>
        <v>0.67595914275299418</v>
      </c>
      <c r="H8" s="197">
        <f>('Income Statement'!I19+'Income Statement'!I16)/('Income Statement'!I19+'Income Statement'!I13+'Income Statement'!I16)</f>
        <v>0.69456912303802165</v>
      </c>
      <c r="I8" s="197">
        <f>('Income Statement'!J19+'Income Statement'!J16)/('Income Statement'!J19+'Income Statement'!J13+'Income Statement'!J16)</f>
        <v>0.74066204694053861</v>
      </c>
      <c r="J8" s="198">
        <f>('Income Statement'!K19+'Income Statement'!K16)/('Income Statement'!K19+'Income Statement'!K13+'Income Statement'!K16)</f>
        <v>0.77918774590215834</v>
      </c>
    </row>
    <row r="9" spans="1:10">
      <c r="A9" s="6" t="s">
        <v>221</v>
      </c>
      <c r="B9" s="197">
        <f>'Income Statement'!C4/(AVERAGE('Balance Sheet'!B22:C22))</f>
        <v>0.94570721070332997</v>
      </c>
      <c r="C9" s="197">
        <f>'Income Statement'!D4/(AVERAGE('Balance Sheet'!C22:D22))</f>
        <v>0.82968823765615962</v>
      </c>
      <c r="D9" s="197">
        <f>'Income Statement'!E4/(AVERAGE('Balance Sheet'!D22:E22))</f>
        <v>0.75098350673005565</v>
      </c>
      <c r="E9" s="197">
        <f>'Income Statement'!F4/(AVERAGE('Balance Sheet'!E22:F22))</f>
        <v>0.82658343449659577</v>
      </c>
      <c r="F9" s="197">
        <f>'Income Statement'!G4/(AVERAGE('Balance Sheet'!F22:G22))</f>
        <v>1.0805800364834026</v>
      </c>
      <c r="G9" s="197">
        <f>'Income Statement'!H4/(AVERAGE('Balance Sheet'!G22:H22))</f>
        <v>1.0371318274472368</v>
      </c>
      <c r="H9" s="197">
        <f>'Income Statement'!I4/(AVERAGE('Balance Sheet'!H22:I22))</f>
        <v>1.0109989286334751</v>
      </c>
      <c r="I9" s="197">
        <f>'Income Statement'!J4/(AVERAGE('Balance Sheet'!I22:J22))</f>
        <v>1.0049644743052866</v>
      </c>
      <c r="J9" s="198">
        <f>'Income Statement'!K4/(AVERAGE('Balance Sheet'!J22:K22))</f>
        <v>0.98807154544302978</v>
      </c>
    </row>
    <row r="10" spans="1:10">
      <c r="A10" s="6" t="s">
        <v>222</v>
      </c>
      <c r="B10" s="219">
        <f>AVERAGE('Balance Sheet'!B22:C22)/AVERAGE('Balance Sheet'!B43:C43)</f>
        <v>4.1035631315971273</v>
      </c>
      <c r="C10" s="219">
        <f>AVERAGE('Balance Sheet'!C22:D22)/AVERAGE('Balance Sheet'!C43:D43)</f>
        <v>5.1056758135976459</v>
      </c>
      <c r="D10" s="219">
        <f>AVERAGE('Balance Sheet'!D22:E22)/AVERAGE('Balance Sheet'!D43:E43)</f>
        <v>5.6221929056532334</v>
      </c>
      <c r="E10" s="219">
        <f>AVERAGE('Balance Sheet'!E22:F22)/AVERAGE('Balance Sheet'!E43:F43)</f>
        <v>6.7504265694398944</v>
      </c>
      <c r="F10" s="219">
        <f>AVERAGE('Balance Sheet'!F22:G22)/AVERAGE('Balance Sheet'!F43:G43)</f>
        <v>7.9519566553412826</v>
      </c>
      <c r="G10" s="219">
        <f>AVERAGE('Balance Sheet'!G22:H22)/AVERAGE('Balance Sheet'!G43:H43)</f>
        <v>7.3918070716375475</v>
      </c>
      <c r="H10" s="219">
        <f>AVERAGE('Balance Sheet'!H22:I22)/AVERAGE('Balance Sheet'!H43:I43)</f>
        <v>6.028372814546775</v>
      </c>
      <c r="I10" s="219">
        <f>AVERAGE('Balance Sheet'!I22:J22)/AVERAGE('Balance Sheet'!I43:J43)</f>
        <v>5.0772181005850587</v>
      </c>
      <c r="J10" s="220">
        <f>AVERAGE('Balance Sheet'!J22:K22)/AVERAGE('Balance Sheet'!J43:K43)</f>
        <v>4.3539486847378424</v>
      </c>
    </row>
    <row r="11" spans="1:10">
      <c r="A11" s="202" t="s">
        <v>223</v>
      </c>
      <c r="B11" s="203"/>
      <c r="C11" s="203"/>
      <c r="D11" s="203"/>
      <c r="E11" s="203"/>
      <c r="F11" s="203"/>
      <c r="G11" s="203"/>
      <c r="H11" s="203"/>
      <c r="I11" s="203"/>
      <c r="J11" s="204"/>
    </row>
    <row r="12" spans="1:10">
      <c r="A12" s="6" t="s">
        <v>224</v>
      </c>
      <c r="B12" s="206">
        <f>NWC!C4</f>
        <v>43.115635507110056</v>
      </c>
      <c r="C12" s="206">
        <f>NWC!D4</f>
        <v>47.589739071812708</v>
      </c>
      <c r="D12" s="206">
        <f>NWC!E4</f>
        <v>74.221064649864616</v>
      </c>
      <c r="E12" s="206">
        <f>NWC!F4</f>
        <v>88.514768708323402</v>
      </c>
      <c r="F12" s="206">
        <f>NWC!G4</f>
        <v>57.990185741439873</v>
      </c>
      <c r="G12" s="206">
        <f>NWC!H4</f>
        <v>63.463813021595385</v>
      </c>
      <c r="H12" s="206">
        <f>NWC!I4</f>
        <v>69.23754681184738</v>
      </c>
      <c r="I12" s="206">
        <f>NWC!J4</f>
        <v>68.094508115668887</v>
      </c>
      <c r="J12" s="207">
        <f>NWC!K4</f>
        <v>64.38133232969669</v>
      </c>
    </row>
    <row r="13" spans="1:10">
      <c r="A13" s="6" t="s">
        <v>153</v>
      </c>
      <c r="B13" s="206">
        <f>NWC!C8</f>
        <v>4.3402778352447164</v>
      </c>
      <c r="C13" s="206">
        <f>NWC!D8</f>
        <v>3.9209489189764666</v>
      </c>
      <c r="D13" s="206">
        <f>NWC!E8</f>
        <v>3.9234242783708981</v>
      </c>
      <c r="E13" s="206">
        <f>NWC!F8</f>
        <v>4.5740542661492318</v>
      </c>
      <c r="F13" s="206">
        <f>NWC!G8</f>
        <v>5.225550957181853</v>
      </c>
      <c r="G13" s="206">
        <f>NWC!H8</f>
        <v>4.57732516819088</v>
      </c>
      <c r="H13" s="206">
        <f>NWC!I8</f>
        <v>4.5177369261325149</v>
      </c>
      <c r="I13" s="206">
        <f>NWC!J8</f>
        <v>4.5649884944853847</v>
      </c>
      <c r="J13" s="207">
        <f>NWC!K8</f>
        <v>4.5680235212870475</v>
      </c>
    </row>
    <row r="14" spans="1:10">
      <c r="A14" s="6" t="s">
        <v>156</v>
      </c>
      <c r="B14" s="206">
        <f>NWC!C19</f>
        <v>149.04321697170693</v>
      </c>
      <c r="C14" s="206">
        <f>NWC!D19</f>
        <v>165.69569837786793</v>
      </c>
      <c r="D14" s="206">
        <f>NWC!E19</f>
        <v>175.7564848614339</v>
      </c>
      <c r="E14" s="206">
        <f>NWC!F19</f>
        <v>157.72993515158032</v>
      </c>
      <c r="F14" s="206">
        <f>NWC!G19</f>
        <v>130.8468362986635</v>
      </c>
      <c r="G14" s="206">
        <f>NWC!H19</f>
        <v>147.06158292462726</v>
      </c>
      <c r="H14" s="206">
        <f>NWC!I19</f>
        <v>149.00130215664126</v>
      </c>
      <c r="I14" s="206">
        <f>NWC!J19</f>
        <v>147.45901016137637</v>
      </c>
      <c r="J14" s="207">
        <f>NWC!K19</f>
        <v>147.36103736287811</v>
      </c>
    </row>
    <row r="15" spans="1:10">
      <c r="A15" s="208" t="s">
        <v>225</v>
      </c>
      <c r="B15" s="206">
        <f>B13+B12-B14</f>
        <v>-101.58730362935215</v>
      </c>
      <c r="C15" s="206">
        <f t="shared" ref="C15:J15" si="1">C13+C12-C14</f>
        <v>-114.18501038707876</v>
      </c>
      <c r="D15" s="206">
        <f t="shared" si="1"/>
        <v>-97.611995933198386</v>
      </c>
      <c r="E15" s="206">
        <f t="shared" si="1"/>
        <v>-64.641112177107686</v>
      </c>
      <c r="F15" s="206">
        <f t="shared" si="1"/>
        <v>-67.631099600041779</v>
      </c>
      <c r="G15" s="206">
        <f t="shared" si="1"/>
        <v>-79.020444734840993</v>
      </c>
      <c r="H15" s="206">
        <f t="shared" si="1"/>
        <v>-75.246018418661365</v>
      </c>
      <c r="I15" s="206">
        <f t="shared" si="1"/>
        <v>-74.799513551222091</v>
      </c>
      <c r="J15" s="207">
        <f t="shared" si="1"/>
        <v>-78.411681511894372</v>
      </c>
    </row>
    <row r="16" spans="1:10">
      <c r="A16" s="209" t="s">
        <v>226</v>
      </c>
      <c r="B16" s="203"/>
      <c r="C16" s="203"/>
      <c r="D16" s="203"/>
      <c r="E16" s="203"/>
      <c r="F16" s="203"/>
      <c r="G16" s="203"/>
      <c r="H16" s="203"/>
      <c r="I16" s="203"/>
      <c r="J16" s="204"/>
    </row>
    <row r="17" spans="1:10">
      <c r="A17" s="208" t="s">
        <v>227</v>
      </c>
      <c r="B17" s="197">
        <f>AVERAGE('Balance Sheet'!B11:C11)/AVERAGE('Balance Sheet'!B30:C30)</f>
        <v>0.89859666637683855</v>
      </c>
      <c r="C17" s="197">
        <f>AVERAGE('Balance Sheet'!C11:D11)/AVERAGE('Balance Sheet'!C30:D30)</f>
        <v>0.84997869969508033</v>
      </c>
      <c r="D17" s="197">
        <f>AVERAGE('Balance Sheet'!D11:E11)/AVERAGE('Balance Sheet'!D30:E30)</f>
        <v>0.89360208072884528</v>
      </c>
      <c r="E17" s="197">
        <f>AVERAGE('Balance Sheet'!E11:F11)/AVERAGE('Balance Sheet'!E30:F30)</f>
        <v>0.95277081964853216</v>
      </c>
      <c r="F17" s="197">
        <f>AVERAGE('Balance Sheet'!F11:G11)/AVERAGE('Balance Sheet'!F30:G30)</f>
        <v>0.8504894471591028</v>
      </c>
      <c r="G17" s="197">
        <f>AVERAGE('Balance Sheet'!G11:H11)/AVERAGE('Balance Sheet'!G30:H30)</f>
        <v>0.78697102768016702</v>
      </c>
      <c r="H17" s="197">
        <f>AVERAGE('Balance Sheet'!H11:I11)/AVERAGE('Balance Sheet'!H30:I30)</f>
        <v>0.84754261443837675</v>
      </c>
      <c r="I17" s="197">
        <f>AVERAGE('Balance Sheet'!I11:J11)/AVERAGE('Balance Sheet'!I30:J30)</f>
        <v>0.91320616440974389</v>
      </c>
      <c r="J17" s="198">
        <f>AVERAGE('Balance Sheet'!J11:K11)/AVERAGE('Balance Sheet'!J30:K30)</f>
        <v>0.98572142400136809</v>
      </c>
    </row>
    <row r="18" spans="1:10">
      <c r="A18" s="208" t="s">
        <v>228</v>
      </c>
      <c r="B18" s="197">
        <f>((AVERAGE('Balance Sheet'!B6:C6)+AVERAGE('Balance Sheet'!B7:C7))/AVERAGE('Balance Sheet'!B30:C30))</f>
        <v>0.56543145641372761</v>
      </c>
      <c r="C18" s="197">
        <f>((AVERAGE('Balance Sheet'!C6:D6)+AVERAGE('Balance Sheet'!C7:D7))/AVERAGE('Balance Sheet'!C30:D30))</f>
        <v>0.54158665936370498</v>
      </c>
      <c r="D18" s="197">
        <f>((AVERAGE('Balance Sheet'!D6:E6)+AVERAGE('Balance Sheet'!D7:E7))/AVERAGE('Balance Sheet'!D30:E30))</f>
        <v>0.59978933827671865</v>
      </c>
      <c r="E18" s="197">
        <f>((AVERAGE('Balance Sheet'!E6:F6)+AVERAGE('Balance Sheet'!E7:F7))/AVERAGE('Balance Sheet'!E30:F30))</f>
        <v>0.67044945372110953</v>
      </c>
      <c r="F18" s="197">
        <f>((AVERAGE('Balance Sheet'!F6:G6)+AVERAGE('Balance Sheet'!F7:G7))/AVERAGE('Balance Sheet'!F30:G30))</f>
        <v>0.5435562432816492</v>
      </c>
      <c r="G18" s="197">
        <f>((AVERAGE('Balance Sheet'!G6:H6)+AVERAGE('Balance Sheet'!G7:H7))/AVERAGE('Balance Sheet'!G30:H30))</f>
        <v>0.46488361142440254</v>
      </c>
      <c r="H18" s="197">
        <f>((AVERAGE('Balance Sheet'!H6:I6)+AVERAGE('Balance Sheet'!H7:I7))/AVERAGE('Balance Sheet'!H30:I30))</f>
        <v>0.52357087121479495</v>
      </c>
      <c r="I18" s="197">
        <f>((AVERAGE('Balance Sheet'!I6:J6)+AVERAGE('Balance Sheet'!I7:J7))/AVERAGE('Balance Sheet'!I30:J30))</f>
        <v>0.58756141122068406</v>
      </c>
      <c r="J18" s="198">
        <f>((AVERAGE('Balance Sheet'!J6:K6)+AVERAGE('Balance Sheet'!J7:K7))/AVERAGE('Balance Sheet'!J30:K30))</f>
        <v>0.6582204705274034</v>
      </c>
    </row>
    <row r="19" spans="1:10">
      <c r="A19" s="208" t="s">
        <v>229</v>
      </c>
      <c r="B19" s="197">
        <f>AVERAGE('Balance Sheet'!B6:C6)/AVERAGE('Balance Sheet'!B30:C30)</f>
        <v>0.31489634258924076</v>
      </c>
      <c r="C19" s="197">
        <f>AVERAGE('Balance Sheet'!C6:D6)/AVERAGE('Balance Sheet'!C30:D30)</f>
        <v>0.30017236108808532</v>
      </c>
      <c r="D19" s="197">
        <f>AVERAGE('Balance Sheet'!D6:E6)/AVERAGE('Balance Sheet'!D30:E30)</f>
        <v>0.25438660617994707</v>
      </c>
      <c r="E19" s="197">
        <f>AVERAGE('Balance Sheet'!E6:F6)/AVERAGE('Balance Sheet'!E30:F30)</f>
        <v>0.22649710373949283</v>
      </c>
      <c r="F19" s="197">
        <f>AVERAGE('Balance Sheet'!F6:G6)/AVERAGE('Balance Sheet'!F30:G30)</f>
        <v>0.18354379865421161</v>
      </c>
      <c r="G19" s="197">
        <f>AVERAGE('Balance Sheet'!G6:H6)/AVERAGE('Balance Sheet'!G30:H30)</f>
        <v>0.10006046057420966</v>
      </c>
      <c r="H19" s="197">
        <f>AVERAGE('Balance Sheet'!H6:I6)/AVERAGE('Balance Sheet'!H30:I30)</f>
        <v>0.12842883460805718</v>
      </c>
      <c r="I19" s="197">
        <f>AVERAGE('Balance Sheet'!I6:J6)/AVERAGE('Balance Sheet'!I30:J30)</f>
        <v>0.19286643544293025</v>
      </c>
      <c r="J19" s="198">
        <f>AVERAGE('Balance Sheet'!J6:K6)/AVERAGE('Balance Sheet'!J30:K30)</f>
        <v>0.28267195792145627</v>
      </c>
    </row>
    <row r="20" spans="1:10">
      <c r="A20" s="208" t="s">
        <v>233</v>
      </c>
      <c r="B20" s="210">
        <f>AVERAGE('Balance Sheet'!B37:C37)/AVERAGE('Balance Sheet'!B43:C43)</f>
        <v>3.1035631315971273</v>
      </c>
      <c r="C20" s="210">
        <f>AVERAGE('Balance Sheet'!C37:D37)/AVERAGE('Balance Sheet'!C43:D43)</f>
        <v>4.1056758135976459</v>
      </c>
      <c r="D20" s="210">
        <f>AVERAGE('Balance Sheet'!D37:E37)/AVERAGE('Balance Sheet'!D43:E43)</f>
        <v>4.6221929056532334</v>
      </c>
      <c r="E20" s="210">
        <f>AVERAGE('Balance Sheet'!E37:F37)/AVERAGE('Balance Sheet'!E43:F43)</f>
        <v>5.7504265694398944</v>
      </c>
      <c r="F20" s="210">
        <f>AVERAGE('Balance Sheet'!F37:G37)/AVERAGE('Balance Sheet'!F43:G43)</f>
        <v>6.9519566553412835</v>
      </c>
      <c r="G20" s="210">
        <f>AVERAGE('Balance Sheet'!G37:H37)/AVERAGE('Balance Sheet'!G43:H43)</f>
        <v>6.3918070716375475</v>
      </c>
      <c r="H20" s="210">
        <f>AVERAGE('Balance Sheet'!H37:I37)/AVERAGE('Balance Sheet'!H43:I43)</f>
        <v>5.028372814546775</v>
      </c>
      <c r="I20" s="210">
        <f>AVERAGE('Balance Sheet'!I37:J37)/AVERAGE('Balance Sheet'!I43:J43)</f>
        <v>4.0772181005850596</v>
      </c>
      <c r="J20" s="211">
        <f>AVERAGE('Balance Sheet'!J37:K37)/AVERAGE('Balance Sheet'!J43:K43)</f>
        <v>3.3539486847378432</v>
      </c>
    </row>
    <row r="21" spans="1:10" ht="15" thickBot="1">
      <c r="A21" s="212" t="s">
        <v>230</v>
      </c>
      <c r="B21" s="213">
        <f>('Income Statement'!C12/-'Income Statement'!C13)</f>
        <v>6.5901749663526248</v>
      </c>
      <c r="C21" s="213">
        <f>('Income Statement'!D12/-'Income Statement'!D13)</f>
        <v>0.67056483308468484</v>
      </c>
      <c r="D21" s="213">
        <f>('Income Statement'!E12/-'Income Statement'!E13)</f>
        <v>1.1239114584049856</v>
      </c>
      <c r="E21" s="213">
        <f>('Income Statement'!F12/-'Income Statement'!F13)</f>
        <v>8.3518547131464158E-2</v>
      </c>
      <c r="F21" s="213">
        <f>('Income Statement'!G12/-'Income Statement'!G13)</f>
        <v>-2.0409292728341364</v>
      </c>
      <c r="G21" s="213">
        <f>('Income Statement'!H12/-'Income Statement'!H13)</f>
        <v>-2.7079129557013659</v>
      </c>
      <c r="H21" s="213">
        <f>('Income Statement'!I12/-'Income Statement'!I13)</f>
        <v>-2.8736135585845659</v>
      </c>
      <c r="I21" s="213">
        <f>('Income Statement'!J12/-'Income Statement'!J13)</f>
        <v>-3.4228232812462664</v>
      </c>
      <c r="J21" s="214">
        <f>('Income Statement'!K12/-'Income Statement'!K13)</f>
        <v>-4.0595693055777762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 Summary</vt:lpstr>
      <vt:lpstr>Revenue forecast</vt:lpstr>
      <vt:lpstr>NWC</vt:lpstr>
      <vt:lpstr>Income Statement</vt:lpstr>
      <vt:lpstr>Balance Sheet</vt:lpstr>
      <vt:lpstr>Cash Flow Statement</vt:lpstr>
      <vt:lpstr>FCFF and FCFE Valuation</vt:lpstr>
      <vt:lpstr>Financial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dhairya patel</dc:creator>
  <cp:lastModifiedBy>lee hung</cp:lastModifiedBy>
  <dcterms:created xsi:type="dcterms:W3CDTF">2019-01-29T06:43:20Z</dcterms:created>
  <dcterms:modified xsi:type="dcterms:W3CDTF">2025-03-07T10:51:23Z</dcterms:modified>
</cp:coreProperties>
</file>