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8"/>
  <workbookPr/>
  <mc:AlternateContent xmlns:mc="http://schemas.openxmlformats.org/markup-compatibility/2006">
    <mc:Choice Requires="x15">
      <x15ac:absPath xmlns:x15ac="http://schemas.microsoft.com/office/spreadsheetml/2010/11/ac" url="F:\Job\Intern\Final\"/>
    </mc:Choice>
  </mc:AlternateContent>
  <xr:revisionPtr revIDLastSave="0" documentId="13_ncr:1_{005F6379-6C16-4DC9-B1AF-3308DE6F7395}" xr6:coauthVersionLast="47" xr6:coauthVersionMax="47" xr10:uidLastSave="{00000000-0000-0000-0000-000000000000}"/>
  <bookViews>
    <workbookView xWindow="-108" yWindow="-108" windowWidth="23256" windowHeight="13896" xr2:uid="{00000000-000D-0000-FFFF-FFFF00000000}"/>
  </bookViews>
  <sheets>
    <sheet name="INPUT-Y" sheetId="1" r:id="rId1"/>
    <sheet name="IS" sheetId="2" r:id="rId2"/>
    <sheet name="BS" sheetId="3" r:id="rId3"/>
    <sheet name="CF" sheetId="6" r:id="rId4"/>
    <sheet name="Valuation" sheetId="4" r:id="rId5"/>
    <sheet name="PP&amp;E" sheetId="5" r:id="rId6"/>
    <sheet name="Assumption" sheetId="7" r:id="rId7"/>
    <sheet name="Forecast" sheetId="8" r:id="rId8"/>
    <sheet name="WACC" sheetId="9" r:id="rId9"/>
    <sheet name="Owners equity" sheetId="10" r:id="rId10"/>
    <sheet name="Debt" sheetId="11" r:id="rId11"/>
    <sheet name="Financial ratios" sheetId="12" r:id="rId12"/>
    <sheet name="Commonsize" sheetId="13" r:id="rId13"/>
    <sheet name="Báo cáo thu nhập" sheetId="14" state="hidden" r:id="rId14"/>
    <sheet name="Lưu chuyển tiền tệ" sheetId="15" state="hidden" r:id="rId15"/>
  </sheets>
  <definedNames>
    <definedName name="_xlnm._FilterDatabase" localSheetId="0" hidden="1">'INPUT-Y'!$B$1:$J$118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8" l="1"/>
  <c r="F13" i="12"/>
  <c r="E13" i="12"/>
  <c r="D13" i="12"/>
  <c r="C13" i="12"/>
  <c r="B13" i="12"/>
  <c r="D66" i="11"/>
  <c r="K37" i="11" s="1"/>
  <c r="D65" i="11"/>
  <c r="D64" i="11"/>
  <c r="B64" i="11"/>
  <c r="D63" i="11"/>
  <c r="B63" i="11"/>
  <c r="D62" i="11"/>
  <c r="B62" i="11"/>
  <c r="D61" i="11"/>
  <c r="B61" i="11"/>
  <c r="D60" i="11"/>
  <c r="B60" i="11"/>
  <c r="D59" i="11"/>
  <c r="J6" i="11" s="1"/>
  <c r="J5" i="11" s="1"/>
  <c r="J3" i="11" s="1"/>
  <c r="B59" i="11"/>
  <c r="I50" i="11"/>
  <c r="J50" i="11" s="1"/>
  <c r="H50" i="11"/>
  <c r="G50" i="11"/>
  <c r="L48" i="11"/>
  <c r="M48" i="11" s="1"/>
  <c r="N48" i="11" s="1"/>
  <c r="O48" i="11" s="1"/>
  <c r="J48" i="11"/>
  <c r="I48" i="11"/>
  <c r="I46" i="11" s="1"/>
  <c r="M47" i="11"/>
  <c r="L47" i="11"/>
  <c r="K47" i="11"/>
  <c r="J47" i="11"/>
  <c r="H46" i="11"/>
  <c r="G46" i="11"/>
  <c r="J44" i="11"/>
  <c r="N42" i="11"/>
  <c r="M42" i="11"/>
  <c r="L42" i="11"/>
  <c r="K42" i="11"/>
  <c r="J42" i="11"/>
  <c r="J41" i="11" s="1"/>
  <c r="O38" i="11"/>
  <c r="N38" i="11"/>
  <c r="M38" i="11"/>
  <c r="L38" i="11"/>
  <c r="K38" i="11"/>
  <c r="J38" i="11"/>
  <c r="J39" i="11" s="1"/>
  <c r="I38" i="11"/>
  <c r="I39" i="11" s="1"/>
  <c r="H38" i="11"/>
  <c r="H39" i="11" s="1"/>
  <c r="G38" i="11"/>
  <c r="I37" i="11"/>
  <c r="H37" i="11"/>
  <c r="F37" i="11"/>
  <c r="J34" i="11"/>
  <c r="I34" i="11"/>
  <c r="O32" i="11"/>
  <c r="N32" i="11"/>
  <c r="M32" i="11"/>
  <c r="L32" i="11"/>
  <c r="K32" i="11"/>
  <c r="J32" i="11"/>
  <c r="J31" i="11" s="1"/>
  <c r="J30" i="11" s="1"/>
  <c r="I30" i="11"/>
  <c r="H30" i="11"/>
  <c r="G30" i="11"/>
  <c r="F30" i="11"/>
  <c r="E30" i="11"/>
  <c r="D30" i="11"/>
  <c r="I29" i="11"/>
  <c r="H29" i="11"/>
  <c r="O27" i="11"/>
  <c r="N27" i="11"/>
  <c r="M27" i="11"/>
  <c r="L27" i="11"/>
  <c r="K27" i="11"/>
  <c r="J27" i="11"/>
  <c r="J26" i="11" s="1"/>
  <c r="I27" i="11"/>
  <c r="I25" i="11"/>
  <c r="H25" i="11"/>
  <c r="G25" i="11"/>
  <c r="F25" i="11"/>
  <c r="E25" i="11"/>
  <c r="D25" i="11"/>
  <c r="J21" i="11"/>
  <c r="K24" i="11" s="1"/>
  <c r="J19" i="11"/>
  <c r="I19" i="11"/>
  <c r="H19" i="11"/>
  <c r="O17" i="11"/>
  <c r="N17" i="11"/>
  <c r="M17" i="11"/>
  <c r="L17" i="11"/>
  <c r="K17" i="11"/>
  <c r="J17" i="11"/>
  <c r="J16" i="11" s="1"/>
  <c r="I17" i="11"/>
  <c r="I15" i="11"/>
  <c r="H15" i="11"/>
  <c r="G15" i="11"/>
  <c r="F15" i="11"/>
  <c r="E15" i="11"/>
  <c r="D15" i="11"/>
  <c r="F12" i="11"/>
  <c r="E12" i="11"/>
  <c r="I11" i="11"/>
  <c r="K12" i="11" s="1"/>
  <c r="H11" i="11"/>
  <c r="G11" i="11"/>
  <c r="I10" i="11"/>
  <c r="F10" i="11"/>
  <c r="E10" i="11"/>
  <c r="D10" i="11"/>
  <c r="J8" i="11"/>
  <c r="I8" i="11"/>
  <c r="H8" i="11"/>
  <c r="G8" i="11"/>
  <c r="F8" i="11"/>
  <c r="F55" i="11" s="1"/>
  <c r="E8" i="11"/>
  <c r="E55" i="11" s="1"/>
  <c r="I6" i="11"/>
  <c r="H6" i="11"/>
  <c r="G6" i="11"/>
  <c r="F6" i="11"/>
  <c r="E6" i="11"/>
  <c r="I3" i="11"/>
  <c r="H3" i="11"/>
  <c r="G3" i="11"/>
  <c r="F3" i="11"/>
  <c r="E3" i="11"/>
  <c r="E2" i="11"/>
  <c r="D2" i="11" s="1"/>
  <c r="G31" i="10"/>
  <c r="F31" i="10"/>
  <c r="E31" i="10"/>
  <c r="D31" i="10"/>
  <c r="C31" i="10"/>
  <c r="B31" i="10"/>
  <c r="B25" i="10"/>
  <c r="F22" i="10"/>
  <c r="G22" i="10" s="1"/>
  <c r="H22" i="10" s="1"/>
  <c r="I22" i="10" s="1"/>
  <c r="J22" i="10" s="1"/>
  <c r="K22" i="10" s="1"/>
  <c r="E22" i="10"/>
  <c r="D22" i="10"/>
  <c r="C22" i="10"/>
  <c r="B22" i="10"/>
  <c r="E487" i="9"/>
  <c r="D487" i="9"/>
  <c r="E486" i="9"/>
  <c r="D486" i="9"/>
  <c r="E485" i="9"/>
  <c r="D485" i="9"/>
  <c r="E484" i="9"/>
  <c r="D484" i="9"/>
  <c r="E483" i="9"/>
  <c r="D483" i="9"/>
  <c r="E482" i="9"/>
  <c r="D482" i="9"/>
  <c r="E481" i="9"/>
  <c r="D481" i="9"/>
  <c r="E480" i="9"/>
  <c r="D480" i="9"/>
  <c r="E479" i="9"/>
  <c r="D479" i="9"/>
  <c r="E478" i="9"/>
  <c r="D478" i="9"/>
  <c r="E477" i="9"/>
  <c r="D477" i="9"/>
  <c r="E476" i="9"/>
  <c r="D476" i="9"/>
  <c r="E475" i="9"/>
  <c r="D475" i="9"/>
  <c r="E474" i="9"/>
  <c r="D474" i="9"/>
  <c r="E473" i="9"/>
  <c r="D473" i="9"/>
  <c r="E472" i="9"/>
  <c r="D472" i="9"/>
  <c r="E471" i="9"/>
  <c r="D471" i="9"/>
  <c r="E470" i="9"/>
  <c r="D470" i="9"/>
  <c r="E469" i="9"/>
  <c r="D469" i="9"/>
  <c r="E468" i="9"/>
  <c r="D468" i="9"/>
  <c r="E467" i="9"/>
  <c r="D467" i="9"/>
  <c r="E466" i="9"/>
  <c r="D466" i="9"/>
  <c r="E465" i="9"/>
  <c r="D465" i="9"/>
  <c r="E464" i="9"/>
  <c r="D464" i="9"/>
  <c r="E463" i="9"/>
  <c r="D463" i="9"/>
  <c r="E462" i="9"/>
  <c r="D462" i="9"/>
  <c r="E461" i="9"/>
  <c r="D461" i="9"/>
  <c r="E460" i="9"/>
  <c r="D460" i="9"/>
  <c r="E459" i="9"/>
  <c r="D459" i="9"/>
  <c r="E458" i="9"/>
  <c r="D458" i="9"/>
  <c r="E457" i="9"/>
  <c r="D457" i="9"/>
  <c r="E456" i="9"/>
  <c r="D456" i="9"/>
  <c r="E455" i="9"/>
  <c r="D455" i="9"/>
  <c r="E454" i="9"/>
  <c r="D454" i="9"/>
  <c r="E453" i="9"/>
  <c r="D453" i="9"/>
  <c r="E452" i="9"/>
  <c r="D452" i="9"/>
  <c r="E451" i="9"/>
  <c r="D451" i="9"/>
  <c r="E450" i="9"/>
  <c r="D450" i="9"/>
  <c r="E449" i="9"/>
  <c r="D449" i="9"/>
  <c r="E448" i="9"/>
  <c r="D448" i="9"/>
  <c r="E447" i="9"/>
  <c r="D447" i="9"/>
  <c r="E446" i="9"/>
  <c r="D446" i="9"/>
  <c r="E445" i="9"/>
  <c r="D445" i="9"/>
  <c r="E444" i="9"/>
  <c r="D444" i="9"/>
  <c r="E443" i="9"/>
  <c r="D443" i="9"/>
  <c r="E442" i="9"/>
  <c r="D442" i="9"/>
  <c r="E441" i="9"/>
  <c r="D441" i="9"/>
  <c r="E440" i="9"/>
  <c r="D440" i="9"/>
  <c r="E439" i="9"/>
  <c r="D439" i="9"/>
  <c r="E438" i="9"/>
  <c r="D438" i="9"/>
  <c r="E437" i="9"/>
  <c r="D437" i="9"/>
  <c r="E436" i="9"/>
  <c r="D436" i="9"/>
  <c r="E435" i="9"/>
  <c r="D435" i="9"/>
  <c r="E434" i="9"/>
  <c r="D434" i="9"/>
  <c r="E433" i="9"/>
  <c r="D433" i="9"/>
  <c r="E432" i="9"/>
  <c r="D432" i="9"/>
  <c r="E431" i="9"/>
  <c r="D431" i="9"/>
  <c r="E430" i="9"/>
  <c r="D430" i="9"/>
  <c r="E429" i="9"/>
  <c r="D429" i="9"/>
  <c r="E428" i="9"/>
  <c r="D428" i="9"/>
  <c r="E427" i="9"/>
  <c r="D427" i="9"/>
  <c r="E426" i="9"/>
  <c r="D426" i="9"/>
  <c r="E425" i="9"/>
  <c r="D425" i="9"/>
  <c r="E424" i="9"/>
  <c r="D424" i="9"/>
  <c r="E423" i="9"/>
  <c r="D423" i="9"/>
  <c r="E422" i="9"/>
  <c r="D422" i="9"/>
  <c r="E421" i="9"/>
  <c r="D421" i="9"/>
  <c r="E420" i="9"/>
  <c r="D420" i="9"/>
  <c r="E419" i="9"/>
  <c r="D419" i="9"/>
  <c r="E418" i="9"/>
  <c r="D418" i="9"/>
  <c r="E417" i="9"/>
  <c r="D417" i="9"/>
  <c r="E416" i="9"/>
  <c r="D416" i="9"/>
  <c r="E415" i="9"/>
  <c r="D415" i="9"/>
  <c r="E414" i="9"/>
  <c r="D414" i="9"/>
  <c r="E413" i="9"/>
  <c r="D413" i="9"/>
  <c r="E412" i="9"/>
  <c r="D412" i="9"/>
  <c r="E411" i="9"/>
  <c r="D411" i="9"/>
  <c r="E410" i="9"/>
  <c r="D410" i="9"/>
  <c r="E409" i="9"/>
  <c r="D409" i="9"/>
  <c r="E408" i="9"/>
  <c r="D408" i="9"/>
  <c r="E407" i="9"/>
  <c r="D407" i="9"/>
  <c r="E406" i="9"/>
  <c r="D406" i="9"/>
  <c r="E405" i="9"/>
  <c r="D405" i="9"/>
  <c r="E404" i="9"/>
  <c r="D404" i="9"/>
  <c r="E403" i="9"/>
  <c r="D403" i="9"/>
  <c r="E402" i="9"/>
  <c r="D402" i="9"/>
  <c r="E401" i="9"/>
  <c r="D401" i="9"/>
  <c r="E400" i="9"/>
  <c r="D400" i="9"/>
  <c r="E399" i="9"/>
  <c r="D399" i="9"/>
  <c r="E398" i="9"/>
  <c r="D398" i="9"/>
  <c r="E397" i="9"/>
  <c r="D397" i="9"/>
  <c r="E396" i="9"/>
  <c r="D396" i="9"/>
  <c r="E395" i="9"/>
  <c r="D395" i="9"/>
  <c r="E394" i="9"/>
  <c r="D394" i="9"/>
  <c r="E393" i="9"/>
  <c r="D393" i="9"/>
  <c r="E392" i="9"/>
  <c r="D392" i="9"/>
  <c r="E391" i="9"/>
  <c r="D391" i="9"/>
  <c r="E390" i="9"/>
  <c r="D390" i="9"/>
  <c r="E389" i="9"/>
  <c r="D389" i="9"/>
  <c r="E388" i="9"/>
  <c r="D388" i="9"/>
  <c r="E387" i="9"/>
  <c r="D387" i="9"/>
  <c r="E386" i="9"/>
  <c r="D386" i="9"/>
  <c r="E385" i="9"/>
  <c r="D385" i="9"/>
  <c r="E384" i="9"/>
  <c r="D384" i="9"/>
  <c r="E383" i="9"/>
  <c r="D383" i="9"/>
  <c r="E382" i="9"/>
  <c r="D382" i="9"/>
  <c r="E381" i="9"/>
  <c r="D381" i="9"/>
  <c r="E380" i="9"/>
  <c r="D380" i="9"/>
  <c r="E379" i="9"/>
  <c r="D379" i="9"/>
  <c r="E378" i="9"/>
  <c r="D378" i="9"/>
  <c r="E377" i="9"/>
  <c r="D377" i="9"/>
  <c r="E376" i="9"/>
  <c r="D376" i="9"/>
  <c r="E375" i="9"/>
  <c r="D375" i="9"/>
  <c r="E374" i="9"/>
  <c r="D374" i="9"/>
  <c r="E373" i="9"/>
  <c r="D373" i="9"/>
  <c r="E372" i="9"/>
  <c r="D372" i="9"/>
  <c r="E371" i="9"/>
  <c r="D371" i="9"/>
  <c r="E370" i="9"/>
  <c r="D370" i="9"/>
  <c r="E369" i="9"/>
  <c r="D369" i="9"/>
  <c r="E368" i="9"/>
  <c r="D368" i="9"/>
  <c r="E367" i="9"/>
  <c r="D367" i="9"/>
  <c r="E366" i="9"/>
  <c r="D366" i="9"/>
  <c r="E365" i="9"/>
  <c r="D365" i="9"/>
  <c r="E364" i="9"/>
  <c r="D364" i="9"/>
  <c r="E363" i="9"/>
  <c r="D363" i="9"/>
  <c r="E362" i="9"/>
  <c r="D362" i="9"/>
  <c r="E361" i="9"/>
  <c r="D361" i="9"/>
  <c r="E360" i="9"/>
  <c r="D360" i="9"/>
  <c r="E359" i="9"/>
  <c r="D359" i="9"/>
  <c r="E358" i="9"/>
  <c r="D358" i="9"/>
  <c r="E357" i="9"/>
  <c r="D357" i="9"/>
  <c r="E356" i="9"/>
  <c r="D356" i="9"/>
  <c r="E355" i="9"/>
  <c r="D355" i="9"/>
  <c r="E354" i="9"/>
  <c r="D354" i="9"/>
  <c r="E353" i="9"/>
  <c r="D353" i="9"/>
  <c r="E352" i="9"/>
  <c r="D352" i="9"/>
  <c r="E351" i="9"/>
  <c r="D351" i="9"/>
  <c r="E350" i="9"/>
  <c r="D350" i="9"/>
  <c r="E349" i="9"/>
  <c r="D349" i="9"/>
  <c r="E348" i="9"/>
  <c r="D348" i="9"/>
  <c r="E347" i="9"/>
  <c r="D347" i="9"/>
  <c r="E346" i="9"/>
  <c r="D346" i="9"/>
  <c r="E345" i="9"/>
  <c r="D345" i="9"/>
  <c r="E344" i="9"/>
  <c r="D344" i="9"/>
  <c r="E343" i="9"/>
  <c r="D343" i="9"/>
  <c r="E342" i="9"/>
  <c r="D342" i="9"/>
  <c r="E341" i="9"/>
  <c r="D341" i="9"/>
  <c r="E340" i="9"/>
  <c r="D340" i="9"/>
  <c r="E339" i="9"/>
  <c r="D339" i="9"/>
  <c r="E338" i="9"/>
  <c r="D338" i="9"/>
  <c r="E337" i="9"/>
  <c r="D337" i="9"/>
  <c r="E336" i="9"/>
  <c r="D336" i="9"/>
  <c r="E335" i="9"/>
  <c r="D335" i="9"/>
  <c r="E334" i="9"/>
  <c r="D334" i="9"/>
  <c r="E333" i="9"/>
  <c r="D333" i="9"/>
  <c r="E332" i="9"/>
  <c r="D332" i="9"/>
  <c r="E331" i="9"/>
  <c r="D331" i="9"/>
  <c r="E330" i="9"/>
  <c r="D330" i="9"/>
  <c r="E329" i="9"/>
  <c r="D329" i="9"/>
  <c r="E328" i="9"/>
  <c r="D328" i="9"/>
  <c r="E327" i="9"/>
  <c r="D327" i="9"/>
  <c r="E326" i="9"/>
  <c r="D326" i="9"/>
  <c r="E325" i="9"/>
  <c r="D325" i="9"/>
  <c r="E324" i="9"/>
  <c r="D324" i="9"/>
  <c r="E323" i="9"/>
  <c r="D323" i="9"/>
  <c r="E322" i="9"/>
  <c r="D322" i="9"/>
  <c r="E321" i="9"/>
  <c r="D321" i="9"/>
  <c r="E320" i="9"/>
  <c r="D320" i="9"/>
  <c r="E319" i="9"/>
  <c r="D319" i="9"/>
  <c r="E318" i="9"/>
  <c r="D318" i="9"/>
  <c r="E317" i="9"/>
  <c r="D317" i="9"/>
  <c r="E316" i="9"/>
  <c r="D316" i="9"/>
  <c r="E315" i="9"/>
  <c r="D315" i="9"/>
  <c r="E314" i="9"/>
  <c r="D314" i="9"/>
  <c r="E313" i="9"/>
  <c r="D313" i="9"/>
  <c r="E312" i="9"/>
  <c r="D312" i="9"/>
  <c r="E311" i="9"/>
  <c r="D311" i="9"/>
  <c r="E310" i="9"/>
  <c r="D310" i="9"/>
  <c r="E309" i="9"/>
  <c r="D309" i="9"/>
  <c r="E308" i="9"/>
  <c r="D308" i="9"/>
  <c r="E307" i="9"/>
  <c r="D307" i="9"/>
  <c r="E306" i="9"/>
  <c r="D306" i="9"/>
  <c r="E305" i="9"/>
  <c r="D305" i="9"/>
  <c r="E304" i="9"/>
  <c r="D304" i="9"/>
  <c r="E303" i="9"/>
  <c r="D303" i="9"/>
  <c r="E302" i="9"/>
  <c r="D302" i="9"/>
  <c r="E301" i="9"/>
  <c r="D301" i="9"/>
  <c r="E300" i="9"/>
  <c r="D300" i="9"/>
  <c r="E299" i="9"/>
  <c r="D299" i="9"/>
  <c r="E298" i="9"/>
  <c r="D298" i="9"/>
  <c r="E297" i="9"/>
  <c r="D297" i="9"/>
  <c r="E296" i="9"/>
  <c r="D296" i="9"/>
  <c r="E295" i="9"/>
  <c r="D295" i="9"/>
  <c r="E294" i="9"/>
  <c r="D294" i="9"/>
  <c r="E293" i="9"/>
  <c r="D293" i="9"/>
  <c r="E292" i="9"/>
  <c r="D292" i="9"/>
  <c r="E291" i="9"/>
  <c r="D291" i="9"/>
  <c r="E290" i="9"/>
  <c r="D290" i="9"/>
  <c r="E289" i="9"/>
  <c r="D289" i="9"/>
  <c r="E288" i="9"/>
  <c r="D288" i="9"/>
  <c r="E287" i="9"/>
  <c r="D287" i="9"/>
  <c r="E286" i="9"/>
  <c r="D286" i="9"/>
  <c r="E285" i="9"/>
  <c r="D285" i="9"/>
  <c r="E284" i="9"/>
  <c r="D284" i="9"/>
  <c r="E283" i="9"/>
  <c r="D283" i="9"/>
  <c r="E282" i="9"/>
  <c r="D282" i="9"/>
  <c r="E281" i="9"/>
  <c r="D281" i="9"/>
  <c r="E280" i="9"/>
  <c r="D280" i="9"/>
  <c r="E279" i="9"/>
  <c r="D279" i="9"/>
  <c r="E278" i="9"/>
  <c r="D278" i="9"/>
  <c r="E277" i="9"/>
  <c r="D277" i="9"/>
  <c r="E276" i="9"/>
  <c r="D276" i="9"/>
  <c r="E275" i="9"/>
  <c r="D275" i="9"/>
  <c r="E274" i="9"/>
  <c r="D274" i="9"/>
  <c r="E273" i="9"/>
  <c r="D273" i="9"/>
  <c r="E272" i="9"/>
  <c r="D272" i="9"/>
  <c r="E271" i="9"/>
  <c r="D271" i="9"/>
  <c r="E270" i="9"/>
  <c r="D270" i="9"/>
  <c r="E269" i="9"/>
  <c r="D269" i="9"/>
  <c r="E268" i="9"/>
  <c r="D268" i="9"/>
  <c r="E267" i="9"/>
  <c r="D267" i="9"/>
  <c r="E266" i="9"/>
  <c r="D266" i="9"/>
  <c r="E265" i="9"/>
  <c r="D265" i="9"/>
  <c r="E264" i="9"/>
  <c r="D264" i="9"/>
  <c r="E263" i="9"/>
  <c r="D263" i="9"/>
  <c r="E262" i="9"/>
  <c r="D262" i="9"/>
  <c r="E261" i="9"/>
  <c r="D261" i="9"/>
  <c r="E260" i="9"/>
  <c r="D260" i="9"/>
  <c r="E259" i="9"/>
  <c r="D259" i="9"/>
  <c r="E258" i="9"/>
  <c r="D258" i="9"/>
  <c r="E257" i="9"/>
  <c r="D257" i="9"/>
  <c r="E256" i="9"/>
  <c r="D256" i="9"/>
  <c r="E255" i="9"/>
  <c r="D255" i="9"/>
  <c r="E254" i="9"/>
  <c r="D254" i="9"/>
  <c r="E253" i="9"/>
  <c r="D253" i="9"/>
  <c r="E252" i="9"/>
  <c r="D252" i="9"/>
  <c r="E251" i="9"/>
  <c r="D251" i="9"/>
  <c r="E250" i="9"/>
  <c r="D250" i="9"/>
  <c r="E249" i="9"/>
  <c r="D249" i="9"/>
  <c r="E248" i="9"/>
  <c r="D248" i="9"/>
  <c r="E247" i="9"/>
  <c r="D247" i="9"/>
  <c r="E246" i="9"/>
  <c r="D246" i="9"/>
  <c r="E245" i="9"/>
  <c r="D245" i="9"/>
  <c r="E244" i="9"/>
  <c r="D244" i="9"/>
  <c r="E243" i="9"/>
  <c r="D243" i="9"/>
  <c r="E242" i="9"/>
  <c r="D242" i="9"/>
  <c r="E241" i="9"/>
  <c r="D241" i="9"/>
  <c r="E240" i="9"/>
  <c r="D240" i="9"/>
  <c r="E239" i="9"/>
  <c r="D239" i="9"/>
  <c r="E238" i="9"/>
  <c r="D238" i="9"/>
  <c r="E237" i="9"/>
  <c r="D237" i="9"/>
  <c r="E236" i="9"/>
  <c r="D236" i="9"/>
  <c r="E235" i="9"/>
  <c r="D235" i="9"/>
  <c r="E234" i="9"/>
  <c r="D234" i="9"/>
  <c r="E233" i="9"/>
  <c r="D233" i="9"/>
  <c r="E232" i="9"/>
  <c r="D232" i="9"/>
  <c r="E231" i="9"/>
  <c r="D231" i="9"/>
  <c r="E230" i="9"/>
  <c r="D230" i="9"/>
  <c r="E229" i="9"/>
  <c r="D229" i="9"/>
  <c r="E228" i="9"/>
  <c r="D228" i="9"/>
  <c r="E227" i="9"/>
  <c r="D227" i="9"/>
  <c r="E226" i="9"/>
  <c r="D226" i="9"/>
  <c r="E225" i="9"/>
  <c r="D225" i="9"/>
  <c r="E224" i="9"/>
  <c r="D224" i="9"/>
  <c r="E223" i="9"/>
  <c r="D223" i="9"/>
  <c r="E222" i="9"/>
  <c r="D222" i="9"/>
  <c r="E221" i="9"/>
  <c r="D221" i="9"/>
  <c r="E220" i="9"/>
  <c r="D220" i="9"/>
  <c r="E219" i="9"/>
  <c r="D219" i="9"/>
  <c r="E218" i="9"/>
  <c r="D218" i="9"/>
  <c r="E217" i="9"/>
  <c r="D217" i="9"/>
  <c r="E216" i="9"/>
  <c r="D216" i="9"/>
  <c r="E215" i="9"/>
  <c r="D215" i="9"/>
  <c r="E214" i="9"/>
  <c r="D214" i="9"/>
  <c r="E213" i="9"/>
  <c r="D213" i="9"/>
  <c r="E212" i="9"/>
  <c r="D212" i="9"/>
  <c r="E211" i="9"/>
  <c r="D211" i="9"/>
  <c r="E210" i="9"/>
  <c r="D210" i="9"/>
  <c r="E209" i="9"/>
  <c r="D209" i="9"/>
  <c r="E208" i="9"/>
  <c r="D208" i="9"/>
  <c r="E207" i="9"/>
  <c r="D207" i="9"/>
  <c r="E206" i="9"/>
  <c r="D206" i="9"/>
  <c r="E205" i="9"/>
  <c r="D205" i="9"/>
  <c r="E204" i="9"/>
  <c r="D204" i="9"/>
  <c r="E203" i="9"/>
  <c r="D203" i="9"/>
  <c r="E202" i="9"/>
  <c r="D202" i="9"/>
  <c r="E201" i="9"/>
  <c r="D201" i="9"/>
  <c r="E200" i="9"/>
  <c r="D200" i="9"/>
  <c r="E199" i="9"/>
  <c r="D199" i="9"/>
  <c r="E198" i="9"/>
  <c r="D198" i="9"/>
  <c r="E197" i="9"/>
  <c r="D197" i="9"/>
  <c r="E196" i="9"/>
  <c r="D196" i="9"/>
  <c r="E195" i="9"/>
  <c r="D195" i="9"/>
  <c r="E194" i="9"/>
  <c r="D194" i="9"/>
  <c r="E193" i="9"/>
  <c r="D193" i="9"/>
  <c r="E192" i="9"/>
  <c r="D192" i="9"/>
  <c r="E191" i="9"/>
  <c r="D191" i="9"/>
  <c r="E190" i="9"/>
  <c r="D190" i="9"/>
  <c r="E189" i="9"/>
  <c r="D189" i="9"/>
  <c r="E188" i="9"/>
  <c r="D188" i="9"/>
  <c r="E187" i="9"/>
  <c r="D187" i="9"/>
  <c r="E186" i="9"/>
  <c r="D186" i="9"/>
  <c r="E185" i="9"/>
  <c r="D185" i="9"/>
  <c r="E184" i="9"/>
  <c r="D184" i="9"/>
  <c r="E183" i="9"/>
  <c r="D183" i="9"/>
  <c r="E182" i="9"/>
  <c r="D182" i="9"/>
  <c r="E181" i="9"/>
  <c r="D181" i="9"/>
  <c r="E180" i="9"/>
  <c r="D180" i="9"/>
  <c r="E179" i="9"/>
  <c r="D179" i="9"/>
  <c r="E178" i="9"/>
  <c r="D178" i="9"/>
  <c r="E177" i="9"/>
  <c r="D177" i="9"/>
  <c r="E176" i="9"/>
  <c r="D176" i="9"/>
  <c r="E175" i="9"/>
  <c r="D175" i="9"/>
  <c r="E174" i="9"/>
  <c r="D174" i="9"/>
  <c r="E173" i="9"/>
  <c r="D173" i="9"/>
  <c r="E172" i="9"/>
  <c r="D172" i="9"/>
  <c r="E171" i="9"/>
  <c r="D171" i="9"/>
  <c r="E170" i="9"/>
  <c r="D170" i="9"/>
  <c r="E169" i="9"/>
  <c r="D169" i="9"/>
  <c r="E168" i="9"/>
  <c r="D168" i="9"/>
  <c r="E167" i="9"/>
  <c r="D167" i="9"/>
  <c r="E166" i="9"/>
  <c r="D166" i="9"/>
  <c r="E165" i="9"/>
  <c r="D165" i="9"/>
  <c r="E164" i="9"/>
  <c r="D164" i="9"/>
  <c r="E163" i="9"/>
  <c r="D163" i="9"/>
  <c r="E162" i="9"/>
  <c r="D162" i="9"/>
  <c r="E161" i="9"/>
  <c r="D161" i="9"/>
  <c r="E160" i="9"/>
  <c r="D160" i="9"/>
  <c r="E159" i="9"/>
  <c r="D159" i="9"/>
  <c r="E158" i="9"/>
  <c r="D158" i="9"/>
  <c r="E157" i="9"/>
  <c r="D157" i="9"/>
  <c r="E156" i="9"/>
  <c r="D156" i="9"/>
  <c r="E155" i="9"/>
  <c r="D155" i="9"/>
  <c r="E154" i="9"/>
  <c r="D154" i="9"/>
  <c r="E153" i="9"/>
  <c r="D153" i="9"/>
  <c r="E152" i="9"/>
  <c r="D152" i="9"/>
  <c r="E151" i="9"/>
  <c r="D151" i="9"/>
  <c r="E150" i="9"/>
  <c r="D150" i="9"/>
  <c r="E149" i="9"/>
  <c r="D149" i="9"/>
  <c r="E148" i="9"/>
  <c r="D148" i="9"/>
  <c r="E147" i="9"/>
  <c r="D147" i="9"/>
  <c r="E146" i="9"/>
  <c r="D146" i="9"/>
  <c r="E145" i="9"/>
  <c r="D145" i="9"/>
  <c r="E144" i="9"/>
  <c r="D144" i="9"/>
  <c r="E143" i="9"/>
  <c r="D143" i="9"/>
  <c r="E142" i="9"/>
  <c r="D142" i="9"/>
  <c r="E141" i="9"/>
  <c r="D141" i="9"/>
  <c r="E140" i="9"/>
  <c r="D140" i="9"/>
  <c r="E139" i="9"/>
  <c r="D139" i="9"/>
  <c r="E138" i="9"/>
  <c r="D138" i="9"/>
  <c r="E137" i="9"/>
  <c r="D137" i="9"/>
  <c r="E136" i="9"/>
  <c r="D136" i="9"/>
  <c r="E135" i="9"/>
  <c r="D135" i="9"/>
  <c r="E134" i="9"/>
  <c r="D134" i="9"/>
  <c r="E133" i="9"/>
  <c r="D133" i="9"/>
  <c r="E132" i="9"/>
  <c r="D132" i="9"/>
  <c r="E131" i="9"/>
  <c r="D131" i="9"/>
  <c r="E130" i="9"/>
  <c r="D130" i="9"/>
  <c r="E129" i="9"/>
  <c r="D129" i="9"/>
  <c r="E128" i="9"/>
  <c r="D128" i="9"/>
  <c r="E127" i="9"/>
  <c r="D127" i="9"/>
  <c r="E126" i="9"/>
  <c r="D126" i="9"/>
  <c r="E125" i="9"/>
  <c r="D125" i="9"/>
  <c r="E124" i="9"/>
  <c r="D124" i="9"/>
  <c r="E123" i="9"/>
  <c r="D123" i="9"/>
  <c r="E122" i="9"/>
  <c r="D122" i="9"/>
  <c r="E121" i="9"/>
  <c r="D121" i="9"/>
  <c r="E120" i="9"/>
  <c r="D120" i="9"/>
  <c r="E119" i="9"/>
  <c r="D119" i="9"/>
  <c r="E118" i="9"/>
  <c r="D118" i="9"/>
  <c r="E117" i="9"/>
  <c r="D117" i="9"/>
  <c r="E116" i="9"/>
  <c r="D116" i="9"/>
  <c r="E115" i="9"/>
  <c r="D115" i="9"/>
  <c r="E114" i="9"/>
  <c r="D114" i="9"/>
  <c r="E113" i="9"/>
  <c r="D113" i="9"/>
  <c r="E112" i="9"/>
  <c r="D112" i="9"/>
  <c r="E111" i="9"/>
  <c r="D111" i="9"/>
  <c r="E110" i="9"/>
  <c r="D110" i="9"/>
  <c r="E109" i="9"/>
  <c r="D109" i="9"/>
  <c r="E108" i="9"/>
  <c r="D108" i="9"/>
  <c r="E107" i="9"/>
  <c r="D107" i="9"/>
  <c r="E106" i="9"/>
  <c r="D106" i="9"/>
  <c r="E105" i="9"/>
  <c r="D105" i="9"/>
  <c r="E104" i="9"/>
  <c r="D104" i="9"/>
  <c r="E103" i="9"/>
  <c r="D103" i="9"/>
  <c r="E102" i="9"/>
  <c r="D102" i="9"/>
  <c r="E101" i="9"/>
  <c r="D101" i="9"/>
  <c r="E100" i="9"/>
  <c r="D100" i="9"/>
  <c r="E99" i="9"/>
  <c r="D99" i="9"/>
  <c r="E98" i="9"/>
  <c r="D98" i="9"/>
  <c r="E97" i="9"/>
  <c r="D97" i="9"/>
  <c r="E96" i="9"/>
  <c r="D96" i="9"/>
  <c r="E95" i="9"/>
  <c r="D95" i="9"/>
  <c r="E94" i="9"/>
  <c r="D94" i="9"/>
  <c r="E93" i="9"/>
  <c r="D93" i="9"/>
  <c r="E92" i="9"/>
  <c r="D92" i="9"/>
  <c r="E91" i="9"/>
  <c r="D91" i="9"/>
  <c r="E90" i="9"/>
  <c r="D90" i="9"/>
  <c r="E89" i="9"/>
  <c r="D89" i="9"/>
  <c r="E88" i="9"/>
  <c r="D88" i="9"/>
  <c r="E87" i="9"/>
  <c r="D87" i="9"/>
  <c r="E86" i="9"/>
  <c r="D86" i="9"/>
  <c r="E85" i="9"/>
  <c r="D85" i="9"/>
  <c r="E84" i="9"/>
  <c r="D84" i="9"/>
  <c r="E83" i="9"/>
  <c r="D83" i="9"/>
  <c r="E82" i="9"/>
  <c r="D82" i="9"/>
  <c r="E81" i="9"/>
  <c r="D81" i="9"/>
  <c r="E80" i="9"/>
  <c r="D80" i="9"/>
  <c r="E79" i="9"/>
  <c r="D79" i="9"/>
  <c r="E78" i="9"/>
  <c r="D78" i="9"/>
  <c r="E77" i="9"/>
  <c r="D77" i="9"/>
  <c r="E76" i="9"/>
  <c r="D76" i="9"/>
  <c r="E75" i="9"/>
  <c r="D75" i="9"/>
  <c r="E74" i="9"/>
  <c r="D74" i="9"/>
  <c r="E73" i="9"/>
  <c r="D73" i="9"/>
  <c r="E72" i="9"/>
  <c r="D72" i="9"/>
  <c r="E71" i="9"/>
  <c r="D71" i="9"/>
  <c r="E70" i="9"/>
  <c r="D70" i="9"/>
  <c r="E69" i="9"/>
  <c r="D69" i="9"/>
  <c r="E68" i="9"/>
  <c r="D68" i="9"/>
  <c r="E67" i="9"/>
  <c r="D67" i="9"/>
  <c r="E66" i="9"/>
  <c r="D66" i="9"/>
  <c r="E65" i="9"/>
  <c r="D65" i="9"/>
  <c r="E64" i="9"/>
  <c r="D64" i="9"/>
  <c r="E63" i="9"/>
  <c r="D63" i="9"/>
  <c r="E62" i="9"/>
  <c r="D62" i="9"/>
  <c r="E61" i="9"/>
  <c r="D61" i="9"/>
  <c r="E60" i="9"/>
  <c r="D60" i="9"/>
  <c r="E59" i="9"/>
  <c r="D59" i="9"/>
  <c r="E58" i="9"/>
  <c r="D58" i="9"/>
  <c r="E57" i="9"/>
  <c r="D57" i="9"/>
  <c r="E56" i="9"/>
  <c r="D56" i="9"/>
  <c r="E55" i="9"/>
  <c r="D55" i="9"/>
  <c r="E54" i="9"/>
  <c r="D54" i="9"/>
  <c r="E53" i="9"/>
  <c r="D53" i="9"/>
  <c r="E52" i="9"/>
  <c r="D52" i="9"/>
  <c r="E51" i="9"/>
  <c r="D51" i="9"/>
  <c r="E50" i="9"/>
  <c r="D50" i="9"/>
  <c r="E49" i="9"/>
  <c r="D49" i="9"/>
  <c r="E48" i="9"/>
  <c r="D48" i="9"/>
  <c r="E47" i="9"/>
  <c r="D47" i="9"/>
  <c r="E46" i="9"/>
  <c r="D46" i="9"/>
  <c r="E45" i="9"/>
  <c r="D45" i="9"/>
  <c r="E44" i="9"/>
  <c r="D44" i="9"/>
  <c r="E43" i="9"/>
  <c r="D43" i="9"/>
  <c r="E42" i="9"/>
  <c r="D42" i="9"/>
  <c r="E41" i="9"/>
  <c r="D41" i="9"/>
  <c r="E40" i="9"/>
  <c r="D40" i="9"/>
  <c r="E39" i="9"/>
  <c r="D39" i="9"/>
  <c r="E38" i="9"/>
  <c r="D38" i="9"/>
  <c r="E37" i="9"/>
  <c r="D37" i="9"/>
  <c r="E36" i="9"/>
  <c r="D36" i="9"/>
  <c r="E35" i="9"/>
  <c r="D35" i="9"/>
  <c r="E34" i="9"/>
  <c r="D34" i="9"/>
  <c r="E33" i="9"/>
  <c r="D33" i="9"/>
  <c r="E32" i="9"/>
  <c r="D32" i="9"/>
  <c r="E31" i="9"/>
  <c r="D31" i="9"/>
  <c r="E30" i="9"/>
  <c r="D30" i="9"/>
  <c r="E29" i="9"/>
  <c r="D29" i="9"/>
  <c r="E28" i="9"/>
  <c r="D28" i="9"/>
  <c r="E27" i="9"/>
  <c r="D27" i="9"/>
  <c r="E26" i="9"/>
  <c r="D26" i="9"/>
  <c r="E25" i="9"/>
  <c r="D25" i="9"/>
  <c r="E24" i="9"/>
  <c r="D24" i="9"/>
  <c r="E23" i="9"/>
  <c r="D23" i="9"/>
  <c r="E22" i="9"/>
  <c r="D22" i="9"/>
  <c r="E21" i="9"/>
  <c r="D21" i="9"/>
  <c r="E20" i="9"/>
  <c r="D20" i="9"/>
  <c r="E19" i="9"/>
  <c r="D19" i="9"/>
  <c r="E18" i="9"/>
  <c r="D18" i="9"/>
  <c r="E17" i="9"/>
  <c r="D17" i="9"/>
  <c r="E16" i="9"/>
  <c r="D16" i="9"/>
  <c r="E15" i="9"/>
  <c r="D15" i="9"/>
  <c r="E14" i="9"/>
  <c r="D14" i="9"/>
  <c r="E13" i="9"/>
  <c r="D13" i="9"/>
  <c r="E12" i="9"/>
  <c r="D12" i="9"/>
  <c r="E11" i="9"/>
  <c r="D11" i="9"/>
  <c r="E10" i="9"/>
  <c r="D10" i="9"/>
  <c r="H9" i="9"/>
  <c r="G9" i="4" s="1"/>
  <c r="E9" i="9"/>
  <c r="D9" i="9"/>
  <c r="E8" i="9"/>
  <c r="D8" i="9"/>
  <c r="E7" i="9"/>
  <c r="D7" i="9"/>
  <c r="E6" i="9"/>
  <c r="D6" i="9"/>
  <c r="E5" i="9"/>
  <c r="D5" i="9"/>
  <c r="E4" i="9"/>
  <c r="D4" i="9"/>
  <c r="H3" i="9"/>
  <c r="E3" i="9"/>
  <c r="D3" i="9"/>
  <c r="E2" i="9"/>
  <c r="D2" i="9"/>
  <c r="F128" i="8"/>
  <c r="G128" i="8" s="1"/>
  <c r="H128" i="8" s="1"/>
  <c r="I128" i="8" s="1"/>
  <c r="C128" i="8"/>
  <c r="F127" i="8"/>
  <c r="G127" i="8" s="1"/>
  <c r="C127" i="8"/>
  <c r="G126" i="8"/>
  <c r="H126" i="8" s="1"/>
  <c r="F126" i="8"/>
  <c r="C126" i="8"/>
  <c r="F125" i="8"/>
  <c r="E125" i="8"/>
  <c r="D125" i="8"/>
  <c r="C125" i="8"/>
  <c r="F124" i="8"/>
  <c r="G124" i="8" s="1"/>
  <c r="C124" i="8"/>
  <c r="R117" i="8"/>
  <c r="F117" i="8"/>
  <c r="F134" i="8" s="1"/>
  <c r="E117" i="8"/>
  <c r="E130" i="8" s="1"/>
  <c r="D117" i="8"/>
  <c r="D134" i="8" s="1"/>
  <c r="C117" i="8"/>
  <c r="C133" i="8" s="1"/>
  <c r="B117" i="8"/>
  <c r="H115" i="8"/>
  <c r="D115" i="8"/>
  <c r="C115" i="8"/>
  <c r="B115" i="8"/>
  <c r="K114" i="8"/>
  <c r="J114" i="8"/>
  <c r="H114" i="8"/>
  <c r="F114" i="8"/>
  <c r="F115" i="8" s="1"/>
  <c r="E114" i="8"/>
  <c r="E115" i="8" s="1"/>
  <c r="F110" i="8"/>
  <c r="F109" i="8" s="1"/>
  <c r="D109" i="8"/>
  <c r="C109" i="8"/>
  <c r="H108" i="8"/>
  <c r="I108" i="8" s="1"/>
  <c r="G108" i="8"/>
  <c r="E107" i="8"/>
  <c r="K106" i="8"/>
  <c r="J106" i="8"/>
  <c r="I106" i="8"/>
  <c r="H106" i="8"/>
  <c r="G106" i="8"/>
  <c r="F106" i="8"/>
  <c r="F108" i="8" s="1"/>
  <c r="E106" i="8"/>
  <c r="D106" i="8"/>
  <c r="D108" i="8" s="1"/>
  <c r="C106" i="8"/>
  <c r="C108" i="8" s="1"/>
  <c r="K100" i="8"/>
  <c r="J100" i="8"/>
  <c r="I100" i="8"/>
  <c r="H100" i="8"/>
  <c r="K90" i="8"/>
  <c r="J90" i="8"/>
  <c r="J91" i="8" s="1"/>
  <c r="I90" i="8"/>
  <c r="I91" i="8" s="1"/>
  <c r="H90" i="8"/>
  <c r="H91" i="8" s="1"/>
  <c r="K83" i="8"/>
  <c r="K92" i="8" s="1"/>
  <c r="J83" i="8"/>
  <c r="J92" i="8" s="1"/>
  <c r="I83" i="8"/>
  <c r="I92" i="8" s="1"/>
  <c r="H83" i="8"/>
  <c r="K101" i="8" s="1"/>
  <c r="K102" i="8" s="1"/>
  <c r="G83" i="8"/>
  <c r="G81" i="8"/>
  <c r="G79" i="8"/>
  <c r="K74" i="8"/>
  <c r="J74" i="8"/>
  <c r="I74" i="8"/>
  <c r="H74" i="8"/>
  <c r="G74" i="8"/>
  <c r="K73" i="8"/>
  <c r="K72" i="8" s="1"/>
  <c r="J73" i="8"/>
  <c r="J72" i="8" s="1"/>
  <c r="I73" i="8"/>
  <c r="I72" i="8" s="1"/>
  <c r="H73" i="8"/>
  <c r="H72" i="8" s="1"/>
  <c r="G72" i="8"/>
  <c r="G70" i="8"/>
  <c r="G71" i="8" s="1"/>
  <c r="K65" i="8"/>
  <c r="J65" i="8"/>
  <c r="I65" i="8"/>
  <c r="H65" i="8"/>
  <c r="G65" i="8"/>
  <c r="G61" i="8"/>
  <c r="G63" i="8" s="1"/>
  <c r="H53" i="8"/>
  <c r="H52" i="8" s="1"/>
  <c r="K52" i="8"/>
  <c r="J52" i="8"/>
  <c r="I52" i="8"/>
  <c r="G52" i="8"/>
  <c r="K51" i="8"/>
  <c r="K56" i="8" s="1"/>
  <c r="J51" i="8"/>
  <c r="J56" i="8" s="1"/>
  <c r="I51" i="8"/>
  <c r="I56" i="8" s="1"/>
  <c r="H51" i="8"/>
  <c r="H56" i="8" s="1"/>
  <c r="G51" i="8"/>
  <c r="G56" i="8" s="1"/>
  <c r="F51" i="8"/>
  <c r="F56" i="8" s="1"/>
  <c r="E46" i="8"/>
  <c r="H44" i="8"/>
  <c r="H43" i="8" s="1"/>
  <c r="G44" i="8"/>
  <c r="G43" i="8" s="1"/>
  <c r="K43" i="8"/>
  <c r="J43" i="8"/>
  <c r="I43" i="8"/>
  <c r="E43" i="8"/>
  <c r="K42" i="8"/>
  <c r="K47" i="8" s="1"/>
  <c r="J42" i="8"/>
  <c r="J47" i="8" s="1"/>
  <c r="I42" i="8"/>
  <c r="I47" i="8" s="1"/>
  <c r="H42" i="8"/>
  <c r="H47" i="8" s="1"/>
  <c r="G42" i="8"/>
  <c r="G47" i="8" s="1"/>
  <c r="F42" i="8"/>
  <c r="F46" i="8" s="1"/>
  <c r="E41" i="8"/>
  <c r="E42" i="8" s="1"/>
  <c r="E37" i="8"/>
  <c r="H35" i="8"/>
  <c r="G35" i="8"/>
  <c r="E34" i="8"/>
  <c r="K32" i="8"/>
  <c r="K34" i="8" s="1"/>
  <c r="J32" i="8"/>
  <c r="J34" i="8" s="1"/>
  <c r="I32" i="8"/>
  <c r="I34" i="8" s="1"/>
  <c r="H32" i="8"/>
  <c r="G32" i="8"/>
  <c r="F32" i="8"/>
  <c r="K33" i="8" s="1"/>
  <c r="K38" i="8" s="1"/>
  <c r="E32" i="8"/>
  <c r="E28" i="8"/>
  <c r="E27" i="8" s="1"/>
  <c r="K26" i="8"/>
  <c r="J26" i="8"/>
  <c r="I26" i="8"/>
  <c r="H26" i="8"/>
  <c r="G26" i="8"/>
  <c r="K23" i="8"/>
  <c r="J23" i="8"/>
  <c r="I23" i="8"/>
  <c r="H23" i="8"/>
  <c r="G23" i="8"/>
  <c r="E23" i="8"/>
  <c r="E26" i="8" s="1"/>
  <c r="E20" i="8"/>
  <c r="E18" i="8"/>
  <c r="H17" i="8"/>
  <c r="H16" i="8" s="1"/>
  <c r="G17" i="8"/>
  <c r="G16" i="8" s="1"/>
  <c r="E17" i="8"/>
  <c r="K16" i="8"/>
  <c r="J16" i="8"/>
  <c r="I16" i="8"/>
  <c r="K15" i="8"/>
  <c r="K20" i="8" s="1"/>
  <c r="J15" i="8"/>
  <c r="J20" i="8" s="1"/>
  <c r="I15" i="8"/>
  <c r="I20" i="8" s="1"/>
  <c r="H15" i="8"/>
  <c r="H20" i="8" s="1"/>
  <c r="G15" i="8"/>
  <c r="G20" i="8" s="1"/>
  <c r="F15" i="8"/>
  <c r="F19" i="8" s="1"/>
  <c r="F20" i="8" s="1"/>
  <c r="F10" i="8"/>
  <c r="E10" i="8"/>
  <c r="E9" i="8" s="1"/>
  <c r="H8" i="8"/>
  <c r="H7" i="8" s="1"/>
  <c r="G8" i="8"/>
  <c r="G7" i="8" s="1"/>
  <c r="E8" i="8"/>
  <c r="E126" i="8"/>
  <c r="D126" i="8"/>
  <c r="K7" i="8"/>
  <c r="J7" i="8"/>
  <c r="I7" i="8"/>
  <c r="E15" i="8"/>
  <c r="K6" i="8"/>
  <c r="J6" i="8"/>
  <c r="I6" i="8"/>
  <c r="H6" i="8"/>
  <c r="G6" i="8"/>
  <c r="F6" i="8"/>
  <c r="E6" i="8"/>
  <c r="F44" i="6"/>
  <c r="G43" i="6" s="1"/>
  <c r="E44" i="6"/>
  <c r="F43" i="6" s="1"/>
  <c r="D44" i="6"/>
  <c r="E43" i="6" s="1"/>
  <c r="C44" i="6"/>
  <c r="D43" i="6" s="1"/>
  <c r="B44" i="6"/>
  <c r="C43" i="6" s="1"/>
  <c r="B43" i="6"/>
  <c r="F42" i="6"/>
  <c r="E42" i="6"/>
  <c r="D42" i="6"/>
  <c r="C42" i="6"/>
  <c r="B42" i="6"/>
  <c r="F40" i="6"/>
  <c r="E40" i="6"/>
  <c r="D40" i="6"/>
  <c r="C40" i="6"/>
  <c r="B40" i="6"/>
  <c r="F38" i="6"/>
  <c r="E38" i="6"/>
  <c r="D38" i="6"/>
  <c r="C38" i="6"/>
  <c r="B38" i="6"/>
  <c r="F37" i="6"/>
  <c r="E37" i="6"/>
  <c r="D37" i="6"/>
  <c r="C37" i="6"/>
  <c r="B37" i="6"/>
  <c r="B36" i="6"/>
  <c r="B35" i="6"/>
  <c r="F34" i="6"/>
  <c r="E34" i="6"/>
  <c r="D34" i="6"/>
  <c r="C34" i="6"/>
  <c r="B34" i="6"/>
  <c r="F33" i="6"/>
  <c r="E33" i="6"/>
  <c r="D33" i="6"/>
  <c r="C33" i="6"/>
  <c r="B33" i="6"/>
  <c r="F30" i="6"/>
  <c r="E30" i="6"/>
  <c r="D30" i="6"/>
  <c r="C30" i="6"/>
  <c r="B30" i="6"/>
  <c r="F28" i="6"/>
  <c r="E28" i="6"/>
  <c r="D28" i="6"/>
  <c r="C28" i="6"/>
  <c r="B28" i="6"/>
  <c r="F27" i="6"/>
  <c r="E27" i="6"/>
  <c r="D27" i="6"/>
  <c r="C27" i="6"/>
  <c r="B27" i="6"/>
  <c r="F26" i="6"/>
  <c r="E26" i="6"/>
  <c r="D26" i="6"/>
  <c r="C26" i="6"/>
  <c r="B26" i="6"/>
  <c r="F25" i="6"/>
  <c r="E25" i="6"/>
  <c r="D25" i="6"/>
  <c r="C25" i="6"/>
  <c r="B25" i="6"/>
  <c r="F22" i="6"/>
  <c r="E22" i="6"/>
  <c r="D22" i="6"/>
  <c r="C22" i="6"/>
  <c r="B22" i="6"/>
  <c r="F21" i="6"/>
  <c r="E21" i="6"/>
  <c r="D21" i="6"/>
  <c r="C21" i="6"/>
  <c r="B21" i="6"/>
  <c r="F20" i="6"/>
  <c r="E20" i="6"/>
  <c r="D20" i="6"/>
  <c r="C20" i="6"/>
  <c r="B20" i="6"/>
  <c r="F19" i="6"/>
  <c r="E19" i="6"/>
  <c r="D19" i="6"/>
  <c r="C19" i="6"/>
  <c r="B19" i="6"/>
  <c r="F18" i="6"/>
  <c r="E18" i="6"/>
  <c r="D18" i="6"/>
  <c r="C18" i="6"/>
  <c r="B18" i="6"/>
  <c r="F17" i="6"/>
  <c r="E17" i="6"/>
  <c r="D17" i="6"/>
  <c r="C17" i="6"/>
  <c r="B17" i="6"/>
  <c r="F16" i="6"/>
  <c r="E16" i="6"/>
  <c r="D16" i="6"/>
  <c r="C16" i="6"/>
  <c r="B16" i="6"/>
  <c r="F15" i="6"/>
  <c r="E15" i="6"/>
  <c r="D15" i="6"/>
  <c r="C15" i="6"/>
  <c r="B15" i="6"/>
  <c r="F14" i="6"/>
  <c r="E14" i="6"/>
  <c r="D14" i="6"/>
  <c r="C14" i="6"/>
  <c r="B14" i="6"/>
  <c r="F13" i="6"/>
  <c r="E13" i="6"/>
  <c r="D13" i="6"/>
  <c r="C13" i="6"/>
  <c r="B13" i="6"/>
  <c r="F12" i="6"/>
  <c r="E12" i="6"/>
  <c r="D12" i="6"/>
  <c r="C12" i="6"/>
  <c r="B12" i="6"/>
  <c r="F11" i="6"/>
  <c r="E11" i="6"/>
  <c r="D11" i="6"/>
  <c r="C11" i="6"/>
  <c r="B11" i="6"/>
  <c r="F10" i="6"/>
  <c r="E10" i="6"/>
  <c r="D10" i="6"/>
  <c r="C10" i="6"/>
  <c r="B10" i="6"/>
  <c r="F9" i="6"/>
  <c r="G9" i="6" s="1"/>
  <c r="H9" i="6" s="1"/>
  <c r="I9" i="6" s="1"/>
  <c r="J9" i="6" s="1"/>
  <c r="E9" i="6"/>
  <c r="D9" i="6"/>
  <c r="C9" i="6"/>
  <c r="B9" i="6"/>
  <c r="F8" i="6"/>
  <c r="E8" i="6"/>
  <c r="D8" i="6"/>
  <c r="C8" i="6"/>
  <c r="B8" i="6"/>
  <c r="F7" i="6"/>
  <c r="E7" i="6"/>
  <c r="D7" i="6"/>
  <c r="C7" i="6"/>
  <c r="B7" i="6"/>
  <c r="F6" i="6"/>
  <c r="E6" i="6"/>
  <c r="D6" i="6"/>
  <c r="C6" i="6"/>
  <c r="B6" i="6"/>
  <c r="F5" i="6"/>
  <c r="E5" i="6"/>
  <c r="D5" i="6"/>
  <c r="C5" i="6"/>
  <c r="B5" i="6"/>
  <c r="F75" i="5"/>
  <c r="E75" i="5"/>
  <c r="D75" i="5"/>
  <c r="C75" i="5"/>
  <c r="B75" i="5"/>
  <c r="B74" i="5"/>
  <c r="F69" i="5"/>
  <c r="E69" i="5"/>
  <c r="D69" i="5"/>
  <c r="C69" i="5"/>
  <c r="B69" i="5"/>
  <c r="F68" i="5"/>
  <c r="E68" i="5"/>
  <c r="D68" i="5"/>
  <c r="C68" i="5"/>
  <c r="B68" i="5"/>
  <c r="F61" i="5"/>
  <c r="E61" i="5"/>
  <c r="E42" i="5" s="1"/>
  <c r="D61" i="5"/>
  <c r="D42" i="5" s="1"/>
  <c r="C61" i="5"/>
  <c r="C42" i="5" s="1"/>
  <c r="B61" i="5"/>
  <c r="F59" i="5"/>
  <c r="E59" i="5"/>
  <c r="D59" i="5"/>
  <c r="C59" i="5"/>
  <c r="B59" i="5"/>
  <c r="F58" i="5"/>
  <c r="E58" i="5"/>
  <c r="D58" i="5"/>
  <c r="C58" i="5"/>
  <c r="B58" i="5"/>
  <c r="B44" i="5" s="1"/>
  <c r="C38" i="5" s="1"/>
  <c r="F56" i="5"/>
  <c r="E56" i="5"/>
  <c r="D56" i="5"/>
  <c r="C56" i="5"/>
  <c r="B56" i="5"/>
  <c r="F54" i="5"/>
  <c r="E54" i="5"/>
  <c r="D54" i="5"/>
  <c r="C54" i="5"/>
  <c r="B54" i="5"/>
  <c r="F53" i="5"/>
  <c r="E53" i="5"/>
  <c r="D53" i="5"/>
  <c r="C53" i="5"/>
  <c r="B53" i="5"/>
  <c r="F51" i="5"/>
  <c r="E51" i="5"/>
  <c r="E16" i="5" s="1"/>
  <c r="E12" i="5" s="1"/>
  <c r="D51" i="5"/>
  <c r="D16" i="5" s="1"/>
  <c r="D12" i="5" s="1"/>
  <c r="C51" i="5"/>
  <c r="B51" i="5"/>
  <c r="F49" i="5"/>
  <c r="F15" i="5" s="1"/>
  <c r="E49" i="5"/>
  <c r="D49" i="5"/>
  <c r="C49" i="5"/>
  <c r="B49" i="5"/>
  <c r="F48" i="5"/>
  <c r="E48" i="5"/>
  <c r="D48" i="5"/>
  <c r="C48" i="5"/>
  <c r="B48" i="5"/>
  <c r="F39" i="5"/>
  <c r="E39" i="5"/>
  <c r="D39" i="5"/>
  <c r="C39" i="5"/>
  <c r="B39" i="5"/>
  <c r="E35" i="5"/>
  <c r="F29" i="5" s="1"/>
  <c r="D35" i="5"/>
  <c r="E29" i="5" s="1"/>
  <c r="C35" i="5"/>
  <c r="D29" i="5" s="1"/>
  <c r="B35" i="5"/>
  <c r="C29" i="5" s="1"/>
  <c r="F34" i="5"/>
  <c r="H31" i="5"/>
  <c r="H5" i="5" s="1"/>
  <c r="H30" i="5"/>
  <c r="G30" i="5"/>
  <c r="E8" i="5"/>
  <c r="F4" i="5" s="1"/>
  <c r="D8" i="5"/>
  <c r="E4" i="5" s="1"/>
  <c r="C8" i="5"/>
  <c r="D4" i="5" s="1"/>
  <c r="B8" i="5"/>
  <c r="C4" i="5" s="1"/>
  <c r="B7" i="5"/>
  <c r="K6" i="5"/>
  <c r="J6" i="5"/>
  <c r="I6" i="5"/>
  <c r="H6" i="5"/>
  <c r="G6" i="5"/>
  <c r="F6" i="5"/>
  <c r="K5" i="5"/>
  <c r="J5" i="5"/>
  <c r="I5" i="5"/>
  <c r="G5" i="5"/>
  <c r="F5" i="5"/>
  <c r="B80" i="4"/>
  <c r="B81" i="4" s="1"/>
  <c r="B82" i="4" s="1"/>
  <c r="B69" i="4"/>
  <c r="B44" i="4"/>
  <c r="C44" i="4" s="1"/>
  <c r="D44" i="4" s="1"/>
  <c r="E44" i="4" s="1"/>
  <c r="F44" i="4" s="1"/>
  <c r="F40" i="4"/>
  <c r="E40" i="4"/>
  <c r="G25" i="4"/>
  <c r="B29" i="4" s="1"/>
  <c r="F25" i="4"/>
  <c r="E25" i="4"/>
  <c r="D25" i="4"/>
  <c r="C25" i="4"/>
  <c r="G7" i="4"/>
  <c r="G4" i="4"/>
  <c r="F72" i="3"/>
  <c r="E72" i="3"/>
  <c r="D72" i="3"/>
  <c r="C72" i="3"/>
  <c r="F32" i="3"/>
  <c r="E32" i="3"/>
  <c r="D32" i="3"/>
  <c r="C32" i="3"/>
  <c r="B32" i="3"/>
  <c r="F31" i="3"/>
  <c r="E31" i="3"/>
  <c r="D31" i="3"/>
  <c r="C31" i="3"/>
  <c r="B31" i="3"/>
  <c r="F30" i="3"/>
  <c r="E30" i="3"/>
  <c r="D30" i="3"/>
  <c r="C30" i="3"/>
  <c r="B30" i="3"/>
  <c r="F29" i="3"/>
  <c r="G29" i="3" s="1"/>
  <c r="E29" i="3"/>
  <c r="D29" i="3"/>
  <c r="C29" i="3"/>
  <c r="B29" i="3"/>
  <c r="F28" i="3"/>
  <c r="E28" i="3"/>
  <c r="D28" i="3"/>
  <c r="C28" i="3"/>
  <c r="B28" i="3"/>
  <c r="F27" i="3"/>
  <c r="E27" i="3"/>
  <c r="D27" i="3"/>
  <c r="C27" i="3"/>
  <c r="B27" i="3"/>
  <c r="H26" i="3"/>
  <c r="F26" i="3"/>
  <c r="E26" i="3"/>
  <c r="D26" i="3"/>
  <c r="C26" i="3"/>
  <c r="B26" i="3"/>
  <c r="F25" i="3"/>
  <c r="E25" i="3"/>
  <c r="D25" i="3"/>
  <c r="C25" i="3"/>
  <c r="B25" i="3"/>
  <c r="F23" i="3"/>
  <c r="E23" i="3"/>
  <c r="D23" i="3"/>
  <c r="C23" i="3"/>
  <c r="B23" i="3"/>
  <c r="F22" i="3"/>
  <c r="E22" i="3"/>
  <c r="D22" i="3"/>
  <c r="C22" i="3"/>
  <c r="B22" i="3"/>
  <c r="F21" i="3"/>
  <c r="E21" i="3"/>
  <c r="D21" i="3"/>
  <c r="C21" i="3"/>
  <c r="B21" i="3"/>
  <c r="F20" i="3"/>
  <c r="E20" i="3"/>
  <c r="D20" i="3"/>
  <c r="C20" i="3"/>
  <c r="B20" i="3"/>
  <c r="F19" i="3"/>
  <c r="E19" i="3"/>
  <c r="F62" i="3" s="1"/>
  <c r="D19" i="3"/>
  <c r="E62" i="3" s="1"/>
  <c r="C19" i="3"/>
  <c r="D62" i="3" s="1"/>
  <c r="B19" i="3"/>
  <c r="C62" i="3" s="1"/>
  <c r="F18" i="3"/>
  <c r="E18" i="3"/>
  <c r="D18" i="3"/>
  <c r="C18" i="3"/>
  <c r="B18" i="3"/>
  <c r="F17" i="3"/>
  <c r="E17" i="3"/>
  <c r="D17" i="3"/>
  <c r="C17" i="3"/>
  <c r="B17" i="3"/>
  <c r="F15" i="3"/>
  <c r="E15" i="3"/>
  <c r="D15" i="3"/>
  <c r="C15" i="3"/>
  <c r="B15" i="3"/>
  <c r="G14" i="3"/>
  <c r="F14" i="3"/>
  <c r="E14" i="3"/>
  <c r="D14" i="3"/>
  <c r="C14" i="3"/>
  <c r="B14" i="3"/>
  <c r="F13" i="3"/>
  <c r="E13" i="3"/>
  <c r="D13" i="3"/>
  <c r="C13" i="3"/>
  <c r="B13" i="3"/>
  <c r="F12" i="3"/>
  <c r="E12" i="3"/>
  <c r="D12" i="3"/>
  <c r="C12" i="3"/>
  <c r="B12" i="3"/>
  <c r="F11" i="3"/>
  <c r="E11" i="3"/>
  <c r="D11" i="3"/>
  <c r="C11" i="3"/>
  <c r="B11" i="3"/>
  <c r="F10" i="3"/>
  <c r="E10" i="3"/>
  <c r="D10" i="3"/>
  <c r="C10" i="3"/>
  <c r="B10" i="3"/>
  <c r="F9" i="3"/>
  <c r="E9" i="3"/>
  <c r="D9" i="3"/>
  <c r="C9" i="3"/>
  <c r="B9" i="3"/>
  <c r="F8" i="3"/>
  <c r="E8" i="3"/>
  <c r="D8" i="3"/>
  <c r="C8" i="3"/>
  <c r="B8" i="3"/>
  <c r="F7" i="3"/>
  <c r="E7" i="3"/>
  <c r="D7" i="3"/>
  <c r="C7" i="3"/>
  <c r="B7" i="3"/>
  <c r="F6" i="3"/>
  <c r="E6" i="3"/>
  <c r="D6" i="3"/>
  <c r="C6" i="3"/>
  <c r="B6" i="3"/>
  <c r="F5" i="3"/>
  <c r="F52" i="4" s="1"/>
  <c r="E5" i="3"/>
  <c r="D5" i="3"/>
  <c r="C5" i="3"/>
  <c r="B5" i="3"/>
  <c r="F4" i="3"/>
  <c r="E4" i="3"/>
  <c r="D4" i="3"/>
  <c r="C4" i="3"/>
  <c r="B4" i="3"/>
  <c r="F24" i="2"/>
  <c r="E24" i="2"/>
  <c r="D24" i="2"/>
  <c r="C24" i="2"/>
  <c r="F22" i="2"/>
  <c r="F21" i="2"/>
  <c r="F20" i="2"/>
  <c r="E20" i="2"/>
  <c r="D20" i="2"/>
  <c r="C20" i="2"/>
  <c r="B20" i="2"/>
  <c r="F19" i="2"/>
  <c r="E19" i="2"/>
  <c r="D19" i="2"/>
  <c r="C19" i="2"/>
  <c r="B19" i="2"/>
  <c r="F18" i="2"/>
  <c r="E18" i="2"/>
  <c r="D18" i="2"/>
  <c r="C18" i="2"/>
  <c r="B18" i="2"/>
  <c r="F17" i="2"/>
  <c r="E17" i="2"/>
  <c r="D17" i="2"/>
  <c r="C17" i="2"/>
  <c r="B17" i="2"/>
  <c r="F16" i="2"/>
  <c r="E16" i="2"/>
  <c r="D16" i="2"/>
  <c r="C16" i="2"/>
  <c r="B16" i="2"/>
  <c r="F15" i="2"/>
  <c r="E15" i="2"/>
  <c r="D15" i="2"/>
  <c r="C15" i="2"/>
  <c r="B15" i="2"/>
  <c r="F14" i="2"/>
  <c r="E14" i="2"/>
  <c r="D14" i="2"/>
  <c r="C14" i="2"/>
  <c r="B14" i="2"/>
  <c r="F13" i="2"/>
  <c r="G13" i="2" s="1"/>
  <c r="H13" i="2" s="1"/>
  <c r="I13" i="2" s="1"/>
  <c r="J13" i="2" s="1"/>
  <c r="K13" i="2" s="1"/>
  <c r="E13" i="2"/>
  <c r="D13" i="2"/>
  <c r="C13" i="2"/>
  <c r="B13" i="2"/>
  <c r="F12" i="2"/>
  <c r="E12" i="2"/>
  <c r="D12" i="2"/>
  <c r="C12" i="2"/>
  <c r="B12" i="2"/>
  <c r="F11" i="2"/>
  <c r="F33" i="2" s="1"/>
  <c r="E11" i="2"/>
  <c r="D11" i="2"/>
  <c r="D33" i="2" s="1"/>
  <c r="C11" i="2"/>
  <c r="B11" i="2"/>
  <c r="B33" i="2" s="1"/>
  <c r="F10" i="2"/>
  <c r="F29" i="2" s="1"/>
  <c r="E10" i="2"/>
  <c r="D10" i="2"/>
  <c r="C10" i="2"/>
  <c r="C29" i="2" s="1"/>
  <c r="B10" i="2"/>
  <c r="B29" i="2" s="1"/>
  <c r="F9" i="2"/>
  <c r="F40" i="2" s="1"/>
  <c r="E9" i="2"/>
  <c r="E40" i="2" s="1"/>
  <c r="D9" i="2"/>
  <c r="D40" i="2" s="1"/>
  <c r="C9" i="2"/>
  <c r="C40" i="2" s="1"/>
  <c r="B9" i="2"/>
  <c r="B40" i="2" s="1"/>
  <c r="F8" i="2"/>
  <c r="F39" i="2" s="1"/>
  <c r="E8" i="2"/>
  <c r="E39" i="2" s="1"/>
  <c r="D8" i="2"/>
  <c r="D39" i="2" s="1"/>
  <c r="C8" i="2"/>
  <c r="C39" i="2" s="1"/>
  <c r="B8" i="2"/>
  <c r="B39" i="2" s="1"/>
  <c r="F7" i="2"/>
  <c r="F36" i="2" s="1"/>
  <c r="F37" i="2" s="1"/>
  <c r="E7" i="2"/>
  <c r="E36" i="2" s="1"/>
  <c r="E37" i="2" s="1"/>
  <c r="D7" i="2"/>
  <c r="D36" i="2" s="1"/>
  <c r="D37" i="2" s="1"/>
  <c r="C7" i="2"/>
  <c r="C36" i="2" s="1"/>
  <c r="C37" i="2" s="1"/>
  <c r="B7" i="2"/>
  <c r="B36" i="2" s="1"/>
  <c r="B37" i="2" s="1"/>
  <c r="F5" i="2"/>
  <c r="F6" i="2" s="1"/>
  <c r="F3" i="12" s="1"/>
  <c r="E5" i="2"/>
  <c r="E6" i="2" s="1"/>
  <c r="E3" i="12" s="1"/>
  <c r="D5" i="2"/>
  <c r="C5" i="2"/>
  <c r="B5" i="2"/>
  <c r="B6" i="2" s="1"/>
  <c r="B3" i="12" s="1"/>
  <c r="L42" i="1"/>
  <c r="I25" i="8" l="1"/>
  <c r="E60" i="5"/>
  <c r="E41" i="5" s="1"/>
  <c r="E44" i="5" s="1"/>
  <c r="F38" i="5" s="1"/>
  <c r="D50" i="5"/>
  <c r="D71" i="5" s="1"/>
  <c r="D34" i="2"/>
  <c r="G84" i="8"/>
  <c r="I33" i="8"/>
  <c r="I38" i="8" s="1"/>
  <c r="D30" i="2"/>
  <c r="L22" i="11"/>
  <c r="N22" i="11"/>
  <c r="F83" i="5"/>
  <c r="F60" i="5"/>
  <c r="F41" i="5" s="1"/>
  <c r="H75" i="8"/>
  <c r="I93" i="8"/>
  <c r="D43" i="5"/>
  <c r="H15" i="5"/>
  <c r="J15" i="5"/>
  <c r="E55" i="5"/>
  <c r="F55" i="5"/>
  <c r="C25" i="2"/>
  <c r="G17" i="2"/>
  <c r="H17" i="2" s="1"/>
  <c r="D25" i="2"/>
  <c r="E108" i="8"/>
  <c r="C131" i="8"/>
  <c r="F57" i="5"/>
  <c r="F35" i="5"/>
  <c r="G29" i="5" s="1"/>
  <c r="G35" i="5" s="1"/>
  <c r="C50" i="5"/>
  <c r="C71" i="5" s="1"/>
  <c r="D131" i="8"/>
  <c r="L37" i="11"/>
  <c r="F29" i="6"/>
  <c r="D132" i="8"/>
  <c r="M37" i="11"/>
  <c r="E50" i="5"/>
  <c r="E71" i="5" s="1"/>
  <c r="F132" i="8"/>
  <c r="M22" i="11"/>
  <c r="N37" i="11"/>
  <c r="F16" i="5"/>
  <c r="F12" i="5" s="1"/>
  <c r="B39" i="6"/>
  <c r="E45" i="8"/>
  <c r="O37" i="11"/>
  <c r="J25" i="11"/>
  <c r="J29" i="11"/>
  <c r="K26" i="11"/>
  <c r="E43" i="5"/>
  <c r="F50" i="5"/>
  <c r="F81" i="5"/>
  <c r="J20" i="11"/>
  <c r="F52" i="5"/>
  <c r="F7" i="5" s="1"/>
  <c r="J46" i="11"/>
  <c r="K45" i="11" s="1"/>
  <c r="K46" i="11" s="1"/>
  <c r="L45" i="11" s="1"/>
  <c r="L46" i="11" s="1"/>
  <c r="M45" i="11" s="1"/>
  <c r="M46" i="11" s="1"/>
  <c r="N45" i="11" s="1"/>
  <c r="N46" i="11" s="1"/>
  <c r="O45" i="11" s="1"/>
  <c r="O46" i="11" s="1"/>
  <c r="D73" i="5"/>
  <c r="K22" i="11"/>
  <c r="K21" i="11" s="1"/>
  <c r="K20" i="11" s="1"/>
  <c r="I52" i="11"/>
  <c r="C81" i="5"/>
  <c r="E26" i="12"/>
  <c r="C15" i="5"/>
  <c r="C57" i="5"/>
  <c r="H25" i="8"/>
  <c r="F33" i="8"/>
  <c r="F34" i="8" s="1"/>
  <c r="F35" i="8" s="1"/>
  <c r="K75" i="8"/>
  <c r="D133" i="8"/>
  <c r="E47" i="8"/>
  <c r="D15" i="5"/>
  <c r="D13" i="5" s="1"/>
  <c r="G33" i="8"/>
  <c r="G38" i="8" s="1"/>
  <c r="J37" i="11"/>
  <c r="J36" i="11" s="1"/>
  <c r="K36" i="11" s="1"/>
  <c r="C41" i="2"/>
  <c r="C42" i="2" s="1"/>
  <c r="E15" i="5"/>
  <c r="E57" i="5"/>
  <c r="D60" i="5"/>
  <c r="D41" i="5" s="1"/>
  <c r="D44" i="5" s="1"/>
  <c r="E38" i="5" s="1"/>
  <c r="C29" i="6"/>
  <c r="H33" i="8"/>
  <c r="H38" i="8" s="1"/>
  <c r="E81" i="5"/>
  <c r="K25" i="8"/>
  <c r="G107" i="8"/>
  <c r="F8" i="8"/>
  <c r="E11" i="8"/>
  <c r="E109" i="8"/>
  <c r="G109" i="8" s="1"/>
  <c r="H109" i="8" s="1"/>
  <c r="E131" i="8"/>
  <c r="G82" i="8"/>
  <c r="H82" i="8" s="1"/>
  <c r="I82" i="8" s="1"/>
  <c r="H107" i="8"/>
  <c r="C132" i="8"/>
  <c r="J93" i="8"/>
  <c r="E132" i="8"/>
  <c r="J33" i="8"/>
  <c r="J38" i="8" s="1"/>
  <c r="E44" i="8"/>
  <c r="E133" i="8"/>
  <c r="I75" i="8"/>
  <c r="J101" i="8"/>
  <c r="J102" i="8" s="1"/>
  <c r="F133" i="8"/>
  <c r="E25" i="2"/>
  <c r="G34" i="8"/>
  <c r="E134" i="8"/>
  <c r="F25" i="2"/>
  <c r="J25" i="8"/>
  <c r="H34" i="8"/>
  <c r="J9" i="8"/>
  <c r="J10" i="8" s="1"/>
  <c r="F52" i="8"/>
  <c r="F53" i="8" s="1"/>
  <c r="F55" i="8"/>
  <c r="B79" i="4"/>
  <c r="B78" i="4" s="1"/>
  <c r="F34" i="2"/>
  <c r="E30" i="2"/>
  <c r="D26" i="12"/>
  <c r="C30" i="2"/>
  <c r="E29" i="2"/>
  <c r="B26" i="12"/>
  <c r="F30" i="2"/>
  <c r="G37" i="2"/>
  <c r="H37" i="2" s="1"/>
  <c r="I37" i="2" s="1"/>
  <c r="C26" i="12"/>
  <c r="G19" i="2"/>
  <c r="H19" i="2" s="1"/>
  <c r="B41" i="2"/>
  <c r="B42" i="2" s="1"/>
  <c r="F36" i="6"/>
  <c r="B34" i="3"/>
  <c r="C34" i="3"/>
  <c r="D34" i="3"/>
  <c r="E34" i="3"/>
  <c r="D48" i="3"/>
  <c r="D49" i="3" s="1"/>
  <c r="F34" i="3"/>
  <c r="F73" i="3"/>
  <c r="C57" i="3"/>
  <c r="F13" i="13"/>
  <c r="C70" i="3"/>
  <c r="C48" i="3"/>
  <c r="C49" i="3" s="1"/>
  <c r="D67" i="3"/>
  <c r="D73" i="3"/>
  <c r="E48" i="3"/>
  <c r="E49" i="3" s="1"/>
  <c r="C82" i="3"/>
  <c r="B15" i="13"/>
  <c r="C8" i="13"/>
  <c r="D70" i="3"/>
  <c r="F10" i="13"/>
  <c r="C13" i="13"/>
  <c r="F18" i="13"/>
  <c r="F8" i="13"/>
  <c r="F6" i="13"/>
  <c r="C9" i="13"/>
  <c r="B22" i="13"/>
  <c r="F11" i="13"/>
  <c r="F51" i="4"/>
  <c r="F57" i="3"/>
  <c r="D53" i="3"/>
  <c r="D54" i="3" s="1"/>
  <c r="F9" i="13"/>
  <c r="C12" i="13"/>
  <c r="F48" i="3"/>
  <c r="F49" i="3" s="1"/>
  <c r="C10" i="13"/>
  <c r="F12" i="13"/>
  <c r="F28" i="13"/>
  <c r="F41" i="2"/>
  <c r="F42" i="2" s="1"/>
  <c r="G42" i="2" s="1"/>
  <c r="D41" i="2"/>
  <c r="D42" i="2" s="1"/>
  <c r="G20" i="10"/>
  <c r="H17" i="10" s="1"/>
  <c r="H29" i="3"/>
  <c r="E41" i="2"/>
  <c r="E42" i="2" s="1"/>
  <c r="C34" i="2"/>
  <c r="D9" i="13"/>
  <c r="B17" i="13"/>
  <c r="B22" i="12"/>
  <c r="B23" i="12"/>
  <c r="E35" i="8"/>
  <c r="E33" i="8"/>
  <c r="E15" i="12"/>
  <c r="E17" i="12"/>
  <c r="E14" i="12" s="1"/>
  <c r="E58" i="3"/>
  <c r="E59" i="3" s="1"/>
  <c r="E53" i="3"/>
  <c r="E54" i="3" s="1"/>
  <c r="E57" i="3"/>
  <c r="F26" i="12"/>
  <c r="E9" i="12"/>
  <c r="E7" i="12"/>
  <c r="D29" i="2"/>
  <c r="E34" i="2"/>
  <c r="F10" i="12"/>
  <c r="F11" i="12"/>
  <c r="F4" i="13"/>
  <c r="B8" i="13"/>
  <c r="E9" i="13"/>
  <c r="E12" i="13"/>
  <c r="C17" i="13"/>
  <c r="C22" i="12"/>
  <c r="C23" i="12"/>
  <c r="E18" i="13"/>
  <c r="B21" i="13"/>
  <c r="D22" i="13"/>
  <c r="C27" i="13"/>
  <c r="C14" i="10"/>
  <c r="D11" i="10" s="1"/>
  <c r="E28" i="13"/>
  <c r="C32" i="10"/>
  <c r="C32" i="13"/>
  <c r="G39" i="5"/>
  <c r="D18" i="13"/>
  <c r="E23" i="13"/>
  <c r="F70" i="3"/>
  <c r="B27" i="13"/>
  <c r="B14" i="10"/>
  <c r="C11" i="10" s="1"/>
  <c r="F29" i="13"/>
  <c r="F20" i="10"/>
  <c r="G17" i="10" s="1"/>
  <c r="F9" i="12"/>
  <c r="F7" i="12"/>
  <c r="C21" i="13"/>
  <c r="C36" i="6"/>
  <c r="E22" i="13"/>
  <c r="E67" i="3"/>
  <c r="G23" i="3"/>
  <c r="D27" i="13"/>
  <c r="D14" i="10"/>
  <c r="E11" i="10" s="1"/>
  <c r="D32" i="13"/>
  <c r="D32" i="10"/>
  <c r="D15" i="12"/>
  <c r="D17" i="12"/>
  <c r="D14" i="12" s="1"/>
  <c r="D9" i="12"/>
  <c r="D7" i="12"/>
  <c r="B32" i="10"/>
  <c r="B32" i="13"/>
  <c r="B7" i="13"/>
  <c r="D8" i="13"/>
  <c r="G9" i="3"/>
  <c r="H9" i="3" s="1"/>
  <c r="I9" i="3" s="1"/>
  <c r="B20" i="13"/>
  <c r="D21" i="13"/>
  <c r="D36" i="6"/>
  <c r="F22" i="13"/>
  <c r="F67" i="3"/>
  <c r="H23" i="3"/>
  <c r="E27" i="13"/>
  <c r="E14" i="10"/>
  <c r="F11" i="10" s="1"/>
  <c r="G28" i="3"/>
  <c r="B31" i="13"/>
  <c r="B29" i="10"/>
  <c r="C25" i="10" s="1"/>
  <c r="E32" i="13"/>
  <c r="E32" i="10"/>
  <c r="D52" i="3"/>
  <c r="E82" i="3"/>
  <c r="I9" i="8"/>
  <c r="I10" i="8" s="1"/>
  <c r="H9" i="8"/>
  <c r="H10" i="8" s="1"/>
  <c r="G9" i="8"/>
  <c r="G10" i="8" s="1"/>
  <c r="F9" i="8"/>
  <c r="K9" i="8"/>
  <c r="K10" i="8" s="1"/>
  <c r="F23" i="8"/>
  <c r="E24" i="8"/>
  <c r="C33" i="2"/>
  <c r="B8" i="12"/>
  <c r="B4" i="12"/>
  <c r="B26" i="10"/>
  <c r="E33" i="2"/>
  <c r="C7" i="13"/>
  <c r="D83" i="3"/>
  <c r="E8" i="13"/>
  <c r="B14" i="13"/>
  <c r="D15" i="13"/>
  <c r="F23" i="12"/>
  <c r="F22" i="12"/>
  <c r="F17" i="13"/>
  <c r="C20" i="13"/>
  <c r="E21" i="13"/>
  <c r="E36" i="6"/>
  <c r="G22" i="3"/>
  <c r="I23" i="3"/>
  <c r="B8" i="10"/>
  <c r="B26" i="13"/>
  <c r="F27" i="13"/>
  <c r="F14" i="10"/>
  <c r="G11" i="10" s="1"/>
  <c r="C31" i="13"/>
  <c r="C29" i="10"/>
  <c r="D25" i="10" s="1"/>
  <c r="F32" i="13"/>
  <c r="F32" i="10"/>
  <c r="E52" i="3"/>
  <c r="E70" i="3"/>
  <c r="F82" i="3"/>
  <c r="K9" i="6"/>
  <c r="C7" i="12"/>
  <c r="C9" i="12"/>
  <c r="D23" i="13"/>
  <c r="F73" i="5"/>
  <c r="D57" i="3"/>
  <c r="F17" i="12"/>
  <c r="F14" i="12" s="1"/>
  <c r="F53" i="3"/>
  <c r="F54" i="3" s="1"/>
  <c r="F15" i="12"/>
  <c r="C8" i="12"/>
  <c r="C4" i="12"/>
  <c r="C26" i="10"/>
  <c r="F26" i="2"/>
  <c r="B6" i="13"/>
  <c r="D7" i="13"/>
  <c r="E47" i="3"/>
  <c r="C14" i="13"/>
  <c r="E15" i="13"/>
  <c r="D20" i="13"/>
  <c r="F21" i="13"/>
  <c r="J23" i="3"/>
  <c r="C8" i="10"/>
  <c r="C26" i="13"/>
  <c r="G27" i="3"/>
  <c r="D31" i="13"/>
  <c r="D29" i="10"/>
  <c r="E25" i="10" s="1"/>
  <c r="C47" i="3"/>
  <c r="F52" i="3"/>
  <c r="G52" i="3" s="1"/>
  <c r="G82" i="3"/>
  <c r="D81" i="5"/>
  <c r="G66" i="8"/>
  <c r="G64" i="8"/>
  <c r="H64" i="8" s="1"/>
  <c r="D28" i="13"/>
  <c r="D22" i="12"/>
  <c r="D23" i="12"/>
  <c r="D17" i="13"/>
  <c r="D8" i="12"/>
  <c r="D4" i="12"/>
  <c r="D26" i="10"/>
  <c r="C6" i="13"/>
  <c r="E7" i="13"/>
  <c r="F47" i="3"/>
  <c r="G47" i="3" s="1"/>
  <c r="H47" i="3" s="1"/>
  <c r="I47" i="3" s="1"/>
  <c r="J47" i="3" s="1"/>
  <c r="K47" i="3" s="1"/>
  <c r="C11" i="13"/>
  <c r="D14" i="13"/>
  <c r="F15" i="13"/>
  <c r="B19" i="13"/>
  <c r="E20" i="13"/>
  <c r="K23" i="3"/>
  <c r="D8" i="10"/>
  <c r="D26" i="13"/>
  <c r="B30" i="13"/>
  <c r="E31" i="13"/>
  <c r="E29" i="10"/>
  <c r="F25" i="10" s="1"/>
  <c r="D47" i="3"/>
  <c r="D58" i="3"/>
  <c r="D59" i="3" s="1"/>
  <c r="F64" i="3"/>
  <c r="B29" i="6"/>
  <c r="C83" i="3"/>
  <c r="F11" i="8"/>
  <c r="H127" i="8"/>
  <c r="C18" i="13"/>
  <c r="D82" i="3"/>
  <c r="F24" i="12"/>
  <c r="F25" i="12"/>
  <c r="F25" i="13"/>
  <c r="F62" i="5"/>
  <c r="F42" i="5"/>
  <c r="F43" i="5" s="1"/>
  <c r="E10" i="12"/>
  <c r="E11" i="12"/>
  <c r="E4" i="13"/>
  <c r="E8" i="12"/>
  <c r="E4" i="12"/>
  <c r="E26" i="10"/>
  <c r="B21" i="12"/>
  <c r="B5" i="13"/>
  <c r="B20" i="12"/>
  <c r="B19" i="12"/>
  <c r="B10" i="13"/>
  <c r="D11" i="13"/>
  <c r="B13" i="13"/>
  <c r="E14" i="13"/>
  <c r="G15" i="3"/>
  <c r="C19" i="13"/>
  <c r="C64" i="3"/>
  <c r="C63" i="3" s="1"/>
  <c r="C35" i="6"/>
  <c r="F20" i="13"/>
  <c r="B25" i="13"/>
  <c r="B24" i="12"/>
  <c r="B25" i="12"/>
  <c r="E8" i="10"/>
  <c r="E26" i="13"/>
  <c r="C30" i="13"/>
  <c r="F29" i="10"/>
  <c r="G25" i="10" s="1"/>
  <c r="F31" i="13"/>
  <c r="F58" i="3"/>
  <c r="F59" i="3" s="1"/>
  <c r="E83" i="3"/>
  <c r="D55" i="5"/>
  <c r="C55" i="5"/>
  <c r="B42" i="5"/>
  <c r="C43" i="5" s="1"/>
  <c r="C40" i="5" s="1"/>
  <c r="C78" i="5" s="1"/>
  <c r="B73" i="5"/>
  <c r="G16" i="6"/>
  <c r="F19" i="12"/>
  <c r="F20" i="12"/>
  <c r="F5" i="13"/>
  <c r="F21" i="12"/>
  <c r="C21" i="12"/>
  <c r="C5" i="13"/>
  <c r="C20" i="12"/>
  <c r="C19" i="12"/>
  <c r="E6" i="13"/>
  <c r="E11" i="13"/>
  <c r="F14" i="13"/>
  <c r="D19" i="13"/>
  <c r="D64" i="3"/>
  <c r="D63" i="3" s="1"/>
  <c r="G20" i="3"/>
  <c r="C25" i="13"/>
  <c r="C24" i="12"/>
  <c r="C25" i="12"/>
  <c r="F8" i="10"/>
  <c r="F26" i="13"/>
  <c r="G33" i="6"/>
  <c r="B20" i="10"/>
  <c r="C17" i="10" s="1"/>
  <c r="B29" i="13"/>
  <c r="D30" i="13"/>
  <c r="F83" i="3"/>
  <c r="C52" i="5"/>
  <c r="C82" i="5" s="1"/>
  <c r="C73" i="5"/>
  <c r="C16" i="5"/>
  <c r="C15" i="12"/>
  <c r="C17" i="12"/>
  <c r="C14" i="12" s="1"/>
  <c r="C58" i="3"/>
  <c r="C59" i="3" s="1"/>
  <c r="C52" i="3"/>
  <c r="D10" i="12"/>
  <c r="D11" i="12"/>
  <c r="D4" i="13"/>
  <c r="D12" i="13"/>
  <c r="C22" i="13"/>
  <c r="C67" i="3"/>
  <c r="C6" i="2"/>
  <c r="B4" i="13"/>
  <c r="B10" i="12"/>
  <c r="B11" i="12"/>
  <c r="D5" i="13"/>
  <c r="D19" i="12"/>
  <c r="D21" i="12"/>
  <c r="D20" i="12"/>
  <c r="D10" i="13"/>
  <c r="D13" i="13"/>
  <c r="E19" i="13"/>
  <c r="E64" i="3"/>
  <c r="E63" i="3" s="1"/>
  <c r="E35" i="6"/>
  <c r="B23" i="13"/>
  <c r="D25" i="13"/>
  <c r="D24" i="12"/>
  <c r="D25" i="12"/>
  <c r="H33" i="6"/>
  <c r="C20" i="10"/>
  <c r="D17" i="10" s="1"/>
  <c r="C29" i="13"/>
  <c r="E30" i="13"/>
  <c r="E73" i="3"/>
  <c r="E29" i="6"/>
  <c r="D35" i="6"/>
  <c r="F4" i="12"/>
  <c r="F26" i="10"/>
  <c r="F8" i="12"/>
  <c r="B15" i="12"/>
  <c r="B17" i="12"/>
  <c r="B14" i="12" s="1"/>
  <c r="D6" i="2"/>
  <c r="B7" i="12"/>
  <c r="B9" i="12"/>
  <c r="C4" i="13"/>
  <c r="C10" i="12"/>
  <c r="C11" i="12"/>
  <c r="E5" i="13"/>
  <c r="E19" i="12"/>
  <c r="E21" i="12"/>
  <c r="E20" i="12"/>
  <c r="G6" i="3"/>
  <c r="B9" i="13"/>
  <c r="E10" i="13"/>
  <c r="B12" i="13"/>
  <c r="E13" i="13"/>
  <c r="H14" i="3"/>
  <c r="B18" i="13"/>
  <c r="F19" i="13"/>
  <c r="F35" i="6"/>
  <c r="C23" i="13"/>
  <c r="E25" i="13"/>
  <c r="E24" i="12"/>
  <c r="E25" i="12"/>
  <c r="I26" i="3"/>
  <c r="B28" i="13"/>
  <c r="D20" i="10"/>
  <c r="E17" i="10" s="1"/>
  <c r="D29" i="13"/>
  <c r="F30" i="13"/>
  <c r="G30" i="3"/>
  <c r="H30" i="3" s="1"/>
  <c r="I30" i="3" s="1"/>
  <c r="J30" i="3" s="1"/>
  <c r="K30" i="3" s="1"/>
  <c r="C53" i="3"/>
  <c r="C54" i="3" s="1"/>
  <c r="C73" i="3"/>
  <c r="C83" i="5"/>
  <c r="D52" i="5"/>
  <c r="D82" i="5" s="1"/>
  <c r="D83" i="5"/>
  <c r="E73" i="5"/>
  <c r="E83" i="5"/>
  <c r="D29" i="6"/>
  <c r="F16" i="8"/>
  <c r="F17" i="8" s="1"/>
  <c r="F43" i="8"/>
  <c r="I45" i="8" s="1"/>
  <c r="I46" i="8" s="1"/>
  <c r="J75" i="8"/>
  <c r="G80" i="8"/>
  <c r="H2" i="9"/>
  <c r="G2" i="4" s="1"/>
  <c r="E52" i="5"/>
  <c r="E82" i="5" s="1"/>
  <c r="I107" i="8"/>
  <c r="J108" i="8"/>
  <c r="E128" i="8"/>
  <c r="D62" i="5"/>
  <c r="G25" i="8"/>
  <c r="E62" i="5"/>
  <c r="E38" i="8"/>
  <c r="E36" i="8"/>
  <c r="J128" i="8"/>
  <c r="D6" i="13"/>
  <c r="F7" i="13"/>
  <c r="B11" i="13"/>
  <c r="C15" i="13"/>
  <c r="E22" i="12"/>
  <c r="E23" i="12"/>
  <c r="E17" i="13"/>
  <c r="F23" i="13"/>
  <c r="C28" i="13"/>
  <c r="E29" i="13"/>
  <c r="E20" i="10"/>
  <c r="F17" i="10" s="1"/>
  <c r="G3" i="4"/>
  <c r="C60" i="5"/>
  <c r="C41" i="5" s="1"/>
  <c r="C44" i="5" s="1"/>
  <c r="D38" i="5" s="1"/>
  <c r="C62" i="5"/>
  <c r="E29" i="8"/>
  <c r="G62" i="8"/>
  <c r="H124" i="8"/>
  <c r="D124" i="8"/>
  <c r="D128" i="8"/>
  <c r="G75" i="8"/>
  <c r="G73" i="8"/>
  <c r="I126" i="8"/>
  <c r="K15" i="5"/>
  <c r="I15" i="5"/>
  <c r="D57" i="5"/>
  <c r="E127" i="8"/>
  <c r="E124" i="8"/>
  <c r="F47" i="8"/>
  <c r="K91" i="8"/>
  <c r="K93" i="8"/>
  <c r="G15" i="5"/>
  <c r="I101" i="8"/>
  <c r="I102" i="8" s="1"/>
  <c r="H101" i="8"/>
  <c r="H102" i="8" s="1"/>
  <c r="H92" i="8"/>
  <c r="H93" i="8" s="1"/>
  <c r="I115" i="8"/>
  <c r="D127" i="8"/>
  <c r="H14" i="11"/>
  <c r="H55" i="11" s="1"/>
  <c r="G10" i="11"/>
  <c r="G52" i="11" s="1"/>
  <c r="J15" i="11"/>
  <c r="K19" i="11"/>
  <c r="K16" i="11"/>
  <c r="K41" i="11"/>
  <c r="K44" i="11"/>
  <c r="I14" i="11"/>
  <c r="I55" i="11" s="1"/>
  <c r="H10" i="11"/>
  <c r="H52" i="11" s="1"/>
  <c r="K34" i="11"/>
  <c r="K31" i="11"/>
  <c r="G55" i="11"/>
  <c r="J14" i="11"/>
  <c r="O12" i="11"/>
  <c r="N12" i="11"/>
  <c r="M12" i="11"/>
  <c r="L12" i="11"/>
  <c r="H12" i="11"/>
  <c r="K50" i="11"/>
  <c r="L50" i="11" s="1"/>
  <c r="M50" i="11" s="1"/>
  <c r="N50" i="11" s="1"/>
  <c r="E52" i="11"/>
  <c r="I12" i="11"/>
  <c r="F52" i="11"/>
  <c r="J12" i="11"/>
  <c r="J11" i="11" s="1"/>
  <c r="O22" i="11"/>
  <c r="C130" i="8"/>
  <c r="F131" i="8"/>
  <c r="C134" i="8"/>
  <c r="D130" i="8"/>
  <c r="K8" i="11"/>
  <c r="K6" i="11"/>
  <c r="K5" i="11" s="1"/>
  <c r="F130" i="8"/>
  <c r="H81" i="8" l="1"/>
  <c r="H84" i="8" s="1"/>
  <c r="K39" i="11"/>
  <c r="E39" i="6"/>
  <c r="F44" i="5"/>
  <c r="G38" i="5" s="1"/>
  <c r="D40" i="5"/>
  <c r="D78" i="5" s="1"/>
  <c r="E72" i="5"/>
  <c r="H52" i="3"/>
  <c r="I52" i="3" s="1"/>
  <c r="J52" i="3" s="1"/>
  <c r="L24" i="11"/>
  <c r="L21" i="11"/>
  <c r="M21" i="11" s="1"/>
  <c r="J55" i="11"/>
  <c r="G40" i="2" s="1"/>
  <c r="G9" i="2" s="1"/>
  <c r="F39" i="6"/>
  <c r="H29" i="5"/>
  <c r="H35" i="5" s="1"/>
  <c r="I29" i="5" s="1"/>
  <c r="I35" i="5" s="1"/>
  <c r="G13" i="3"/>
  <c r="F74" i="5"/>
  <c r="F76" i="5"/>
  <c r="E40" i="5"/>
  <c r="E78" i="5" s="1"/>
  <c r="G110" i="8"/>
  <c r="D39" i="6"/>
  <c r="I17" i="2"/>
  <c r="J17" i="2" s="1"/>
  <c r="G18" i="8"/>
  <c r="G19" i="8" s="1"/>
  <c r="C72" i="5"/>
  <c r="D72" i="5"/>
  <c r="F82" i="5"/>
  <c r="F84" i="5"/>
  <c r="B9" i="5" s="1"/>
  <c r="B10" i="5" s="1"/>
  <c r="F71" i="5"/>
  <c r="F72" i="5"/>
  <c r="K25" i="11"/>
  <c r="K29" i="11"/>
  <c r="L26" i="11"/>
  <c r="F13" i="5"/>
  <c r="E13" i="5"/>
  <c r="F37" i="8"/>
  <c r="G36" i="8" s="1"/>
  <c r="G37" i="8" s="1"/>
  <c r="I109" i="8"/>
  <c r="J109" i="8" s="1"/>
  <c r="K109" i="8" s="1"/>
  <c r="H110" i="8"/>
  <c r="H54" i="8"/>
  <c r="H55" i="8" s="1"/>
  <c r="G54" i="8"/>
  <c r="G55" i="8" s="1"/>
  <c r="K54" i="8"/>
  <c r="K55" i="8" s="1"/>
  <c r="F18" i="8"/>
  <c r="J54" i="8"/>
  <c r="J55" i="8" s="1"/>
  <c r="I54" i="8"/>
  <c r="I55" i="8" s="1"/>
  <c r="F54" i="8"/>
  <c r="G29" i="2"/>
  <c r="H29" i="2" s="1"/>
  <c r="I29" i="2" s="1"/>
  <c r="D16" i="12"/>
  <c r="E16" i="12"/>
  <c r="C16" i="12"/>
  <c r="C39" i="6"/>
  <c r="B16" i="12"/>
  <c r="G53" i="11"/>
  <c r="G54" i="11" s="1"/>
  <c r="L6" i="11"/>
  <c r="L5" i="11" s="1"/>
  <c r="L8" i="11"/>
  <c r="K3" i="11"/>
  <c r="G122" i="8"/>
  <c r="G119" i="8"/>
  <c r="G118" i="8"/>
  <c r="G121" i="8"/>
  <c r="K14" i="11"/>
  <c r="J10" i="11"/>
  <c r="J52" i="11" s="1"/>
  <c r="K11" i="11"/>
  <c r="L41" i="11"/>
  <c r="L44" i="11"/>
  <c r="K15" i="11"/>
  <c r="L19" i="11"/>
  <c r="L16" i="11"/>
  <c r="I124" i="8"/>
  <c r="F44" i="8"/>
  <c r="J45" i="8"/>
  <c r="J46" i="8" s="1"/>
  <c r="G45" i="8"/>
  <c r="G46" i="8" s="1"/>
  <c r="I14" i="3"/>
  <c r="J82" i="8"/>
  <c r="I81" i="8"/>
  <c r="I84" i="8" s="1"/>
  <c r="H63" i="8"/>
  <c r="I64" i="8"/>
  <c r="D4" i="10"/>
  <c r="D5" i="10" s="1"/>
  <c r="C2" i="10"/>
  <c r="C6" i="12"/>
  <c r="C5" i="12"/>
  <c r="H17" i="6"/>
  <c r="K24" i="8"/>
  <c r="K29" i="8" s="1"/>
  <c r="J24" i="8"/>
  <c r="J29" i="8" s="1"/>
  <c r="I24" i="8"/>
  <c r="I29" i="8" s="1"/>
  <c r="H24" i="8"/>
  <c r="H29" i="8" s="1"/>
  <c r="F24" i="8"/>
  <c r="G24" i="8"/>
  <c r="G29" i="8" s="1"/>
  <c r="J9" i="3"/>
  <c r="K9" i="3" s="1"/>
  <c r="G17" i="6"/>
  <c r="F53" i="11"/>
  <c r="F54" i="11" s="1"/>
  <c r="E53" i="11"/>
  <c r="E54" i="11" s="1"/>
  <c r="K108" i="8"/>
  <c r="K107" i="8" s="1"/>
  <c r="J107" i="8"/>
  <c r="D76" i="5"/>
  <c r="D74" i="5"/>
  <c r="D7" i="5"/>
  <c r="D17" i="5" s="1"/>
  <c r="D84" i="5"/>
  <c r="G48" i="3"/>
  <c r="G49" i="3" s="1"/>
  <c r="G13" i="12" s="1"/>
  <c r="B2" i="10"/>
  <c r="C4" i="10"/>
  <c r="G62" i="3"/>
  <c r="F63" i="3"/>
  <c r="K128" i="8"/>
  <c r="H18" i="8"/>
  <c r="H19" i="8" s="1"/>
  <c r="G8" i="10"/>
  <c r="G4" i="10"/>
  <c r="F2" i="10"/>
  <c r="G76" i="8"/>
  <c r="J126" i="8"/>
  <c r="K45" i="8"/>
  <c r="K46" i="8" s="1"/>
  <c r="F45" i="8"/>
  <c r="J18" i="8"/>
  <c r="J19" i="8" s="1"/>
  <c r="E5" i="12"/>
  <c r="E6" i="12"/>
  <c r="H22" i="3"/>
  <c r="H28" i="3"/>
  <c r="I18" i="8"/>
  <c r="I19" i="8" s="1"/>
  <c r="I33" i="6"/>
  <c r="J26" i="3"/>
  <c r="D3" i="12"/>
  <c r="D26" i="2"/>
  <c r="K18" i="8"/>
  <c r="K19" i="8" s="1"/>
  <c r="G25" i="6"/>
  <c r="H15" i="3"/>
  <c r="I127" i="8"/>
  <c r="F16" i="12"/>
  <c r="G33" i="2"/>
  <c r="H33" i="2" s="1"/>
  <c r="H42" i="2"/>
  <c r="E76" i="5"/>
  <c r="E84" i="5"/>
  <c r="E7" i="5"/>
  <c r="E17" i="5" s="1"/>
  <c r="E74" i="5"/>
  <c r="G27" i="6"/>
  <c r="H6" i="3"/>
  <c r="C76" i="5"/>
  <c r="C74" i="5"/>
  <c r="C7" i="5"/>
  <c r="C17" i="5" s="1"/>
  <c r="C84" i="5"/>
  <c r="D5" i="12"/>
  <c r="D6" i="12"/>
  <c r="E26" i="2"/>
  <c r="H20" i="10"/>
  <c r="I17" i="10" s="1"/>
  <c r="I29" i="3"/>
  <c r="L34" i="11"/>
  <c r="L31" i="11"/>
  <c r="K30" i="11"/>
  <c r="H53" i="11"/>
  <c r="H54" i="11" s="1"/>
  <c r="F17" i="5"/>
  <c r="B11" i="5"/>
  <c r="H20" i="3"/>
  <c r="E4" i="10"/>
  <c r="D2" i="10"/>
  <c r="I17" i="6"/>
  <c r="I19" i="2"/>
  <c r="J19" i="2" s="1"/>
  <c r="L39" i="11"/>
  <c r="L36" i="11"/>
  <c r="B6" i="12"/>
  <c r="B5" i="12"/>
  <c r="H8" i="9"/>
  <c r="F4" i="10"/>
  <c r="E2" i="10"/>
  <c r="H39" i="5"/>
  <c r="J115" i="8"/>
  <c r="K115" i="8" s="1"/>
  <c r="F5" i="12"/>
  <c r="F6" i="12"/>
  <c r="F40" i="5"/>
  <c r="F8" i="5"/>
  <c r="G4" i="5" s="1"/>
  <c r="H45" i="8"/>
  <c r="H46" i="8" s="1"/>
  <c r="C3" i="12"/>
  <c r="C26" i="2"/>
  <c r="G14" i="10"/>
  <c r="H11" i="10" s="1"/>
  <c r="H27" i="3"/>
  <c r="J37" i="2"/>
  <c r="K37" i="2" s="1"/>
  <c r="H36" i="8" l="1"/>
  <c r="H37" i="8" s="1"/>
  <c r="F38" i="8"/>
  <c r="H13" i="3"/>
  <c r="M24" i="11"/>
  <c r="L20" i="11"/>
  <c r="K52" i="3"/>
  <c r="K36" i="8"/>
  <c r="K37" i="8" s="1"/>
  <c r="K55" i="11"/>
  <c r="H40" i="2" s="1"/>
  <c r="H9" i="2" s="1"/>
  <c r="K17" i="2"/>
  <c r="I110" i="8"/>
  <c r="J110" i="8"/>
  <c r="I36" i="8"/>
  <c r="I37" i="8" s="1"/>
  <c r="F36" i="8"/>
  <c r="J36" i="8"/>
  <c r="J37" i="8" s="1"/>
  <c r="H23" i="5"/>
  <c r="K22" i="5"/>
  <c r="J20" i="5"/>
  <c r="I22" i="5"/>
  <c r="K21" i="5"/>
  <c r="I24" i="5"/>
  <c r="J21" i="5"/>
  <c r="J22" i="5"/>
  <c r="K24" i="5"/>
  <c r="H22" i="5"/>
  <c r="I21" i="5"/>
  <c r="G22" i="5"/>
  <c r="J24" i="5"/>
  <c r="I20" i="5"/>
  <c r="H21" i="5"/>
  <c r="J23" i="5"/>
  <c r="H24" i="5"/>
  <c r="G21" i="5"/>
  <c r="H20" i="5"/>
  <c r="I23" i="5"/>
  <c r="K23" i="5"/>
  <c r="K20" i="5"/>
  <c r="G20" i="5"/>
  <c r="M26" i="11"/>
  <c r="L25" i="11"/>
  <c r="L29" i="11"/>
  <c r="J29" i="2"/>
  <c r="K29" i="2" s="1"/>
  <c r="K19" i="2"/>
  <c r="M6" i="11"/>
  <c r="M5" i="11" s="1"/>
  <c r="M8" i="11"/>
  <c r="L3" i="11"/>
  <c r="H14" i="10"/>
  <c r="I11" i="10" s="1"/>
  <c r="I27" i="3"/>
  <c r="N21" i="11"/>
  <c r="N24" i="11"/>
  <c r="M20" i="11"/>
  <c r="I20" i="3"/>
  <c r="K26" i="3"/>
  <c r="J33" i="6"/>
  <c r="M19" i="11"/>
  <c r="M16" i="11"/>
  <c r="L15" i="11"/>
  <c r="I22" i="3"/>
  <c r="G30" i="10"/>
  <c r="G37" i="6" s="1"/>
  <c r="H8" i="10"/>
  <c r="H4" i="10"/>
  <c r="M39" i="11"/>
  <c r="M36" i="11"/>
  <c r="J64" i="8"/>
  <c r="I63" i="8"/>
  <c r="H66" i="8"/>
  <c r="I39" i="5"/>
  <c r="J39" i="5" s="1"/>
  <c r="G12" i="5"/>
  <c r="G13" i="5" s="1"/>
  <c r="G17" i="5" s="1"/>
  <c r="H27" i="6"/>
  <c r="I6" i="3"/>
  <c r="J81" i="8"/>
  <c r="J84" i="8" s="1"/>
  <c r="K82" i="8"/>
  <c r="K81" i="8" s="1"/>
  <c r="K84" i="8" s="1"/>
  <c r="F25" i="8"/>
  <c r="F26" i="8" s="1"/>
  <c r="F28" i="8"/>
  <c r="I20" i="10"/>
  <c r="J17" i="10" s="1"/>
  <c r="J29" i="3"/>
  <c r="J29" i="5"/>
  <c r="J35" i="5" s="1"/>
  <c r="I13" i="3"/>
  <c r="K17" i="6"/>
  <c r="J14" i="3"/>
  <c r="H25" i="6"/>
  <c r="I15" i="3"/>
  <c r="H48" i="3"/>
  <c r="H49" i="3" s="1"/>
  <c r="H13" i="12" s="1"/>
  <c r="M44" i="11"/>
  <c r="M41" i="11"/>
  <c r="I33" i="2"/>
  <c r="J127" i="8"/>
  <c r="K110" i="8"/>
  <c r="G30" i="6"/>
  <c r="B41" i="4"/>
  <c r="G63" i="3"/>
  <c r="G64" i="3" s="1"/>
  <c r="J17" i="6"/>
  <c r="K10" i="11"/>
  <c r="K52" i="11" s="1"/>
  <c r="J53" i="11" s="1"/>
  <c r="J54" i="11" s="1"/>
  <c r="L11" i="11"/>
  <c r="L14" i="11"/>
  <c r="K126" i="8"/>
  <c r="G8" i="4"/>
  <c r="G53" i="3"/>
  <c r="G54" i="3" s="1"/>
  <c r="G14" i="12" s="1"/>
  <c r="M34" i="11"/>
  <c r="M31" i="11"/>
  <c r="L30" i="11"/>
  <c r="J124" i="8"/>
  <c r="G21" i="3"/>
  <c r="I53" i="11"/>
  <c r="I54" i="11" s="1"/>
  <c r="G85" i="8"/>
  <c r="G11" i="6"/>
  <c r="G18" i="6"/>
  <c r="F78" i="5"/>
  <c r="G40" i="5"/>
  <c r="I42" i="2"/>
  <c r="I28" i="3"/>
  <c r="G67" i="8"/>
  <c r="L55" i="11" l="1"/>
  <c r="I40" i="2" s="1"/>
  <c r="I9" i="2" s="1"/>
  <c r="K25" i="5"/>
  <c r="H12" i="5"/>
  <c r="H13" i="5" s="1"/>
  <c r="H17" i="5" s="1"/>
  <c r="G25" i="5"/>
  <c r="G26" i="5" s="1"/>
  <c r="G7" i="5" s="1"/>
  <c r="M25" i="11"/>
  <c r="M29" i="11"/>
  <c r="N26" i="11"/>
  <c r="H25" i="5"/>
  <c r="J25" i="5"/>
  <c r="I25" i="5"/>
  <c r="H62" i="3"/>
  <c r="G19" i="3"/>
  <c r="G16" i="5"/>
  <c r="K29" i="5"/>
  <c r="K35" i="5" s="1"/>
  <c r="K13" i="3" s="1"/>
  <c r="J13" i="3"/>
  <c r="K8" i="10"/>
  <c r="I8" i="10"/>
  <c r="H30" i="10"/>
  <c r="H37" i="6" s="1"/>
  <c r="J8" i="10"/>
  <c r="I4" i="10"/>
  <c r="N8" i="11"/>
  <c r="M3" i="11"/>
  <c r="N6" i="11"/>
  <c r="N5" i="11" s="1"/>
  <c r="J28" i="3"/>
  <c r="N44" i="11"/>
  <c r="N41" i="11"/>
  <c r="O44" i="11" s="1"/>
  <c r="K33" i="6"/>
  <c r="G27" i="8"/>
  <c r="G28" i="8" s="1"/>
  <c r="F27" i="8"/>
  <c r="F29" i="8"/>
  <c r="J27" i="8"/>
  <c r="J28" i="8" s="1"/>
  <c r="I27" i="8"/>
  <c r="I28" i="8" s="1"/>
  <c r="K27" i="8"/>
  <c r="K28" i="8" s="1"/>
  <c r="H27" i="8"/>
  <c r="H28" i="8" s="1"/>
  <c r="J20" i="3"/>
  <c r="H21" i="3"/>
  <c r="H122" i="8"/>
  <c r="H119" i="8"/>
  <c r="H118" i="8"/>
  <c r="H121" i="8"/>
  <c r="J22" i="3"/>
  <c r="N34" i="11"/>
  <c r="N31" i="11"/>
  <c r="M30" i="11"/>
  <c r="H30" i="6"/>
  <c r="C41" i="4"/>
  <c r="I53" i="3"/>
  <c r="I54" i="3" s="1"/>
  <c r="I14" i="12" s="1"/>
  <c r="G36" i="6"/>
  <c r="J42" i="2"/>
  <c r="K124" i="8"/>
  <c r="J53" i="3"/>
  <c r="J54" i="3" s="1"/>
  <c r="J14" i="12" s="1"/>
  <c r="H53" i="3"/>
  <c r="H54" i="3" s="1"/>
  <c r="H14" i="12" s="1"/>
  <c r="I66" i="8"/>
  <c r="K127" i="8"/>
  <c r="H11" i="6"/>
  <c r="H18" i="6"/>
  <c r="H40" i="5"/>
  <c r="G42" i="5"/>
  <c r="L10" i="11"/>
  <c r="L52" i="11" s="1"/>
  <c r="M11" i="11"/>
  <c r="M14" i="11"/>
  <c r="K14" i="3"/>
  <c r="J20" i="10"/>
  <c r="K17" i="10" s="1"/>
  <c r="K29" i="3"/>
  <c r="I27" i="6"/>
  <c r="J6" i="3"/>
  <c r="K64" i="8"/>
  <c r="K63" i="8" s="1"/>
  <c r="J63" i="8"/>
  <c r="O24" i="11"/>
  <c r="N20" i="11"/>
  <c r="O21" i="11"/>
  <c r="O20" i="11" s="1"/>
  <c r="I14" i="10"/>
  <c r="J11" i="10" s="1"/>
  <c r="J27" i="3"/>
  <c r="J33" i="2"/>
  <c r="I48" i="3"/>
  <c r="I49" i="3" s="1"/>
  <c r="I13" i="12" s="1"/>
  <c r="H67" i="8"/>
  <c r="I25" i="6"/>
  <c r="J15" i="3"/>
  <c r="N39" i="11"/>
  <c r="N36" i="11"/>
  <c r="N19" i="11"/>
  <c r="N16" i="11"/>
  <c r="M15" i="11"/>
  <c r="K39" i="5"/>
  <c r="H26" i="5" l="1"/>
  <c r="H7" i="5" s="1"/>
  <c r="H120" i="8" s="1"/>
  <c r="H5" i="2" s="1"/>
  <c r="I12" i="5"/>
  <c r="J12" i="5" s="1"/>
  <c r="M55" i="11"/>
  <c r="J40" i="2" s="1"/>
  <c r="J9" i="2" s="1"/>
  <c r="H16" i="5"/>
  <c r="N29" i="11"/>
  <c r="O26" i="11"/>
  <c r="N25" i="11"/>
  <c r="K53" i="3"/>
  <c r="K54" i="3" s="1"/>
  <c r="K14" i="12" s="1"/>
  <c r="I21" i="3"/>
  <c r="K53" i="11"/>
  <c r="K54" i="11" s="1"/>
  <c r="N3" i="11"/>
  <c r="O8" i="11"/>
  <c r="O6" i="11"/>
  <c r="O5" i="11" s="1"/>
  <c r="O3" i="11" s="1"/>
  <c r="J66" i="8"/>
  <c r="K4" i="10"/>
  <c r="J30" i="10"/>
  <c r="J37" i="6" s="1"/>
  <c r="I119" i="8"/>
  <c r="I122" i="8"/>
  <c r="I121" i="8"/>
  <c r="I118" i="8"/>
  <c r="H76" i="8"/>
  <c r="H94" i="8"/>
  <c r="H103" i="8"/>
  <c r="H85" i="8"/>
  <c r="K66" i="8"/>
  <c r="H11" i="8"/>
  <c r="K20" i="3"/>
  <c r="J48" i="3"/>
  <c r="J49" i="3" s="1"/>
  <c r="J13" i="12" s="1"/>
  <c r="K11" i="8"/>
  <c r="J4" i="10"/>
  <c r="I30" i="10"/>
  <c r="I37" i="6" s="1"/>
  <c r="I18" i="6"/>
  <c r="I11" i="6"/>
  <c r="I67" i="8"/>
  <c r="I40" i="5"/>
  <c r="H42" i="5"/>
  <c r="I11" i="8"/>
  <c r="K28" i="3"/>
  <c r="K30" i="10"/>
  <c r="K37" i="6" s="1"/>
  <c r="K22" i="3"/>
  <c r="J11" i="8"/>
  <c r="G120" i="8"/>
  <c r="G8" i="5"/>
  <c r="I30" i="6"/>
  <c r="D41" i="4"/>
  <c r="M10" i="11"/>
  <c r="M52" i="11" s="1"/>
  <c r="N11" i="11"/>
  <c r="N14" i="11"/>
  <c r="G43" i="5"/>
  <c r="G44" i="5"/>
  <c r="H80" i="8"/>
  <c r="H62" i="8"/>
  <c r="H71" i="8"/>
  <c r="H36" i="6"/>
  <c r="K33" i="2"/>
  <c r="J27" i="6"/>
  <c r="K6" i="3"/>
  <c r="O16" i="11"/>
  <c r="O15" i="11" s="1"/>
  <c r="O19" i="11"/>
  <c r="N15" i="11"/>
  <c r="K42" i="2"/>
  <c r="O39" i="11"/>
  <c r="O36" i="11"/>
  <c r="J14" i="10"/>
  <c r="K11" i="10" s="1"/>
  <c r="K27" i="3"/>
  <c r="O31" i="11"/>
  <c r="O34" i="11"/>
  <c r="G11" i="8"/>
  <c r="G35" i="6"/>
  <c r="G40" i="6" s="1"/>
  <c r="G17" i="3"/>
  <c r="K20" i="10"/>
  <c r="J25" i="6"/>
  <c r="K15" i="3"/>
  <c r="H63" i="3"/>
  <c r="H64" i="3" s="1"/>
  <c r="H7" i="6" l="1"/>
  <c r="C39" i="4" s="1"/>
  <c r="H117" i="8"/>
  <c r="H134" i="8" s="1"/>
  <c r="I13" i="5"/>
  <c r="I17" i="5" s="1"/>
  <c r="I26" i="5" s="1"/>
  <c r="I7" i="5" s="1"/>
  <c r="I120" i="8" s="1"/>
  <c r="N55" i="11"/>
  <c r="K40" i="2" s="1"/>
  <c r="K9" i="2" s="1"/>
  <c r="O25" i="11"/>
  <c r="O29" i="11"/>
  <c r="H133" i="8"/>
  <c r="H132" i="8"/>
  <c r="J21" i="3"/>
  <c r="L53" i="11"/>
  <c r="L54" i="11" s="1"/>
  <c r="I62" i="3"/>
  <c r="H19" i="3"/>
  <c r="H43" i="5"/>
  <c r="H44" i="5"/>
  <c r="I42" i="5"/>
  <c r="J40" i="5"/>
  <c r="H8" i="3"/>
  <c r="K122" i="8"/>
  <c r="K119" i="8"/>
  <c r="K27" i="6"/>
  <c r="K121" i="8"/>
  <c r="I94" i="8"/>
  <c r="I76" i="8"/>
  <c r="I103" i="8"/>
  <c r="I85" i="8"/>
  <c r="H4" i="2"/>
  <c r="H24" i="2"/>
  <c r="K14" i="10"/>
  <c r="H125" i="8"/>
  <c r="I36" i="6"/>
  <c r="O117" i="8"/>
  <c r="K48" i="3"/>
  <c r="K49" i="3" s="1"/>
  <c r="K13" i="12" s="1"/>
  <c r="K25" i="6"/>
  <c r="J122" i="8"/>
  <c r="J119" i="8"/>
  <c r="J121" i="8"/>
  <c r="J118" i="8"/>
  <c r="N10" i="11"/>
  <c r="N52" i="11" s="1"/>
  <c r="O11" i="11"/>
  <c r="O10" i="11" s="1"/>
  <c r="O14" i="11"/>
  <c r="H38" i="5"/>
  <c r="G12" i="3"/>
  <c r="G24" i="2"/>
  <c r="G4" i="2"/>
  <c r="G125" i="8"/>
  <c r="G10" i="3"/>
  <c r="H4" i="5"/>
  <c r="H8" i="5" s="1"/>
  <c r="J30" i="6"/>
  <c r="E41" i="4"/>
  <c r="K118" i="8"/>
  <c r="J13" i="5"/>
  <c r="K12" i="5"/>
  <c r="K13" i="5" s="1"/>
  <c r="G7" i="6"/>
  <c r="B39" i="4" s="1"/>
  <c r="G117" i="8"/>
  <c r="H25" i="2" s="1"/>
  <c r="G5" i="2"/>
  <c r="K67" i="8"/>
  <c r="I62" i="8"/>
  <c r="I71" i="8"/>
  <c r="I80" i="8"/>
  <c r="J11" i="6"/>
  <c r="J18" i="6"/>
  <c r="H130" i="8" l="1"/>
  <c r="H131" i="8"/>
  <c r="I16" i="5"/>
  <c r="J17" i="5"/>
  <c r="J26" i="5" s="1"/>
  <c r="J7" i="5" s="1"/>
  <c r="J120" i="8" s="1"/>
  <c r="O55" i="11"/>
  <c r="K17" i="5"/>
  <c r="K26" i="5" s="1"/>
  <c r="O52" i="11"/>
  <c r="O54" i="11" s="1"/>
  <c r="G132" i="8"/>
  <c r="K21" i="3"/>
  <c r="M53" i="11"/>
  <c r="M54" i="11" s="1"/>
  <c r="H6" i="2"/>
  <c r="H10" i="2"/>
  <c r="H36" i="2"/>
  <c r="H7" i="2" s="1"/>
  <c r="H11" i="2"/>
  <c r="H41" i="2"/>
  <c r="H39" i="2" s="1"/>
  <c r="H8" i="2" s="1"/>
  <c r="H7" i="3"/>
  <c r="H35" i="6"/>
  <c r="H40" i="6" s="1"/>
  <c r="I38" i="5"/>
  <c r="H12" i="3"/>
  <c r="I63" i="3"/>
  <c r="I64" i="3" s="1"/>
  <c r="I7" i="6"/>
  <c r="D39" i="4" s="1"/>
  <c r="J7" i="6"/>
  <c r="E39" i="4" s="1"/>
  <c r="I4" i="2"/>
  <c r="I24" i="2"/>
  <c r="J36" i="6"/>
  <c r="I117" i="8"/>
  <c r="I132" i="8" s="1"/>
  <c r="K62" i="8"/>
  <c r="K71" i="8"/>
  <c r="K80" i="8"/>
  <c r="G6" i="2"/>
  <c r="G36" i="2"/>
  <c r="G7" i="2" s="1"/>
  <c r="G7" i="3"/>
  <c r="G10" i="2"/>
  <c r="G41" i="2"/>
  <c r="G39" i="2" s="1"/>
  <c r="G8" i="2" s="1"/>
  <c r="G11" i="2"/>
  <c r="G34" i="2" s="1"/>
  <c r="K40" i="5"/>
  <c r="K42" i="5" s="1"/>
  <c r="J42" i="5"/>
  <c r="J80" i="8"/>
  <c r="J62" i="8"/>
  <c r="J71" i="8"/>
  <c r="I125" i="8"/>
  <c r="I43" i="5"/>
  <c r="I44" i="5"/>
  <c r="J94" i="8"/>
  <c r="J103" i="8"/>
  <c r="J76" i="8"/>
  <c r="J85" i="8"/>
  <c r="J67" i="8"/>
  <c r="I5" i="2"/>
  <c r="I4" i="5"/>
  <c r="I8" i="5" s="1"/>
  <c r="H10" i="3"/>
  <c r="Q117" i="8"/>
  <c r="K125" i="8"/>
  <c r="J125" i="8"/>
  <c r="P117" i="8"/>
  <c r="J117" i="8"/>
  <c r="J133" i="8" s="1"/>
  <c r="J5" i="2"/>
  <c r="K76" i="8"/>
  <c r="K103" i="8"/>
  <c r="K94" i="8"/>
  <c r="K85" i="8"/>
  <c r="G8" i="3"/>
  <c r="H15" i="6" s="1"/>
  <c r="G57" i="3"/>
  <c r="G25" i="2"/>
  <c r="G133" i="8"/>
  <c r="G134" i="8"/>
  <c r="G130" i="8"/>
  <c r="G131" i="8"/>
  <c r="K7" i="5"/>
  <c r="K120" i="8" s="1"/>
  <c r="K5" i="2" s="1"/>
  <c r="K30" i="6"/>
  <c r="F41" i="4"/>
  <c r="K11" i="6"/>
  <c r="K18" i="6"/>
  <c r="J131" i="8" l="1"/>
  <c r="J16" i="5"/>
  <c r="K16" i="5" s="1"/>
  <c r="N53" i="11"/>
  <c r="N54" i="11" s="1"/>
  <c r="J130" i="8"/>
  <c r="J132" i="8"/>
  <c r="J134" i="8"/>
  <c r="G17" i="12"/>
  <c r="J43" i="5"/>
  <c r="J44" i="5"/>
  <c r="H34" i="2"/>
  <c r="K8" i="3"/>
  <c r="K43" i="5"/>
  <c r="K44" i="5"/>
  <c r="K12" i="3" s="1"/>
  <c r="I25" i="2"/>
  <c r="I130" i="8"/>
  <c r="I134" i="8"/>
  <c r="I133" i="8"/>
  <c r="I131" i="8"/>
  <c r="H3" i="12"/>
  <c r="H26" i="2"/>
  <c r="H12" i="2"/>
  <c r="C37" i="4"/>
  <c r="I6" i="2"/>
  <c r="I36" i="2"/>
  <c r="I7" i="2" s="1"/>
  <c r="I10" i="2"/>
  <c r="I41" i="2"/>
  <c r="I39" i="2" s="1"/>
  <c r="I8" i="2" s="1"/>
  <c r="I11" i="2"/>
  <c r="I34" i="2" s="1"/>
  <c r="I7" i="3"/>
  <c r="J4" i="2"/>
  <c r="J24" i="2"/>
  <c r="J38" i="5"/>
  <c r="I12" i="3"/>
  <c r="K4" i="2"/>
  <c r="K24" i="2"/>
  <c r="J62" i="3"/>
  <c r="I19" i="3"/>
  <c r="I8" i="3"/>
  <c r="K36" i="6"/>
  <c r="H14" i="6"/>
  <c r="K7" i="6"/>
  <c r="F39" i="4" s="1"/>
  <c r="J4" i="5"/>
  <c r="J8" i="5" s="1"/>
  <c r="I10" i="3"/>
  <c r="J8" i="3"/>
  <c r="G58" i="3"/>
  <c r="G59" i="3" s="1"/>
  <c r="G15" i="12" s="1"/>
  <c r="G16" i="12" s="1"/>
  <c r="H57" i="3"/>
  <c r="J25" i="2"/>
  <c r="G14" i="6"/>
  <c r="G83" i="3"/>
  <c r="H83" i="3"/>
  <c r="G3" i="12"/>
  <c r="G26" i="2"/>
  <c r="G12" i="2"/>
  <c r="B37" i="4"/>
  <c r="K117" i="8"/>
  <c r="K132" i="8" s="1"/>
  <c r="G15" i="6"/>
  <c r="H17" i="12"/>
  <c r="K17" i="12" l="1"/>
  <c r="J17" i="12"/>
  <c r="I15" i="6"/>
  <c r="G26" i="12"/>
  <c r="G15" i="2"/>
  <c r="K4" i="5"/>
  <c r="K8" i="5" s="1"/>
  <c r="K10" i="3" s="1"/>
  <c r="J10" i="3"/>
  <c r="I14" i="6"/>
  <c r="I17" i="12"/>
  <c r="J63" i="3"/>
  <c r="J64" i="3" s="1"/>
  <c r="I3" i="12"/>
  <c r="D37" i="4"/>
  <c r="I26" i="2"/>
  <c r="I12" i="2"/>
  <c r="I83" i="3"/>
  <c r="H58" i="3"/>
  <c r="H59" i="3" s="1"/>
  <c r="H15" i="12" s="1"/>
  <c r="H16" i="12" s="1"/>
  <c r="I57" i="3"/>
  <c r="H18" i="3"/>
  <c r="H26" i="12"/>
  <c r="H15" i="2"/>
  <c r="K25" i="2"/>
  <c r="K134" i="8"/>
  <c r="K130" i="8"/>
  <c r="K133" i="8"/>
  <c r="K131" i="8"/>
  <c r="K38" i="5"/>
  <c r="J12" i="3"/>
  <c r="I35" i="6"/>
  <c r="I40" i="6" s="1"/>
  <c r="K6" i="2"/>
  <c r="K36" i="2"/>
  <c r="K7" i="2" s="1"/>
  <c r="K10" i="2"/>
  <c r="K11" i="2"/>
  <c r="K7" i="3"/>
  <c r="K41" i="2"/>
  <c r="K39" i="2" s="1"/>
  <c r="K8" i="2" s="1"/>
  <c r="K15" i="6"/>
  <c r="J15" i="6"/>
  <c r="J6" i="2"/>
  <c r="J10" i="2"/>
  <c r="J36" i="2"/>
  <c r="J7" i="2" s="1"/>
  <c r="J41" i="2"/>
  <c r="J39" i="2" s="1"/>
  <c r="J8" i="2" s="1"/>
  <c r="J7" i="3"/>
  <c r="J83" i="3" s="1"/>
  <c r="J11" i="2"/>
  <c r="J34" i="2" s="1"/>
  <c r="K62" i="3" l="1"/>
  <c r="J19" i="3"/>
  <c r="H16" i="6"/>
  <c r="H17" i="3"/>
  <c r="H82" i="3"/>
  <c r="J14" i="6"/>
  <c r="K83" i="3"/>
  <c r="K14" i="6"/>
  <c r="I58" i="3"/>
  <c r="I59" i="3" s="1"/>
  <c r="I15" i="12" s="1"/>
  <c r="I16" i="12" s="1"/>
  <c r="J57" i="3"/>
  <c r="I18" i="3"/>
  <c r="I82" i="3" s="1"/>
  <c r="K34" i="2"/>
  <c r="I26" i="12"/>
  <c r="I15" i="2"/>
  <c r="G9" i="12"/>
  <c r="G7" i="12"/>
  <c r="G5" i="6"/>
  <c r="G13" i="6" s="1"/>
  <c r="G16" i="2"/>
  <c r="G18" i="2" s="1"/>
  <c r="J3" i="12"/>
  <c r="J26" i="2"/>
  <c r="J12" i="2"/>
  <c r="E37" i="4"/>
  <c r="K3" i="12"/>
  <c r="K26" i="2"/>
  <c r="K12" i="2"/>
  <c r="F37" i="4"/>
  <c r="H7" i="12"/>
  <c r="H9" i="12"/>
  <c r="H5" i="6"/>
  <c r="H13" i="6" s="1"/>
  <c r="H16" i="2"/>
  <c r="H18" i="2" s="1"/>
  <c r="H4" i="12" l="1"/>
  <c r="H26" i="10"/>
  <c r="H8" i="12"/>
  <c r="H20" i="2"/>
  <c r="H21" i="2" s="1"/>
  <c r="H70" i="3"/>
  <c r="H67" i="3"/>
  <c r="H73" i="3"/>
  <c r="G4" i="12"/>
  <c r="G26" i="10"/>
  <c r="G29" i="10" s="1"/>
  <c r="G8" i="12"/>
  <c r="B28" i="4"/>
  <c r="B30" i="4" s="1"/>
  <c r="C65" i="4" s="1"/>
  <c r="G20" i="2"/>
  <c r="G21" i="2" s="1"/>
  <c r="G70" i="3"/>
  <c r="G73" i="3"/>
  <c r="G32" i="3" s="1"/>
  <c r="G67" i="3"/>
  <c r="I7" i="12"/>
  <c r="I9" i="12"/>
  <c r="I5" i="6"/>
  <c r="I13" i="6" s="1"/>
  <c r="I16" i="2"/>
  <c r="J26" i="12"/>
  <c r="J15" i="2"/>
  <c r="K57" i="3"/>
  <c r="J58" i="3"/>
  <c r="J59" i="3" s="1"/>
  <c r="J15" i="12" s="1"/>
  <c r="J16" i="12" s="1"/>
  <c r="J18" i="3"/>
  <c r="K26" i="12"/>
  <c r="K15" i="2"/>
  <c r="I16" i="6"/>
  <c r="B40" i="4" s="1"/>
  <c r="I17" i="3"/>
  <c r="C38" i="4"/>
  <c r="H19" i="6"/>
  <c r="H22" i="6" s="1"/>
  <c r="H42" i="6" s="1"/>
  <c r="B38" i="4"/>
  <c r="G19" i="6"/>
  <c r="G22" i="6" s="1"/>
  <c r="G42" i="6" s="1"/>
  <c r="G44" i="6" s="1"/>
  <c r="H43" i="6" s="1"/>
  <c r="J35" i="6"/>
  <c r="J40" i="6" s="1"/>
  <c r="K63" i="3"/>
  <c r="K64" i="3" s="1"/>
  <c r="K19" i="3" s="1"/>
  <c r="H32" i="3" l="1"/>
  <c r="H32" i="10" s="1"/>
  <c r="K7" i="12"/>
  <c r="K9" i="12"/>
  <c r="K5" i="6"/>
  <c r="K13" i="6" s="1"/>
  <c r="K16" i="2"/>
  <c r="K18" i="2" s="1"/>
  <c r="J7" i="12"/>
  <c r="J9" i="12"/>
  <c r="J5" i="6"/>
  <c r="J13" i="6" s="1"/>
  <c r="J16" i="2"/>
  <c r="J18" i="2" s="1"/>
  <c r="H44" i="6"/>
  <c r="I43" i="6" s="1"/>
  <c r="G5" i="3"/>
  <c r="H25" i="10"/>
  <c r="H29" i="10" s="1"/>
  <c r="G31" i="3"/>
  <c r="D38" i="4"/>
  <c r="I19" i="6"/>
  <c r="I18" i="2"/>
  <c r="B42" i="4"/>
  <c r="K35" i="6"/>
  <c r="K40" i="6" s="1"/>
  <c r="G32" i="10"/>
  <c r="G2" i="10" s="1"/>
  <c r="I22" i="6"/>
  <c r="I42" i="6" s="1"/>
  <c r="J16" i="6"/>
  <c r="C40" i="4" s="1"/>
  <c r="C42" i="4" s="1"/>
  <c r="J17" i="3"/>
  <c r="J82" i="3"/>
  <c r="K58" i="3"/>
  <c r="K59" i="3" s="1"/>
  <c r="K15" i="12" s="1"/>
  <c r="K16" i="12" s="1"/>
  <c r="K18" i="3"/>
  <c r="K82" i="3" s="1"/>
  <c r="G33" i="3" l="1"/>
  <c r="G25" i="3" s="1"/>
  <c r="H2" i="10"/>
  <c r="J26" i="10"/>
  <c r="J8" i="12"/>
  <c r="J4" i="12"/>
  <c r="J20" i="2"/>
  <c r="J21" i="2" s="1"/>
  <c r="J70" i="3"/>
  <c r="J67" i="3"/>
  <c r="J73" i="3"/>
  <c r="I44" i="6"/>
  <c r="H5" i="3"/>
  <c r="E38" i="4"/>
  <c r="E42" i="4" s="1"/>
  <c r="J19" i="6"/>
  <c r="J22" i="6" s="1"/>
  <c r="J42" i="6" s="1"/>
  <c r="I4" i="12"/>
  <c r="I26" i="10"/>
  <c r="I8" i="12"/>
  <c r="I20" i="2"/>
  <c r="I21" i="2" s="1"/>
  <c r="I70" i="3"/>
  <c r="I73" i="3"/>
  <c r="I32" i="3" s="1"/>
  <c r="I67" i="3"/>
  <c r="F38" i="4"/>
  <c r="F42" i="4" s="1"/>
  <c r="K19" i="6"/>
  <c r="K8" i="12"/>
  <c r="K4" i="12"/>
  <c r="K26" i="10"/>
  <c r="K20" i="2"/>
  <c r="K70" i="3"/>
  <c r="K73" i="3"/>
  <c r="K67" i="3"/>
  <c r="I25" i="10"/>
  <c r="H31" i="3"/>
  <c r="K16" i="6"/>
  <c r="D40" i="4" s="1"/>
  <c r="D42" i="4" s="1"/>
  <c r="K17" i="3"/>
  <c r="G19" i="12"/>
  <c r="G20" i="12"/>
  <c r="G21" i="12"/>
  <c r="G4" i="3"/>
  <c r="I29" i="10" l="1"/>
  <c r="J25" i="10" s="1"/>
  <c r="J29" i="10" s="1"/>
  <c r="J32" i="3"/>
  <c r="K32" i="3" s="1"/>
  <c r="K32" i="10" s="1"/>
  <c r="G34" i="3"/>
  <c r="H33" i="3"/>
  <c r="H25" i="3" s="1"/>
  <c r="J43" i="6"/>
  <c r="J44" i="6" s="1"/>
  <c r="I5" i="3"/>
  <c r="G26" i="13"/>
  <c r="G18" i="13"/>
  <c r="G4" i="13"/>
  <c r="G11" i="13"/>
  <c r="G29" i="13"/>
  <c r="G14" i="13"/>
  <c r="G13" i="13"/>
  <c r="G9" i="13"/>
  <c r="G15" i="13"/>
  <c r="G28" i="13"/>
  <c r="G23" i="13"/>
  <c r="G30" i="13"/>
  <c r="G6" i="13"/>
  <c r="G22" i="13"/>
  <c r="G20" i="13"/>
  <c r="G27" i="13"/>
  <c r="G21" i="13"/>
  <c r="G19" i="13"/>
  <c r="G17" i="13"/>
  <c r="G22" i="12"/>
  <c r="G12" i="13"/>
  <c r="G10" i="13"/>
  <c r="G10" i="12"/>
  <c r="G8" i="13"/>
  <c r="G7" i="13"/>
  <c r="G32" i="13"/>
  <c r="J32" i="10"/>
  <c r="K22" i="6"/>
  <c r="K42" i="6" s="1"/>
  <c r="I32" i="10"/>
  <c r="G5" i="13"/>
  <c r="H19" i="12"/>
  <c r="H20" i="12"/>
  <c r="H21" i="12"/>
  <c r="H4" i="3"/>
  <c r="K21" i="2"/>
  <c r="G31" i="13"/>
  <c r="I31" i="3" l="1"/>
  <c r="I33" i="3" s="1"/>
  <c r="I25" i="3" s="1"/>
  <c r="I2" i="10"/>
  <c r="H34" i="3"/>
  <c r="H31" i="13"/>
  <c r="J2" i="10"/>
  <c r="H11" i="12"/>
  <c r="H4" i="13"/>
  <c r="H11" i="13"/>
  <c r="H26" i="13"/>
  <c r="H23" i="13"/>
  <c r="H9" i="13"/>
  <c r="H14" i="13"/>
  <c r="H29" i="13"/>
  <c r="H13" i="13"/>
  <c r="H22" i="13"/>
  <c r="H20" i="13"/>
  <c r="H6" i="13"/>
  <c r="H28" i="13"/>
  <c r="H30" i="13"/>
  <c r="H15" i="13"/>
  <c r="H27" i="13"/>
  <c r="H21" i="13"/>
  <c r="H8" i="13"/>
  <c r="H19" i="13"/>
  <c r="H10" i="12"/>
  <c r="H12" i="13"/>
  <c r="H7" i="13"/>
  <c r="H10" i="13"/>
  <c r="H18" i="13"/>
  <c r="H17" i="13"/>
  <c r="H22" i="12"/>
  <c r="H32" i="13"/>
  <c r="H24" i="12"/>
  <c r="H25" i="12"/>
  <c r="H25" i="13"/>
  <c r="H23" i="12"/>
  <c r="K25" i="10"/>
  <c r="K29" i="10" s="1"/>
  <c r="K31" i="3" s="1"/>
  <c r="J31" i="3"/>
  <c r="H5" i="13"/>
  <c r="G6" i="12"/>
  <c r="I19" i="12"/>
  <c r="I20" i="12"/>
  <c r="I21" i="12"/>
  <c r="I4" i="3"/>
  <c r="K43" i="6"/>
  <c r="K44" i="6" s="1"/>
  <c r="K5" i="3" s="1"/>
  <c r="J5" i="3"/>
  <c r="I34" i="3" l="1"/>
  <c r="J33" i="3"/>
  <c r="J25" i="3" s="1"/>
  <c r="K33" i="3"/>
  <c r="K25" i="3" s="1"/>
  <c r="I11" i="12"/>
  <c r="I4" i="13"/>
  <c r="I11" i="13"/>
  <c r="I23" i="13"/>
  <c r="I9" i="13"/>
  <c r="I26" i="13"/>
  <c r="I14" i="13"/>
  <c r="I29" i="13"/>
  <c r="I27" i="13"/>
  <c r="I6" i="13"/>
  <c r="I20" i="13"/>
  <c r="I13" i="13"/>
  <c r="I15" i="13"/>
  <c r="I28" i="13"/>
  <c r="I22" i="13"/>
  <c r="I30" i="13"/>
  <c r="I21" i="13"/>
  <c r="I10" i="12"/>
  <c r="I10" i="13"/>
  <c r="I8" i="13"/>
  <c r="I7" i="13"/>
  <c r="I19" i="13"/>
  <c r="I12" i="13"/>
  <c r="I18" i="13"/>
  <c r="I17" i="13"/>
  <c r="I22" i="12"/>
  <c r="I32" i="13"/>
  <c r="H6" i="12"/>
  <c r="H5" i="12"/>
  <c r="K19" i="12"/>
  <c r="K20" i="12"/>
  <c r="K21" i="12"/>
  <c r="K4" i="3"/>
  <c r="K31" i="13" s="1"/>
  <c r="I5" i="13"/>
  <c r="I31" i="13"/>
  <c r="J19" i="12"/>
  <c r="J20" i="12"/>
  <c r="J21" i="12"/>
  <c r="J4" i="3"/>
  <c r="K2" i="10"/>
  <c r="I24" i="12"/>
  <c r="I25" i="12"/>
  <c r="I25" i="13"/>
  <c r="I23" i="12"/>
  <c r="H5" i="9" l="1"/>
  <c r="K34" i="3"/>
  <c r="J34" i="3"/>
  <c r="J5" i="13"/>
  <c r="K5" i="13"/>
  <c r="J25" i="12"/>
  <c r="J25" i="13"/>
  <c r="J24" i="12"/>
  <c r="J23" i="12"/>
  <c r="J31" i="13"/>
  <c r="K11" i="12"/>
  <c r="K4" i="13"/>
  <c r="K11" i="13"/>
  <c r="K23" i="13"/>
  <c r="K9" i="13"/>
  <c r="K26" i="13"/>
  <c r="K29" i="13"/>
  <c r="K14" i="13"/>
  <c r="K13" i="13"/>
  <c r="K30" i="13"/>
  <c r="K27" i="13"/>
  <c r="K6" i="13"/>
  <c r="K22" i="13"/>
  <c r="K15" i="13"/>
  <c r="K20" i="13"/>
  <c r="K28" i="13"/>
  <c r="K21" i="13"/>
  <c r="K12" i="13"/>
  <c r="K8" i="13"/>
  <c r="K10" i="12"/>
  <c r="K10" i="13"/>
  <c r="K7" i="13"/>
  <c r="K19" i="13"/>
  <c r="K18" i="13"/>
  <c r="K32" i="13"/>
  <c r="K17" i="13"/>
  <c r="K22" i="12"/>
  <c r="J11" i="12"/>
  <c r="J4" i="13"/>
  <c r="J11" i="13"/>
  <c r="J23" i="13"/>
  <c r="J26" i="13"/>
  <c r="J9" i="13"/>
  <c r="J29" i="13"/>
  <c r="J14" i="13"/>
  <c r="J28" i="13"/>
  <c r="J15" i="13"/>
  <c r="J30" i="13"/>
  <c r="J6" i="13"/>
  <c r="J20" i="13"/>
  <c r="J27" i="13"/>
  <c r="J13" i="13"/>
  <c r="J22" i="13"/>
  <c r="J21" i="13"/>
  <c r="J8" i="13"/>
  <c r="J10" i="12"/>
  <c r="J12" i="13"/>
  <c r="J7" i="13"/>
  <c r="J10" i="13"/>
  <c r="J19" i="13"/>
  <c r="J18" i="13"/>
  <c r="J17" i="13"/>
  <c r="J22" i="12"/>
  <c r="J32" i="13"/>
  <c r="I5" i="12"/>
  <c r="I6" i="12"/>
  <c r="K25" i="12"/>
  <c r="K25" i="13"/>
  <c r="K24" i="12"/>
  <c r="K23" i="12"/>
  <c r="K5" i="12" l="1"/>
  <c r="K6" i="12"/>
  <c r="J5" i="12"/>
  <c r="J6" i="12"/>
  <c r="H6" i="9" l="1"/>
  <c r="G11" i="12"/>
  <c r="G5" i="12" s="1"/>
  <c r="G25" i="13"/>
  <c r="G25" i="12"/>
  <c r="G23" i="12"/>
  <c r="G24" i="12"/>
  <c r="G6" i="4" l="1"/>
  <c r="H10" i="9"/>
  <c r="G10" i="4" s="1"/>
  <c r="B43" i="4" s="1"/>
  <c r="G5" i="4"/>
  <c r="E45" i="4" l="1"/>
  <c r="E46" i="4" s="1"/>
  <c r="B45" i="4"/>
  <c r="B46" i="4" s="1"/>
  <c r="F45" i="4"/>
  <c r="C45" i="4"/>
  <c r="C46" i="4" s="1"/>
  <c r="D45" i="4"/>
  <c r="D46" i="4" s="1"/>
  <c r="F46" i="4" l="1"/>
  <c r="B55" i="4" s="1"/>
  <c r="B56" i="4"/>
  <c r="B50" i="4" l="1"/>
  <c r="B57" i="4"/>
  <c r="B60" i="4" l="1"/>
  <c r="F50" i="4" s="1"/>
  <c r="F54" i="4" s="1"/>
  <c r="F57" i="4" s="1"/>
  <c r="C66" i="4" s="1"/>
  <c r="B70" i="4" s="1"/>
  <c r="B71" i="4" s="1"/>
  <c r="B77"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400-000003000000}">
      <text>
        <r>
          <rPr>
            <sz val="12"/>
            <color theme="1"/>
            <rFont val="Calibri"/>
            <family val="2"/>
            <scheme val="minor"/>
          </rPr>
          <t>======
ID#AAAAShi2QEA
Anh Minh Hà    (2021-12-12 08:51:54)
current year</t>
        </r>
      </text>
    </comment>
  </commentList>
  <extLst>
    <ext xmlns:r="http://schemas.openxmlformats.org/officeDocument/2006/relationships" uri="GoogleSheetsCustomDataVersion1">
      <go:sheetsCustomData xmlns:go="http://customooxmlschemas.google.com/" r:id="rId1" roundtripDataSignature="AMtx7mgCVyR3RAbxMpuoqFr6YFSrA9gOz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108" authorId="0" shapeId="0" xr:uid="{00000000-0006-0000-0700-000001000000}">
      <text>
        <r>
          <rPr>
            <sz val="12"/>
            <color theme="1"/>
            <rFont val="Calibri"/>
            <family val="2"/>
            <scheme val="minor"/>
          </rPr>
          <t>======
ID#AAAATHTgQRQ
Anh Minh Hà    (2021-12-16 15:01:46)
Hiện tượng La Nina suy yếu và chuyển dần sang trạng thái trung tính và sau đó là El Nino</t>
        </r>
      </text>
    </comment>
    <comment ref="G115" authorId="0" shapeId="0" xr:uid="{00000000-0006-0000-0700-000005000000}">
      <text>
        <r>
          <rPr>
            <sz val="12"/>
            <color theme="1"/>
            <rFont val="Calibri"/>
            <family val="2"/>
            <scheme val="minor"/>
          </rPr>
          <t>======
ID#AAAATHTgQQc
le hung    (2021-12-16 13:43:17)
theo dự tính của công ty và ảnh hưởng của COVID dẫn đến hoạt động mảng xây dựng và thương mại bị gián đoạn</t>
        </r>
      </text>
    </comment>
    <comment ref="G124" authorId="0" shapeId="0" xr:uid="{00000000-0006-0000-0700-000002000000}">
      <text>
        <r>
          <rPr>
            <sz val="12"/>
            <color theme="1"/>
            <rFont val="Calibri"/>
            <family val="2"/>
            <scheme val="minor"/>
          </rPr>
          <t>======
ID#AAAATHTgQQ4
le hung    (2021-12-16 14:14:15)
Tăng do lạm phát</t>
        </r>
      </text>
    </comment>
    <comment ref="G126" authorId="0" shapeId="0" xr:uid="{00000000-0006-0000-0700-000006000000}">
      <text>
        <r>
          <rPr>
            <sz val="12"/>
            <color theme="1"/>
            <rFont val="Calibri"/>
            <family val="2"/>
            <scheme val="minor"/>
          </rPr>
          <t>======
ID#AAAATHTgQQY
le hung    (2021-12-16 13:30:02)
GEG cơ cấu lại nhân sự</t>
        </r>
      </text>
    </comment>
    <comment ref="G127" authorId="0" shapeId="0" xr:uid="{00000000-0006-0000-0700-000003000000}">
      <text>
        <r>
          <rPr>
            <sz val="12"/>
            <color theme="1"/>
            <rFont val="Calibri"/>
            <family val="2"/>
            <scheme val="minor"/>
          </rPr>
          <t>======
ID#AAAATHTgQQs
le hung    (2021-12-16 14:03:08)
GEG đang phát triển bộ phận kỹ thuật nội bộ để giảm chi phí O&amp;M (chi phí thuê ngoài).</t>
        </r>
      </text>
    </comment>
  </commentList>
  <extLst>
    <ext xmlns:r="http://schemas.openxmlformats.org/officeDocument/2006/relationships" uri="GoogleSheetsCustomDataVersion1">
      <go:sheetsCustomData xmlns:go="http://customooxmlschemas.google.com/" r:id="rId1" roundtripDataSignature="AMtx7mjXq1WVjGWh/zLGervLFle1cbBTU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3" authorId="0" shapeId="0" xr:uid="{00000000-0006-0000-0800-000001000000}">
      <text>
        <r>
          <rPr>
            <sz val="12"/>
            <color theme="1"/>
            <rFont val="Calibri"/>
            <family val="2"/>
            <scheme val="minor"/>
          </rPr>
          <t>======
Vietnamese government bond 10Y</t>
        </r>
      </text>
    </comment>
    <comment ref="H4" authorId="0" shapeId="0" xr:uid="{00000000-0006-0000-0800-000002000000}">
      <text>
        <r>
          <rPr>
            <sz val="12"/>
            <color theme="1"/>
            <rFont val="Calibri"/>
            <family val="2"/>
            <scheme val="minor"/>
          </rPr>
          <t>Damodaran: https://pages.stern.nyu.edu/~adamodar/New_Home_Page/datafile/ctryprem.html</t>
        </r>
      </text>
    </comment>
  </commentList>
  <extLst>
    <ext xmlns:r="http://schemas.openxmlformats.org/officeDocument/2006/relationships" uri="GoogleSheetsCustomDataVersion1">
      <go:sheetsCustomData xmlns:go="http://customooxmlschemas.google.com/" r:id="rId1" roundtripDataSignature="AMtx7mhz100wWZxSseMW57Q9LGeUbGMwu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E000000}">
      <text>
        <r>
          <rPr>
            <sz val="12"/>
            <color theme="1"/>
            <rFont val="Calibri"/>
            <family val="2"/>
            <scheme val="minor"/>
          </rPr>
          <t>======
ID#AAAATCwR0JM
Anh Minh Hà    (2021-12-10 09:56:04)
"Hợp đồng số 138/2014-
HĐTDDA/NHCT902-
GTLC, ngày 10 tháng 10
năm 2014"
------
ID#AAAAShDZwUI
Lê Minh Hương    (2021-12-10 15:20:10)
Đáo hạn T1/2026
------
ID#AAAAShDZwUw
Anh Minh Hà    (2021-12-10 16:18:42)
thượng lộ</t>
        </r>
      </text>
    </comment>
    <comment ref="A34" authorId="0" shapeId="0" xr:uid="{00000000-0006-0000-0A00-000009000000}">
      <text>
        <r>
          <rPr>
            <sz val="12"/>
            <color theme="1"/>
            <rFont val="Calibri"/>
            <family val="2"/>
            <scheme val="minor"/>
          </rPr>
          <t>======
ID#AAAAShDZwUg
Ngân Thanh    (2021-12-10 15:38:24)
đáo hạn T9/2029</t>
        </r>
      </text>
    </comment>
  </commentList>
  <extLst>
    <ext xmlns:r="http://schemas.openxmlformats.org/officeDocument/2006/relationships" uri="GoogleSheetsCustomDataVersion1">
      <go:sheetsCustomData xmlns:go="http://customooxmlschemas.google.com/" r:id="rId1" roundtripDataSignature="AMtx7mgy6EbI/2/ybFuhteJ8Og+53BmLCQ=="/>
    </ext>
  </extLst>
</comments>
</file>

<file path=xl/sharedStrings.xml><?xml version="1.0" encoding="utf-8"?>
<sst xmlns="http://schemas.openxmlformats.org/spreadsheetml/2006/main" count="1024" uniqueCount="673">
  <si>
    <t>1. Doanh thu bán hàng và cung cấp dịch vụ</t>
  </si>
  <si>
    <t>2. Các khoản giảm trừ doanh thu</t>
  </si>
  <si>
    <t>3. Doanh thu thuần</t>
  </si>
  <si>
    <t>4. Giá vốn hàng bán</t>
  </si>
  <si>
    <t>5. Lợi nhuận gộp</t>
  </si>
  <si>
    <t>6. Doanh thu hoạt động tài chính</t>
  </si>
  <si>
    <t>7. Chi phí tài chính</t>
  </si>
  <si>
    <t>- Trong đó: Chi phí lãi vay</t>
  </si>
  <si>
    <t>8. Lãi/(lỗ) từ công ty liên doanh, liên kết</t>
  </si>
  <si>
    <t>9. Chi phí bán hàng</t>
  </si>
  <si>
    <t>10. Chi phí quản lý doanh nghiệp</t>
  </si>
  <si>
    <t>11. Lợi nhuận thuần từ hoạt động kinh doanh</t>
  </si>
  <si>
    <t>12. Thu nhập khác</t>
  </si>
  <si>
    <t>13. Chi phí khác</t>
  </si>
  <si>
    <t>14. Lợi nhuận/(lỗ) khác</t>
  </si>
  <si>
    <t>15. Tổng lợi nhuận kế toán trước thuế</t>
  </si>
  <si>
    <t>16. Chi phí thuế TNDN hiện hành</t>
  </si>
  <si>
    <t>17. Chi phí thuế TNDN hoãn lại</t>
  </si>
  <si>
    <t>18. Lợi nhuận sau thuế</t>
  </si>
  <si>
    <t>19. Lợi nhuận sau thuế của cổ đông không kiểm soát</t>
  </si>
  <si>
    <t>20. Lợi nhuận sau thuế của công ty mẹ</t>
  </si>
  <si>
    <t>I. LƯU CHUYỂN TIỀN TỪ HOẠT ĐỘNG KINH DOANH</t>
  </si>
  <si>
    <t>1. Lợi nhuận trước thuế</t>
  </si>
  <si>
    <t>2. Điều chỉnh cho các khoản:</t>
  </si>
  <si>
    <t>Khấu hao TSCĐ và BĐSĐT</t>
  </si>
  <si>
    <t>Các khoản dự phòng</t>
  </si>
  <si>
    <t>(Lãi)/lỗ từ hoạt động đầu tư</t>
  </si>
  <si>
    <t>(Lãi)/lỗ từ chênh lệch tỷ giá hối đoái chưa thực hiện</t>
  </si>
  <si>
    <t>(Lãi)/lỗ từ thanh lý/xoá sổ tài sản cố định và xây dựng cơ bản dở dang</t>
  </si>
  <si>
    <t>Chi phí lãi vay</t>
  </si>
  <si>
    <t>Các khoản điều chỉnh khác</t>
  </si>
  <si>
    <t>Thu nhập từ lãi tiền gửi</t>
  </si>
  <si>
    <t>Phân bổ lợi thế thương mại</t>
  </si>
  <si>
    <t>(Lãi)/lỗ thanh lý tài sản cố định</t>
  </si>
  <si>
    <t>3. Lợi nhuận từ hoạt động kinh doanh trước thay đổi vốn lưu động</t>
  </si>
  <si>
    <t>(Tăng)/Giảm các khoản phải thu</t>
  </si>
  <si>
    <t>(Tăng)/Giảm chứng khoán tự doanh</t>
  </si>
  <si>
    <t>(Tăng)/Giảm hàng tồn kho</t>
  </si>
  <si>
    <t>Tăng/(Giảm) các khoản phải trả (không bao gồm lãi vay, thuế TNDN phải trả)</t>
  </si>
  <si>
    <t>(Tăng)/Giảm chi phí trả trước</t>
  </si>
  <si>
    <t>Tiền lãi vay đã trả</t>
  </si>
  <si>
    <t>Thuế thu nhập doanh nghiệp đã nộp</t>
  </si>
  <si>
    <t>Tiền thu khác từ hoạt động kinh doanh</t>
  </si>
  <si>
    <t>Tiền chi khác cho hoạt động kinh doanh</t>
  </si>
  <si>
    <t>II. LƯU CHUYỂN TIỀN TỪ HOẠT ĐỘNG ĐẦU TƯ</t>
  </si>
  <si>
    <t>1. Tiền chi để mua sắm, xây dựng TSCĐ và các tài sản dài hạn khác</t>
  </si>
  <si>
    <t>2. Tiền thu do thanh lý, nhượng bán TSCĐ và các tài sản dài hạn khác</t>
  </si>
  <si>
    <t>3. Tiền chi cho vay, mua các công cụ nợ của đơn vị khác</t>
  </si>
  <si>
    <t>4. Tiền thu hồi cho vay, bán lại công cụ nợ của đơn vị khác</t>
  </si>
  <si>
    <t>5. Tiền chi đầu tư góp vốn vào đơn vị khác</t>
  </si>
  <si>
    <t>6. Tiền thu hồi đầu tư góp vốn vào đơn vị khác</t>
  </si>
  <si>
    <t>7. Tiền thu lãi cho vay, cổ tức và lợi nhuận được chia</t>
  </si>
  <si>
    <t>8. Tiền thu chi khác từ hoạt động đầu tư</t>
  </si>
  <si>
    <t>III. LƯU CHUYỂN TIỀN TỪ HOẠT ĐỘNG TÀI CHÍNH</t>
  </si>
  <si>
    <t>1. Tiền thu từ phát hành cổ phiếu, nhận vốn góp</t>
  </si>
  <si>
    <t>2. Tiền chi trả vốn góp, mua lại cổ phiếu đã phát hành</t>
  </si>
  <si>
    <t>3. Tiền thu từ đi vay ngắn hạn và dài hạn</t>
  </si>
  <si>
    <t>4. Tiền chi trả nợ gốc vay</t>
  </si>
  <si>
    <t>5. Tiền chi trả nợ gốc thuê tài chính</t>
  </si>
  <si>
    <t>6. Cổ tức, lợi nhuận đã trả cho chủ sở hữu</t>
  </si>
  <si>
    <t>7. Tiền thu chi khác từ hoạt động tài chính</t>
  </si>
  <si>
    <t>IV. Lưu chuyển tiền thuần trong kỳ</t>
  </si>
  <si>
    <t>V. Tiền và tương đương tiền đầu kỳ</t>
  </si>
  <si>
    <t>VI. Tiền và tương đương tiền cuối kỳ</t>
  </si>
  <si>
    <t>2021F</t>
  </si>
  <si>
    <t>2022F</t>
  </si>
  <si>
    <t>2023F</t>
  </si>
  <si>
    <t>2024F</t>
  </si>
  <si>
    <t>2025F</t>
  </si>
  <si>
    <t>INCOME STATEMENT</t>
  </si>
  <si>
    <t>HISTORICAL</t>
  </si>
  <si>
    <t>FORECAST</t>
  </si>
  <si>
    <t>Net Sales</t>
  </si>
  <si>
    <t>Cost of goods sold</t>
  </si>
  <si>
    <t>Gross profit</t>
  </si>
  <si>
    <t>Financial income</t>
  </si>
  <si>
    <t>Financial Expenses</t>
  </si>
  <si>
    <t>Of which: Interest Expenses</t>
  </si>
  <si>
    <t>Selling Expenses</t>
  </si>
  <si>
    <t>General and admin expenses</t>
  </si>
  <si>
    <t>Net Profit/Loss from Operating activities</t>
  </si>
  <si>
    <t>Other profits/(loss)</t>
  </si>
  <si>
    <t>Profit or lost from join venture companies</t>
  </si>
  <si>
    <t>Total profit before tax</t>
  </si>
  <si>
    <t>Current Corporate Income Tax Expenses</t>
  </si>
  <si>
    <t>Deferred Income Taxes Expenses</t>
  </si>
  <si>
    <t>Net profit after tax</t>
  </si>
  <si>
    <t>Benefits of Minitory shareholders</t>
  </si>
  <si>
    <t>Net profit after tax attributable to parent company shareholders</t>
  </si>
  <si>
    <t>Basic EPS</t>
  </si>
  <si>
    <t>Diluted EPS</t>
  </si>
  <si>
    <t>OPERATING ASSUMPTIONS</t>
  </si>
  <si>
    <t>Revenue growth</t>
  </si>
  <si>
    <t>COGS growth</t>
  </si>
  <si>
    <t>Gross profit margin</t>
  </si>
  <si>
    <t>Selling expense</t>
  </si>
  <si>
    <t>Selling expense/Net revenue</t>
  </si>
  <si>
    <t>Growth rate</t>
  </si>
  <si>
    <t>G&amp;A expense</t>
  </si>
  <si>
    <t>G&amp;A expense/Net revenue</t>
  </si>
  <si>
    <t>Financial income/Net revenue</t>
  </si>
  <si>
    <t>Financial expenses</t>
  </si>
  <si>
    <t>Interest expense</t>
  </si>
  <si>
    <t>Other financial expense</t>
  </si>
  <si>
    <t>Other financial expense/Net revenue</t>
  </si>
  <si>
    <t>2016A</t>
  </si>
  <si>
    <t>2017A</t>
  </si>
  <si>
    <t>2018A</t>
  </si>
  <si>
    <t>2019A</t>
  </si>
  <si>
    <t>2020A</t>
  </si>
  <si>
    <t>BALANCE SHEET</t>
  </si>
  <si>
    <t>TOTAL ASSET</t>
  </si>
  <si>
    <t>Cash and Cash Equivalents</t>
  </si>
  <si>
    <t>Short term financial investment</t>
  </si>
  <si>
    <t>Account Receivables</t>
  </si>
  <si>
    <t>Inventory</t>
  </si>
  <si>
    <t>Other Current Assets</t>
  </si>
  <si>
    <t>Tangible Fixed Assets</t>
  </si>
  <si>
    <t>Financial leases fixed assets</t>
  </si>
  <si>
    <t>Intangible Fixed Asset</t>
  </si>
  <si>
    <t>Construction in progress</t>
  </si>
  <si>
    <t>Long term Finacial Investments</t>
  </si>
  <si>
    <t>Other long term assets</t>
  </si>
  <si>
    <t>LIABILITIES</t>
  </si>
  <si>
    <t>Account Payables</t>
  </si>
  <si>
    <t>Short-term borrowings</t>
  </si>
  <si>
    <t>Other long-term payables</t>
  </si>
  <si>
    <t>Long-term borrowings</t>
  </si>
  <si>
    <t>Bonus and welfare funds</t>
  </si>
  <si>
    <t>Technology-science development fund</t>
  </si>
  <si>
    <t>OWNERS EQUITY</t>
  </si>
  <si>
    <t>Common stock</t>
  </si>
  <si>
    <t>Share premium</t>
  </si>
  <si>
    <t>Other capitals of Owners Equity</t>
  </si>
  <si>
    <t>Treasury stock</t>
  </si>
  <si>
    <t>Development and Investment Fund</t>
  </si>
  <si>
    <t>Retained earnings</t>
  </si>
  <si>
    <t>Minority interest</t>
  </si>
  <si>
    <t>Balance check</t>
  </si>
  <si>
    <t>WORKING CAPITAL</t>
  </si>
  <si>
    <t>Account receivable</t>
  </si>
  <si>
    <t>Account receivable/Net revenue</t>
  </si>
  <si>
    <t>Receivable turnover</t>
  </si>
  <si>
    <t>Days of sales outstanding (DSO)</t>
  </si>
  <si>
    <t>Inventory/COGS</t>
  </si>
  <si>
    <t>Inventory turnover</t>
  </si>
  <si>
    <t>Days of inventory on hand (DOH)</t>
  </si>
  <si>
    <t>Account payable</t>
  </si>
  <si>
    <t>Account payable/COGS</t>
  </si>
  <si>
    <t>Payables turnover</t>
  </si>
  <si>
    <t>Days payable outstanding (DPO)</t>
  </si>
  <si>
    <t>Short term borrowings</t>
  </si>
  <si>
    <t>Beginning of period</t>
  </si>
  <si>
    <t>Increases / (decreases)</t>
  </si>
  <si>
    <t>End of period</t>
  </si>
  <si>
    <t>Bonus and welfare funds (from Net income)</t>
  </si>
  <si>
    <t>%Increase/Net income</t>
  </si>
  <si>
    <t>APCapex</t>
  </si>
  <si>
    <t>Ar/capex</t>
  </si>
  <si>
    <t>VALUATION SUMMARY</t>
  </si>
  <si>
    <t>WACC</t>
  </si>
  <si>
    <t>Valuation Date:</t>
  </si>
  <si>
    <t>Beta</t>
  </si>
  <si>
    <t>Company Name:</t>
  </si>
  <si>
    <t>GEC</t>
  </si>
  <si>
    <t>Risk free rate</t>
  </si>
  <si>
    <t>Share Price:</t>
  </si>
  <si>
    <t>Premium</t>
  </si>
  <si>
    <t>Basic Shares Outstanding (mil shares):</t>
  </si>
  <si>
    <t>D</t>
  </si>
  <si>
    <t>E</t>
  </si>
  <si>
    <t>Marginal tax rate</t>
  </si>
  <si>
    <t>Cost of equity</t>
  </si>
  <si>
    <t>Cost of debt</t>
  </si>
  <si>
    <t xml:space="preserve">MUTIPLE METHOD </t>
  </si>
  <si>
    <t>P/E</t>
  </si>
  <si>
    <t>COMPANY</t>
  </si>
  <si>
    <t>COUNTRY</t>
  </si>
  <si>
    <t>Market capitalisation</t>
  </si>
  <si>
    <t>ROE (TTM)</t>
  </si>
  <si>
    <t>ROA (TTM)</t>
  </si>
  <si>
    <t>P/B (Q)</t>
  </si>
  <si>
    <t xml:space="preserve">P/E (TTM) </t>
  </si>
  <si>
    <t>SAHACOGEN CHONBURI</t>
  </si>
  <si>
    <t>GEPIC ENERGY</t>
  </si>
  <si>
    <t>Guizhou Qianyu</t>
  </si>
  <si>
    <t>Guangzhou Heng</t>
  </si>
  <si>
    <t>N/A</t>
  </si>
  <si>
    <t>MEDIAN</t>
  </si>
  <si>
    <t>EPS</t>
  </si>
  <si>
    <t>Target Price ( 1000 VNĐ)</t>
  </si>
  <si>
    <t>FCFF PROJECTION</t>
  </si>
  <si>
    <t>Capex</t>
  </si>
  <si>
    <t>FCFF</t>
  </si>
  <si>
    <t>Mid Point</t>
  </si>
  <si>
    <t>Discount Factor</t>
  </si>
  <si>
    <t>Present value of FCFF</t>
  </si>
  <si>
    <t>Implied Enterprise Value and Share Price</t>
  </si>
  <si>
    <t>Cumulative Present Value of FCFF</t>
  </si>
  <si>
    <t>Enterprise Value</t>
  </si>
  <si>
    <t>Less: Total Debt</t>
  </si>
  <si>
    <t>FCFE Terminal Value (by growth rate)</t>
  </si>
  <si>
    <t>Plus: Cash and Cash Equivalent</t>
  </si>
  <si>
    <t>Plus: Non-operating assets after tax</t>
  </si>
  <si>
    <t>Implied Enterprise Value</t>
  </si>
  <si>
    <t>Terminal Value</t>
  </si>
  <si>
    <t>Number of Shares</t>
  </si>
  <si>
    <t>PV of Terminal Value</t>
  </si>
  <si>
    <t>Implied Price per Share</t>
  </si>
  <si>
    <t>RESULT</t>
  </si>
  <si>
    <t>METHOD</t>
  </si>
  <si>
    <t>PROPORTION</t>
  </si>
  <si>
    <t>RECOMMENDATION</t>
  </si>
  <si>
    <t xml:space="preserve">CHANGE </t>
  </si>
  <si>
    <t>SENSITIVITY ANALYSIS</t>
  </si>
  <si>
    <t>g</t>
  </si>
  <si>
    <t>PROPERTY, PLANT, AND EQUIPMENT 
(PP&amp;E)</t>
  </si>
  <si>
    <t>Plus: Transfer from Construction in progress</t>
  </si>
  <si>
    <t>Plus: Purchase/Liquidate</t>
  </si>
  <si>
    <t>Less: Depreciation</t>
  </si>
  <si>
    <t>Fixed assets' average depreciable life</t>
  </si>
  <si>
    <t>Increase in year</t>
  </si>
  <si>
    <t>Charge for every year</t>
  </si>
  <si>
    <t>Acummulated depr.</t>
  </si>
  <si>
    <t>Net asset value</t>
  </si>
  <si>
    <t>Old tangible assets</t>
  </si>
  <si>
    <t>Gross tangible assets</t>
  </si>
  <si>
    <t>Accumulated depreciation</t>
  </si>
  <si>
    <t>Depreciation from old tangible assets</t>
  </si>
  <si>
    <t>Depreciation from new tangible assets</t>
  </si>
  <si>
    <t>Total depreciation from new CAPEX</t>
  </si>
  <si>
    <t>Total tangible assets depreciation</t>
  </si>
  <si>
    <t>Construction in progress (all)</t>
  </si>
  <si>
    <t>Beginning balance</t>
  </si>
  <si>
    <t>Transfer to tangible fixed assets (enter as -)</t>
  </si>
  <si>
    <t>Transfer to intangible fixed assets (enter as -)</t>
  </si>
  <si>
    <t>Transfer to investment properties (enter as -)</t>
  </si>
  <si>
    <t>Other changes</t>
  </si>
  <si>
    <t>Ending balance</t>
  </si>
  <si>
    <t>Intangible fixed assets</t>
  </si>
  <si>
    <t xml:space="preserve">    - Original price</t>
  </si>
  <si>
    <t xml:space="preserve">    -  % Amortization/Intangible assets</t>
  </si>
  <si>
    <t xml:space="preserve">    - Purchases of intangible assets </t>
  </si>
  <si>
    <t xml:space="preserve">    - Accumulated depreciation </t>
  </si>
  <si>
    <t>Gain/(loss) in depreciation</t>
  </si>
  <si>
    <t>CAPEX</t>
  </si>
  <si>
    <t>Tangible fixed assets</t>
  </si>
  <si>
    <t>Cost of tangible fixed assets</t>
  </si>
  <si>
    <t>Additions of tangible fixed assets</t>
  </si>
  <si>
    <t>Accumulated depreciation of tangible fixed assets</t>
  </si>
  <si>
    <t>Charge for the year of tangible fixed assets</t>
  </si>
  <si>
    <t>Finance lease assets</t>
  </si>
  <si>
    <t>Cost of finance lease assets</t>
  </si>
  <si>
    <t>Additions of finance lease assets</t>
  </si>
  <si>
    <t>Accumulated depreciation of finance lease assets</t>
  </si>
  <si>
    <t>Charge for the year of finance lease assets</t>
  </si>
  <si>
    <t>Cost of intangible fixed assets</t>
  </si>
  <si>
    <t>Additions of intangible fixed assets</t>
  </si>
  <si>
    <t>Accumulated depreciation of intangible fixed assets</t>
  </si>
  <si>
    <t>Charge for the year of intangible fixed assets</t>
  </si>
  <si>
    <t>Investment properties</t>
  </si>
  <si>
    <t>Cost of investment properties assets</t>
  </si>
  <si>
    <t>Additions of investment properties assets</t>
  </si>
  <si>
    <t>Accumulated depreciation of investment properties assets</t>
  </si>
  <si>
    <t>Charge for the year of investment properties assets</t>
  </si>
  <si>
    <t>Good will</t>
  </si>
  <si>
    <t>Amortisation of goodwill</t>
  </si>
  <si>
    <t>Capital expenditure</t>
  </si>
  <si>
    <t>Total additional assets</t>
  </si>
  <si>
    <t>Total accumulated depreciation</t>
  </si>
  <si>
    <t>Total depreciation</t>
  </si>
  <si>
    <t>Depreciation and amortisation</t>
  </si>
  <si>
    <t>% Depreciation/Tangible assets</t>
  </si>
  <si>
    <t>% Depreciation/Finance lease assets</t>
  </si>
  <si>
    <t>% Amortization/Intangible assets</t>
  </si>
  <si>
    <t>% Depreciation/Investment properties</t>
  </si>
  <si>
    <t>%Amortization/Goodwill</t>
  </si>
  <si>
    <t>% Depreciation/Total assets</t>
  </si>
  <si>
    <t>Fixed assets' average age</t>
  </si>
  <si>
    <t>Fixed assets' relative age</t>
  </si>
  <si>
    <t>CASH FLOW STATEMENT</t>
  </si>
  <si>
    <t>I. CASH FLOWS FROM OPERATING ACTIVITIES (INDIRECT MEHOD)</t>
  </si>
  <si>
    <t>Adjustments</t>
  </si>
  <si>
    <t xml:space="preserve">1. Depreciation of Fixed Assets Expenses </t>
  </si>
  <si>
    <t>2. Provisions</t>
  </si>
  <si>
    <t>3. Unrealised foreign exchange gain/(loss)</t>
  </si>
  <si>
    <t>4. Profit/(loss) from liquidating fixed assets</t>
  </si>
  <si>
    <t>5. Interest Expenses</t>
  </si>
  <si>
    <t>6. Other deductions</t>
  </si>
  <si>
    <t>Operating profit/(loss) before changes in Working Capital</t>
  </si>
  <si>
    <t>Other adjustments</t>
  </si>
  <si>
    <t>1. (Increase)/decrease in receivables</t>
  </si>
  <si>
    <t>2. (Increase)/decrease in inventories</t>
  </si>
  <si>
    <t xml:space="preserve">3. Increase/(decrease) in payables </t>
  </si>
  <si>
    <t>6. Interest paid</t>
  </si>
  <si>
    <t>7. Income Tax paid</t>
  </si>
  <si>
    <t>8. Other Incomes from Operating Activities</t>
  </si>
  <si>
    <t>9. Other Expenses from Operating Activities</t>
  </si>
  <si>
    <t>Net cashflow from operating activities</t>
  </si>
  <si>
    <t>II. CASH FLOWS FROM INVESTING ACTIVITIES</t>
  </si>
  <si>
    <t>1. Purchases of fixed assets and other long term assets</t>
  </si>
  <si>
    <t>2. Proceeds from disposal of fixed assets</t>
  </si>
  <si>
    <t>Net Cash flow from Investing activities</t>
  </si>
  <si>
    <t>III. CASH FLOWS FROM FINANCING ACTIVITIES</t>
  </si>
  <si>
    <t>Proceeds from issue of shares</t>
  </si>
  <si>
    <t>Payments for share returns and repurchases</t>
  </si>
  <si>
    <t>Increase / (Pay-off) of ST loans</t>
  </si>
  <si>
    <t>Increase / (Pay-off) of LT loans</t>
  </si>
  <si>
    <t>Dividends paid</t>
  </si>
  <si>
    <t>Changes in other LT liabilities</t>
  </si>
  <si>
    <t>Other distribution from equity</t>
  </si>
  <si>
    <t>Net Cashflow from Financing activities</t>
  </si>
  <si>
    <t>Net Cash and Cash equivalents during the period</t>
  </si>
  <si>
    <t>Cash and cash equivalents at beginning of year</t>
  </si>
  <si>
    <t>Cash and Cash equivalents at end of  year</t>
  </si>
  <si>
    <t>CÔNG TY CỔ PHẦN ĐIỆN GIA LAI - GIA LAI ELECTRICITY JOINT STOCK COMPANY
BẢNG GIẢ ĐỊNH - ASSUMPTION</t>
  </si>
  <si>
    <t>Sản lượng bình quân của mảng điện mặt trời</t>
  </si>
  <si>
    <t>Solar Energy</t>
  </si>
  <si>
    <t>Phong Điền-Huế</t>
  </si>
  <si>
    <t>Average volume (Q)</t>
  </si>
  <si>
    <t>Solar energy revenue</t>
  </si>
  <si>
    <t>As percentage (%) of total volume</t>
  </si>
  <si>
    <t>Average volume</t>
  </si>
  <si>
    <t>Real vloumne (Qr)</t>
  </si>
  <si>
    <t>Real volume (Qr)</t>
  </si>
  <si>
    <t>Qr/Q</t>
  </si>
  <si>
    <t>FIT price</t>
  </si>
  <si>
    <t>Revenue (YTD)</t>
  </si>
  <si>
    <t>Wind power revenue</t>
  </si>
  <si>
    <t>As percentage (%) of solar revenue</t>
  </si>
  <si>
    <t>Krong Pa-Gia Lai</t>
  </si>
  <si>
    <t>Hydroelectric revenue</t>
  </si>
  <si>
    <t>Total revenue</t>
  </si>
  <si>
    <t>Đức Huệ 1-Long An</t>
  </si>
  <si>
    <t>Hàm Phú 2-Bình Thuận</t>
  </si>
  <si>
    <t>Trúc Sơn-Bình Thuận</t>
  </si>
  <si>
    <t>Rooftop</t>
  </si>
  <si>
    <t>Wind power plan</t>
  </si>
  <si>
    <t>VPL 1 - Bến Tre</t>
  </si>
  <si>
    <t>Ia bang 1 - Gia Lai</t>
  </si>
  <si>
    <t>Tân Phú Đông 2 - Tiền Giang</t>
  </si>
  <si>
    <t>Tân Phú Đông 1 - Tiền Giang</t>
  </si>
  <si>
    <t>VPL 2 - Tiền Giang</t>
  </si>
  <si>
    <t>Hydroelectric</t>
  </si>
  <si>
    <t>Average volume (Q, tr. kWh)</t>
  </si>
  <si>
    <t>Construction and other services</t>
  </si>
  <si>
    <t>Revenue</t>
  </si>
  <si>
    <t>As percentage (%) of total revenue</t>
  </si>
  <si>
    <t>COGS by factors</t>
  </si>
  <si>
    <t>1. material cost</t>
  </si>
  <si>
    <t>2. Labor cost</t>
  </si>
  <si>
    <t>3. Depreciation of fixed asset</t>
  </si>
  <si>
    <t>4. outside-purchase</t>
  </si>
  <si>
    <t>5. Other cash expense</t>
  </si>
  <si>
    <t>Material cost/kWh (đồng/kWh)</t>
  </si>
  <si>
    <t>Material cost/Revenue</t>
  </si>
  <si>
    <t>Labor cost/kWh</t>
  </si>
  <si>
    <t>Outside-purchase/kWh</t>
  </si>
  <si>
    <t>Other cash expense/kWh</t>
  </si>
  <si>
    <t>As percentage of COGS</t>
  </si>
  <si>
    <t>DATE</t>
  </si>
  <si>
    <t>GEG</t>
  </si>
  <si>
    <t>VNI</t>
  </si>
  <si>
    <t>GEG return</t>
  </si>
  <si>
    <t>VNI-return</t>
  </si>
  <si>
    <t>PROJECTION</t>
  </si>
  <si>
    <t>Plus: new share issuances</t>
  </si>
  <si>
    <t>Plus: Stock based compensation</t>
  </si>
  <si>
    <t>Less: Treasury stock retired (enter as -)</t>
  </si>
  <si>
    <t>Less: Stock repurchases (enter as -)</t>
  </si>
  <si>
    <t>Plus: Stocks retired</t>
  </si>
  <si>
    <t>Development and investment fund</t>
  </si>
  <si>
    <t>Net income</t>
  </si>
  <si>
    <t>Common dividends</t>
  </si>
  <si>
    <t>Part of treasury stocks retired above common stocks &amp; treasury stock</t>
  </si>
  <si>
    <t>Ending of period</t>
  </si>
  <si>
    <t xml:space="preserve">          Dividend paid</t>
  </si>
  <si>
    <t xml:space="preserve">                 Cash dividend (%)</t>
  </si>
  <si>
    <t>DEBT WATERFALL</t>
  </si>
  <si>
    <t>LENDER</t>
  </si>
  <si>
    <t>VIETINBANK (CTG)</t>
  </si>
  <si>
    <t>Ending outstanding debt</t>
  </si>
  <si>
    <t>CTG (i)</t>
  </si>
  <si>
    <t>Outstanding debt</t>
  </si>
  <si>
    <t>Principal payment</t>
  </si>
  <si>
    <t>Interest rate</t>
  </si>
  <si>
    <t>VIETCOMBANK
(VCB)</t>
  </si>
  <si>
    <t>VCB(i)</t>
  </si>
  <si>
    <t xml:space="preserve">Principal payment </t>
  </si>
  <si>
    <t>VCB (ii)</t>
  </si>
  <si>
    <t>VCB(iii)</t>
  </si>
  <si>
    <t>VCB (iv)</t>
  </si>
  <si>
    <t>BIDV - Gia Dinh Branch
(due 3/2029)</t>
  </si>
  <si>
    <t>AGRIBANK (due 9/2029)</t>
  </si>
  <si>
    <t>WOORI BANK
(2020 - due 12/2026)</t>
  </si>
  <si>
    <t>BOND</t>
  </si>
  <si>
    <t>VNĐ</t>
  </si>
  <si>
    <t>Total</t>
  </si>
  <si>
    <t>Year based</t>
  </si>
  <si>
    <t>Total Outstanding debt</t>
  </si>
  <si>
    <t>Current portion of LT debt</t>
  </si>
  <si>
    <t>LT Debt reported</t>
  </si>
  <si>
    <t>Total Interest expense</t>
  </si>
  <si>
    <t>TT</t>
  </si>
  <si>
    <t>Debt Contract</t>
  </si>
  <si>
    <t>Expired year</t>
  </si>
  <si>
    <t>Times till expiration</t>
  </si>
  <si>
    <t>WOORI BANK</t>
  </si>
  <si>
    <t>AGRIBANK</t>
  </si>
  <si>
    <t>FINANCIAL RATIOS</t>
  </si>
  <si>
    <t>Profitability ratio</t>
  </si>
  <si>
    <t>Gross margin</t>
  </si>
  <si>
    <t>Profit margin</t>
  </si>
  <si>
    <t>ROE DuPont</t>
  </si>
  <si>
    <t>ROA DuPont</t>
  </si>
  <si>
    <t>EBIT/ Sales</t>
  </si>
  <si>
    <t>NI/EBT</t>
  </si>
  <si>
    <t>EBT / EBIT</t>
  </si>
  <si>
    <t>Assets turnover</t>
  </si>
  <si>
    <t>A/E</t>
  </si>
  <si>
    <t>Efficiency ratio</t>
  </si>
  <si>
    <t>Cash conversion cycle</t>
  </si>
  <si>
    <t>COGS / Inventory</t>
  </si>
  <si>
    <t>Liquidity ratio</t>
  </si>
  <si>
    <t>Current ratio</t>
  </si>
  <si>
    <t>Quick ratio</t>
  </si>
  <si>
    <t>Cash Ratio</t>
  </si>
  <si>
    <t>Interest coverage ratio</t>
  </si>
  <si>
    <t>COMMONSIZE</t>
  </si>
  <si>
    <t>Đơn vị kiểm toán</t>
  </si>
  <si>
    <t>PwC</t>
  </si>
  <si>
    <t>EY</t>
  </si>
  <si>
    <t>AAC</t>
  </si>
  <si>
    <t>-</t>
  </si>
  <si>
    <t>Ý kiến kiểm toán</t>
  </si>
  <si>
    <t>Chấp nhận toàn phần</t>
  </si>
  <si>
    <t xml:space="preserve">Forecasting Discrepancies </t>
  </si>
  <si>
    <t>3. Changes in ST-LT Financial Investments</t>
  </si>
  <si>
    <t>4. Interest, dividends, shared profit from investments</t>
  </si>
  <si>
    <t>5. Changes in other LT assets</t>
  </si>
  <si>
    <t>New construction at the beginning of the year</t>
  </si>
  <si>
    <t>Equity risk premium</t>
  </si>
  <si>
    <t>Income Statement Assumptions</t>
  </si>
  <si>
    <t>Solar power</t>
  </si>
  <si>
    <t>Wind power</t>
  </si>
  <si>
    <t>Hydroeclectricity</t>
  </si>
  <si>
    <t>Construction</t>
  </si>
  <si>
    <t>Gross Profit Margin</t>
  </si>
  <si>
    <r>
      <t>We expect gross profit margin to grow at a</t>
    </r>
    <r>
      <rPr>
        <b/>
        <sz val="12"/>
        <color theme="1"/>
        <rFont val="Times New Roman"/>
        <family val="1"/>
      </rPr>
      <t xml:space="preserve"> CAGR of 13%</t>
    </r>
    <r>
      <rPr>
        <sz val="12"/>
        <color theme="1"/>
        <rFont val="Times New Roman"/>
        <family val="1"/>
      </rPr>
      <t xml:space="preserve"> from 2021-2025. In which, gross profit margin will decrease to 47% in the period 2021-2022 due to the sharp increase in depreciation expense from new factories.</t>
    </r>
  </si>
  <si>
    <t>COGS</t>
  </si>
  <si>
    <t>Balance Sheet Assumptions</t>
  </si>
  <si>
    <t>Day Receivable/Revenue</t>
  </si>
  <si>
    <t>DOH/Revenue</t>
  </si>
  <si>
    <t>Long-term Debt</t>
  </si>
  <si>
    <t>Short-term Debt</t>
  </si>
  <si>
    <t>Increase 10% each year</t>
  </si>
  <si>
    <t>%Cash Dividend</t>
  </si>
  <si>
    <r>
      <t xml:space="preserve">For the hydropower segment, we forecast to operate at a </t>
    </r>
    <r>
      <rPr>
        <b/>
        <sz val="12"/>
        <color theme="1"/>
        <rFont val="Times New Roman"/>
        <family val="1"/>
      </rPr>
      <t xml:space="preserve">Qr/Q (real volume/average volume) level of 90% in 2021 due to La Nina </t>
    </r>
    <r>
      <rPr>
        <sz val="12"/>
        <color theme="1"/>
        <rFont val="Times New Roman"/>
        <family val="1"/>
      </rPr>
      <t xml:space="preserve">and down to </t>
    </r>
    <r>
      <rPr>
        <b/>
        <sz val="12"/>
        <color theme="1"/>
        <rFont val="Times New Roman"/>
        <family val="1"/>
      </rPr>
      <t>80% in 2022 and 77% onward</t>
    </r>
    <r>
      <rPr>
        <sz val="12"/>
        <color theme="1"/>
        <rFont val="Times New Roman"/>
        <family val="1"/>
      </rPr>
      <t xml:space="preserve"> due to the phenomenon La Nina phasing out.</t>
    </r>
  </si>
  <si>
    <r>
      <t xml:space="preserve">We forecast that revenue from this segment will </t>
    </r>
    <r>
      <rPr>
        <b/>
        <sz val="12"/>
        <color theme="1"/>
        <rFont val="Times New Roman"/>
        <family val="1"/>
      </rPr>
      <t>account for 5% in 2021</t>
    </r>
    <r>
      <rPr>
        <sz val="12"/>
        <color theme="1"/>
        <rFont val="Times New Roman"/>
        <family val="1"/>
      </rPr>
      <t xml:space="preserve"> due to the COVID-19 pandemic; and </t>
    </r>
    <r>
      <rPr>
        <b/>
        <sz val="12"/>
        <color theme="1"/>
        <rFont val="Times New Roman"/>
        <family val="1"/>
      </rPr>
      <t>maintained at 5%</t>
    </r>
    <r>
      <rPr>
        <sz val="12"/>
        <color theme="1"/>
        <rFont val="Times New Roman"/>
        <family val="1"/>
      </rPr>
      <t xml:space="preserve"> onward as the GEG is focusing on the renewable energy segment.</t>
    </r>
  </si>
  <si>
    <t xml:space="preserve">We forecast material cost will increase 2% per year due to inflation.
Labor costs in 2021 decreased sharply due to GEG's personnel restructuring. Previously, in 2019 when GEG carried out the construction of solar power plants, it also restructured once. That's why we set the 2021 labor cost at 10 VND/kwh. The following years is 100 VND/kwh
We estimate the cost of outsourcing will decrease by 10% per year from 2021 as GEG is upgrading the in-house technician team to maintain the factories without having to outsource them.
</t>
  </si>
  <si>
    <t>GEG is in the investment phase so we expect the cash dividend to drop to 3% per year</t>
  </si>
  <si>
    <t>5% reduction (compared to the previous year) from 2021 onward due to the implementation of TPD1, VPL2 projects by enterprises.</t>
  </si>
  <si>
    <t>Increase 5% point in 2021 (according to the company's expected data) and we take the average of 5 previous years for the next forecast</t>
  </si>
  <si>
    <r>
      <t xml:space="preserve">Solar radiation falling on Vietnam is forecasted to increase sharply in the coming years, especially in the Central and Southern regions. GEG is developing a team of experienced technicians to run factories better. EVN will upgrade the power transmission line to meet the electricity output according to Circular 55. Therefore, we forecast that the actual output divided by theory (Qr/Q) of the solar power array will be </t>
    </r>
    <r>
      <rPr>
        <b/>
        <sz val="12"/>
        <color theme="1"/>
        <rFont val="Times New Roman"/>
        <family val="1"/>
      </rPr>
      <t>105% from 2023 onward</t>
    </r>
    <r>
      <rPr>
        <sz val="12"/>
        <color theme="1"/>
        <rFont val="Times New Roman"/>
        <family val="1"/>
      </rPr>
      <t xml:space="preserve">. Duc Hue 1-Long An solar power plant alone will be </t>
    </r>
    <r>
      <rPr>
        <b/>
        <sz val="12"/>
        <color theme="1"/>
        <rFont val="Times New Roman"/>
        <family val="1"/>
      </rPr>
      <t>115% from 2023</t>
    </r>
    <r>
      <rPr>
        <sz val="12"/>
        <color theme="1"/>
        <rFont val="Times New Roman"/>
        <family val="1"/>
      </rPr>
      <t xml:space="preserve"> because the demand for electricity in the South and heat radiation in this area will increase sharply. In the two years </t>
    </r>
    <r>
      <rPr>
        <b/>
        <sz val="12"/>
        <color theme="1"/>
        <rFont val="Times New Roman"/>
        <family val="1"/>
      </rPr>
      <t>2021 and 2022</t>
    </r>
    <r>
      <rPr>
        <sz val="12"/>
        <color theme="1"/>
        <rFont val="Times New Roman"/>
        <family val="1"/>
      </rPr>
      <t xml:space="preserve">, due to the complicated situation of the Covid epidemic, we have set the Qr/Q level at </t>
    </r>
    <r>
      <rPr>
        <b/>
        <sz val="12"/>
        <color theme="1"/>
        <rFont val="Times New Roman"/>
        <family val="1"/>
      </rPr>
      <t>90% and 100% respectively.</t>
    </r>
  </si>
  <si>
    <r>
      <t xml:space="preserve">In 2021, 3 wind power plants will officially come into operation and enjoy preferential FIT prices: Ia Bang 1, Tan Phu Dong 2 and VPL1-Ben Tre. In which, Ia Bang 1 is an onshore project, so the FIT price is 8.5 cents/kwh; Tan Phu Dong 2 and VPL1 are nearshore projects, so the FIT price 9.8 iscents/kwh. We forecast that the output of these 3 factories will be </t>
    </r>
    <r>
      <rPr>
        <b/>
        <sz val="12"/>
        <color theme="1"/>
        <rFont val="Times New Roman"/>
        <family val="1"/>
      </rPr>
      <t>16% compared to the average output in 2021</t>
    </r>
    <r>
      <rPr>
        <sz val="12"/>
        <color theme="1"/>
        <rFont val="Times New Roman"/>
        <family val="1"/>
      </rPr>
      <t xml:space="preserve"> (Since these factories will come into operation in Q4/2021 when the epidemic situation is under control, industrial zones are gradually reopening, leading to a recovery in electricity demand) and </t>
    </r>
    <r>
      <rPr>
        <b/>
        <sz val="12"/>
        <color theme="1"/>
        <rFont val="Times New Roman"/>
        <family val="1"/>
      </rPr>
      <t>100% for the following years</t>
    </r>
    <r>
      <rPr>
        <sz val="12"/>
        <color theme="1"/>
        <rFont val="Times New Roman"/>
        <family val="1"/>
      </rPr>
      <t xml:space="preserve"> due to GEG's improvement in operating quality, EVN's upgrade of power transmission lines and favorable location in strong wind area. The remaining 2 plants, VPL2-Tien Giang and Tan Phu Dong 1 (2 projects near the shore) are still waiting to finalize electricity prices. According to the company's forecast, the price is expected to</t>
    </r>
    <r>
      <rPr>
        <b/>
        <sz val="12"/>
        <color theme="1"/>
        <rFont val="Times New Roman"/>
        <family val="1"/>
      </rPr>
      <t xml:space="preserve"> decrease by 10%</t>
    </r>
    <r>
      <rPr>
        <sz val="12"/>
        <color theme="1"/>
        <rFont val="Times New Roman"/>
        <family val="1"/>
      </rPr>
      <t xml:space="preserve"> compared to the nearshore FIT price.</t>
    </r>
  </si>
  <si>
    <t>Besides assuming the company will gradually repay its debt in the future, we believe that the company will add about VND 2 trillion in long-term debt in 2022 to finance 2 wind power projects VPL2 and Tan Phu Dong 1 in Tien Giang (Total investment is about 5 trillion, 70% financed by debt, about 3.5 trillion, in 2021, 1.5 trillion has been disbursed)</t>
  </si>
  <si>
    <t>I. Cash and Cash Equivalents</t>
  </si>
  <si>
    <t>1. Cash</t>
  </si>
  <si>
    <t>II. Short-term Financial Investment</t>
  </si>
  <si>
    <t>1. Securities available for sale</t>
  </si>
  <si>
    <t>2. Cash equivalents</t>
  </si>
  <si>
    <t>3. Securities hold to maturity</t>
  </si>
  <si>
    <t>III. Short-term Receivables</t>
  </si>
  <si>
    <t>1. Short-term receivables from customers</t>
  </si>
  <si>
    <t>2. Prepaid for suppliers</t>
  </si>
  <si>
    <t>3. Internal short-term receivables</t>
  </si>
  <si>
    <t>4. Receivables according to construction contract progress</t>
  </si>
  <si>
    <t>5. Short-term loan receivable</t>
  </si>
  <si>
    <t>6. Other short-term receivables</t>
  </si>
  <si>
    <t>7. Provision for short-term doubtful receivables</t>
  </si>
  <si>
    <t>2. Provision for decline in value of investments in securities</t>
  </si>
  <si>
    <t>8. Assets missing pending for resolution</t>
  </si>
  <si>
    <t>IV. Inventory</t>
  </si>
  <si>
    <t>1. Inventory</t>
  </si>
  <si>
    <t>2. Provision for devaluation of inventory</t>
  </si>
  <si>
    <t>V. Other Current Asset</t>
  </si>
  <si>
    <t>1. Short-term prepaid expense</t>
  </si>
  <si>
    <t>2. Deductible input VAT</t>
  </si>
  <si>
    <t>3. Taxes and other receivables from the State budget</t>
  </si>
  <si>
    <t>4. Government bond repurchase transaction</t>
  </si>
  <si>
    <t>5. Other current asset</t>
  </si>
  <si>
    <t>I. Long-term receivables</t>
  </si>
  <si>
    <t>1. Long term trade receivables</t>
  </si>
  <si>
    <t>2. Long term advance to suppliers</t>
  </si>
  <si>
    <t>3. Working capital from sub-units</t>
  </si>
  <si>
    <t>4. Internal receivables</t>
  </si>
  <si>
    <t>5. Long term loan receivables</t>
  </si>
  <si>
    <t xml:space="preserve">6. Long term other receivables </t>
  </si>
  <si>
    <t>7. Provision for long-term bad debts</t>
  </si>
  <si>
    <t>1. Tangible fixed assets</t>
  </si>
  <si>
    <t>II. Fixed assets</t>
  </si>
  <si>
    <t>B. NON-CURRENT ASSETS</t>
  </si>
  <si>
    <t>A. CURRENT ASSETS</t>
  </si>
  <si>
    <t>- Cost</t>
  </si>
  <si>
    <t>- Accumulated depreciation</t>
  </si>
  <si>
    <t>2. Fixed assets of finance leasing</t>
  </si>
  <si>
    <t>3. Intangible fixed assets</t>
  </si>
  <si>
    <t>III. Investment properties</t>
  </si>
  <si>
    <t>1. Cost</t>
  </si>
  <si>
    <t>2. Accumulated depreciation</t>
  </si>
  <si>
    <t>IV. Long term assets in progress</t>
  </si>
  <si>
    <t>1. Long term work in progress</t>
  </si>
  <si>
    <t>2. Long term construction in progress</t>
  </si>
  <si>
    <t>V. Long-term investments</t>
  </si>
  <si>
    <t>1. Investments in subsidiary</t>
  </si>
  <si>
    <t>2. Investments in joint-venture, associates</t>
  </si>
  <si>
    <t>3. Other long-term investments</t>
  </si>
  <si>
    <t>4. Provision for long-term investments</t>
  </si>
  <si>
    <t>5. Held-to-maturity investments</t>
  </si>
  <si>
    <t>VI. Other long-term assets</t>
  </si>
  <si>
    <t>1. Long-term prepaid expenses</t>
  </si>
  <si>
    <t>2. Deferred tax assets</t>
  </si>
  <si>
    <t>3. Long-term equipment, materials and spare parts</t>
  </si>
  <si>
    <t>4. Other long-term assets</t>
  </si>
  <si>
    <t>5. Goodwill</t>
  </si>
  <si>
    <t>TOTAL ASSETS</t>
  </si>
  <si>
    <t>C. LIABILITIES</t>
  </si>
  <si>
    <t>I. Current liabilities</t>
  </si>
  <si>
    <t>1. Trade payables</t>
  </si>
  <si>
    <t>2. Advances from customers</t>
  </si>
  <si>
    <t>3. Statutory obligations</t>
  </si>
  <si>
    <t>4. Payables to employees</t>
  </si>
  <si>
    <t>6. Payables to related parties</t>
  </si>
  <si>
    <t>5. Accrued expenses</t>
  </si>
  <si>
    <t>7. Payables from construction contract</t>
  </si>
  <si>
    <t>8. Short-term deferred revenue</t>
  </si>
  <si>
    <t>9. Other short-term payables</t>
  </si>
  <si>
    <t>10. Short-term loan and payable for finance leasing</t>
  </si>
  <si>
    <t>11. Provision for short-term payable</t>
  </si>
  <si>
    <t>12. Reward and welfare funds</t>
  </si>
  <si>
    <t>13. Stabilization fund</t>
  </si>
  <si>
    <t>14. Trading Government bonds</t>
  </si>
  <si>
    <t>II. Non-current liabilities</t>
  </si>
  <si>
    <t>1. Long term trade payables</t>
  </si>
  <si>
    <t>2. Long term advance to customers</t>
  </si>
  <si>
    <t>3. Long term accruals</t>
  </si>
  <si>
    <t>4. Working capital from subunits</t>
  </si>
  <si>
    <t>5. Long term payables to related parties</t>
  </si>
  <si>
    <t>6. Long term deferred revenue</t>
  </si>
  <si>
    <t>7. Other long term liabilities</t>
  </si>
  <si>
    <t>8. Long term loans and debts</t>
  </si>
  <si>
    <t>9. Convertible bond</t>
  </si>
  <si>
    <t>10. Preference shares</t>
  </si>
  <si>
    <t>11. Deferred tax liabilities</t>
  </si>
  <si>
    <t>12. Provision for bad debts</t>
  </si>
  <si>
    <t>13. The development of science and technology fund</t>
  </si>
  <si>
    <t>D. OWNER’S’ EQUITY</t>
  </si>
  <si>
    <t>I. Capital</t>
  </si>
  <si>
    <t>1. Contributed chartered capital</t>
  </si>
  <si>
    <t>- Ordinary shares</t>
  </si>
  <si>
    <t>- Preference shares</t>
  </si>
  <si>
    <t>2. Share premium</t>
  </si>
  <si>
    <t>3. Bond option</t>
  </si>
  <si>
    <t>4. Other equity</t>
  </si>
  <si>
    <t>5. Treasury shares</t>
  </si>
  <si>
    <t>6. Asset revaluation difference</t>
  </si>
  <si>
    <t>7. Foreign exchange gain/loss</t>
  </si>
  <si>
    <t>8. Supplementary capital reserve fund</t>
  </si>
  <si>
    <t>9. Financial reserve fund</t>
  </si>
  <si>
    <t>10. Other fund of owners’ equity</t>
  </si>
  <si>
    <t>11. Undistributed earnings</t>
  </si>
  <si>
    <t>- Previous year undistributed earnings</t>
  </si>
  <si>
    <t>- This year undistributed earnings</t>
  </si>
  <si>
    <t>12. Construction investment fund</t>
  </si>
  <si>
    <t>II. Other fund</t>
  </si>
  <si>
    <t>1. Other fund</t>
  </si>
  <si>
    <t>2. Fixed assets arising from other fund</t>
  </si>
  <si>
    <t>13. Non-controlling interest</t>
  </si>
  <si>
    <t>TOTAL EQUITY</t>
  </si>
  <si>
    <t>1. Revenue from sale of goods and services</t>
  </si>
  <si>
    <t>2. Deduction</t>
  </si>
  <si>
    <t>3. Net revenue from sale of goods and services</t>
  </si>
  <si>
    <t xml:space="preserve">4. Costs of goods sold </t>
  </si>
  <si>
    <t xml:space="preserve">5. Gross profit </t>
  </si>
  <si>
    <t>6. Income from financial activities</t>
  </si>
  <si>
    <t>7. Expenses from financial activities</t>
  </si>
  <si>
    <t>-  In which: Interest expenses</t>
  </si>
  <si>
    <t>8. Share in profits of associates</t>
  </si>
  <si>
    <t>9. Selling expenses</t>
  </si>
  <si>
    <t>10. General and administrative expenses</t>
  </si>
  <si>
    <t>11. Operating profit</t>
  </si>
  <si>
    <t>12. Other income</t>
  </si>
  <si>
    <t>13. Other expenses</t>
  </si>
  <si>
    <t>14. Other profit</t>
  </si>
  <si>
    <t>16. Current corporate income tax expense</t>
  </si>
  <si>
    <t>17. Deferred corporate income tax expense</t>
  </si>
  <si>
    <t>18. Net profit after tax</t>
  </si>
  <si>
    <t>19. Equity holders of non-controlling interest</t>
  </si>
  <si>
    <t>20. Net profit after tax of parent company</t>
  </si>
  <si>
    <t>I. CASH FLOWS FROM OPERATING ACTIVITIES</t>
  </si>
  <si>
    <t>1. Net profit before tax</t>
  </si>
  <si>
    <t>2. Adjustments for:</t>
  </si>
  <si>
    <t>Provision for decline in value of investments</t>
  </si>
  <si>
    <t>Gain (loss) from disposal of equity investments in other entities</t>
  </si>
  <si>
    <t>Gain (loss) on foreign exchange</t>
  </si>
  <si>
    <t>(Gain) loss on disposal of assets</t>
  </si>
  <si>
    <t>Interest expenses</t>
  </si>
  <si>
    <t>Other adjustment</t>
  </si>
  <si>
    <t>Interest income</t>
  </si>
  <si>
    <t>Goodwill amortization</t>
  </si>
  <si>
    <t>(Gain) loss on disposal of fixed assets</t>
  </si>
  <si>
    <t>3. Operating income before changes in working capital</t>
  </si>
  <si>
    <t>Decrease/(increase) in receivables</t>
  </si>
  <si>
    <t>Decrease/(increase) in inventories</t>
  </si>
  <si>
    <t>Decrease/(Increase) in securities held for trading</t>
  </si>
  <si>
    <t>Increase in payables (not included interest expenses and income tax payables)</t>
  </si>
  <si>
    <t>Decrease/(Increase) in prepaid expenses</t>
  </si>
  <si>
    <t>Interest paid</t>
  </si>
  <si>
    <t>Enterprise income tax paid</t>
  </si>
  <si>
    <t>Other income from business activities</t>
  </si>
  <si>
    <t>Other cash inflows/(outflows) from operating activities</t>
  </si>
  <si>
    <t>II.CASH FLOWS FROM INVESTING ACTIVITIES</t>
  </si>
  <si>
    <t>1. Purchase and construction of fixed assets and other long-term assets</t>
  </si>
  <si>
    <t>2. Proceeds from disposals of assets</t>
  </si>
  <si>
    <t>3.  Loans provided to related parties and other</t>
  </si>
  <si>
    <t>4. Collection of loans provided to related parties and other</t>
  </si>
  <si>
    <t xml:space="preserve">5. Payments for equity investments in other entities </t>
  </si>
  <si>
    <t>6. Proceed from collection investment in other entity</t>
  </si>
  <si>
    <t>7. Interest and dividend received</t>
  </si>
  <si>
    <t>8. Proceed from other investment acitivities</t>
  </si>
  <si>
    <t>1. Proceeds from issuance of ordinary shares</t>
  </si>
  <si>
    <t>2. Money to return contributed capital to owners, buy back shares of the issued enterprise</t>
  </si>
  <si>
    <t>3.  Proceeds from bond issuance and borrowings</t>
  </si>
  <si>
    <t>4. Payments of loan</t>
  </si>
  <si>
    <t>5. Payments for principal of finance leaser</t>
  </si>
  <si>
    <t>6. Dividend paid to owner</t>
  </si>
  <si>
    <t>7. Proceed from other financial activities</t>
  </si>
  <si>
    <t>V. Cash and cash equivalents at the beginning of the period</t>
  </si>
  <si>
    <t>VI. Cash and cash equivalents at the end of the period</t>
  </si>
  <si>
    <t>IV. Net cash flow during the period</t>
  </si>
  <si>
    <t>Thailand</t>
  </si>
  <si>
    <t>Chinese</t>
  </si>
  <si>
    <t>Vietnam</t>
  </si>
  <si>
    <t>GIA LAI ELECTRICITY JSC (GEG)</t>
  </si>
  <si>
    <t>PetroVietnam Power Nhon Trach 2 JSC</t>
  </si>
  <si>
    <t>Vinh Son - Song Hinh Hydropower JSC</t>
  </si>
  <si>
    <t>Power Generation Joint Stock Corporation 2</t>
  </si>
  <si>
    <t>PetroVietnam Power Corporation</t>
  </si>
  <si>
    <t>Operating profit</t>
  </si>
  <si>
    <t>Tax</t>
  </si>
  <si>
    <t>Depreciation</t>
  </si>
  <si>
    <t>Change in net working capital</t>
  </si>
  <si>
    <t>Tan Phu Dong 2 wind farm</t>
  </si>
  <si>
    <t>VPL1 wind farm</t>
  </si>
  <si>
    <t>IA Bang 1 wind farm</t>
  </si>
  <si>
    <t>Tan Phu Dong 1 wind farm</t>
  </si>
  <si>
    <t>VPL2 wind farm</t>
  </si>
  <si>
    <t>Total solar energy volume in 2020 (MWp)</t>
  </si>
  <si>
    <t>Million VNĐ</t>
  </si>
  <si>
    <t>Debt/Assets Ratio</t>
  </si>
  <si>
    <t>Debt/Equity Ratio</t>
  </si>
  <si>
    <t>Short-term Debt/Equity Ratio</t>
  </si>
  <si>
    <t>Long-term Debt/Equity Ratio</t>
  </si>
  <si>
    <t>TARGET PRICE (Thousand VND)</t>
  </si>
  <si>
    <t xml:space="preserve">CURRENT PRICE (15/12/2021, thousand VND) </t>
  </si>
  <si>
    <t>PRICE (Thousand VND)</t>
  </si>
  <si>
    <t>Enterprise Value (MillionVND)</t>
  </si>
  <si>
    <t>15. Earning Before Interest and Tax</t>
  </si>
  <si>
    <t>Bond outstanding at the beginning of the year</t>
  </si>
  <si>
    <t>Bond outstanding at the end of the year</t>
  </si>
  <si>
    <t>Bond issuance</t>
  </si>
  <si>
    <t>Unit</t>
  </si>
  <si>
    <t>BALANCE SHEET (Billion 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</si>
</sst>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3" formatCode="_(* #,##0.00_);_(* \(#,##0.00\);_(* &quot;-&quot;??_);_(@_)"/>
    <numFmt numFmtId="164" formatCode="0.0"/>
    <numFmt numFmtId="165" formatCode="#,##0.0"/>
    <numFmt numFmtId="166" formatCode="0.000"/>
    <numFmt numFmtId="167" formatCode="0.0%"/>
    <numFmt numFmtId="168" formatCode="_(* #,##0_);_(* \(#,##0\);_(* &quot;-&quot;??_);_(@_)"/>
    <numFmt numFmtId="169" formatCode="_(* #,##0.0_);_(* \(#,##0.0\);_(* &quot;-&quot;??_);_(@_)"/>
    <numFmt numFmtId="170" formatCode="[$-409]d\-mmm\-yy"/>
    <numFmt numFmtId="171" formatCode="_(* #,##0.00_);_(* \(#,##0.00\);_(* &quot;-&quot;??.00_);_(@_)"/>
    <numFmt numFmtId="172" formatCode="_(* #,##0.0_);_(* \(#,##0.0\);_(* &quot;-&quot;??.0_);_(@_)"/>
    <numFmt numFmtId="173" formatCode="mm/dd/yyyy"/>
    <numFmt numFmtId="174" formatCode="m/d/yyyy"/>
    <numFmt numFmtId="175" formatCode="_-* #,##0_-;\-* #,##0_-;_-* &quot;-&quot;??_-;_-@"/>
    <numFmt numFmtId="176" formatCode="_-* #,##0.00_-;\-* #,##0.00_-;_-* &quot;-&quot;??.00_-;_-@"/>
    <numFmt numFmtId="177" formatCode="0_);[Red]\(0\)"/>
    <numFmt numFmtId="178" formatCode="[$-1010000]d/m/yy"/>
    <numFmt numFmtId="179" formatCode="0.0000"/>
    <numFmt numFmtId="180" formatCode="0.0_);\(0.0\)"/>
    <numFmt numFmtId="181" formatCode="0.00_);\(0.00\)"/>
  </numFmts>
  <fonts count="54">
    <font>
      <sz val="12"/>
      <color theme="1"/>
      <name val="Calibri"/>
      <scheme val="minor"/>
    </font>
    <font>
      <b/>
      <sz val="11"/>
      <color theme="0"/>
      <name val="Times New Roman"/>
      <family val="1"/>
    </font>
    <font>
      <b/>
      <sz val="13"/>
      <color theme="0"/>
      <name val="Times New Roman"/>
      <family val="1"/>
    </font>
    <font>
      <sz val="11"/>
      <color theme="1"/>
      <name val="Times New Roman"/>
      <family val="1"/>
    </font>
    <font>
      <b/>
      <sz val="11"/>
      <color theme="1"/>
      <name val="Times New Roman"/>
      <family val="1"/>
    </font>
    <font>
      <sz val="12"/>
      <name val="Calibri"/>
      <family val="2"/>
    </font>
    <font>
      <sz val="11"/>
      <color theme="0"/>
      <name val="Times New Roman"/>
      <family val="1"/>
    </font>
    <font>
      <b/>
      <sz val="11"/>
      <color rgb="FFFF0000"/>
      <name val="Times New Roman"/>
      <family val="1"/>
    </font>
    <font>
      <b/>
      <sz val="11"/>
      <color rgb="FFFFFFFF"/>
      <name val="Times New Roman"/>
      <family val="1"/>
    </font>
    <font>
      <b/>
      <sz val="14"/>
      <color theme="0"/>
      <name val="Times New Roman"/>
      <family val="1"/>
    </font>
    <font>
      <b/>
      <sz val="11"/>
      <color rgb="FF000000"/>
      <name val="Times New Roman"/>
      <family val="1"/>
    </font>
    <font>
      <sz val="11"/>
      <color rgb="FF000000"/>
      <name val="Times New Roman"/>
      <family val="1"/>
    </font>
    <font>
      <i/>
      <sz val="11"/>
      <color rgb="FF000000"/>
      <name val="Times New Roman"/>
      <family val="1"/>
    </font>
    <font>
      <i/>
      <sz val="11"/>
      <color theme="1"/>
      <name val="Times New Roman"/>
      <family val="1"/>
    </font>
    <font>
      <b/>
      <i/>
      <sz val="11"/>
      <color theme="1"/>
      <name val="Times New Roman"/>
      <family val="1"/>
    </font>
    <font>
      <b/>
      <sz val="14"/>
      <color rgb="FFFFFFFF"/>
      <name val="Times New Roman"/>
      <family val="1"/>
    </font>
    <font>
      <b/>
      <sz val="15"/>
      <color theme="0"/>
      <name val="Times New Roman"/>
      <family val="1"/>
    </font>
    <font>
      <b/>
      <sz val="13"/>
      <color rgb="FF00B050"/>
      <name val="Times New Roman"/>
      <family val="1"/>
    </font>
    <font>
      <b/>
      <sz val="15"/>
      <color rgb="FFFF0000"/>
      <name val="&quot;Times New Roman&quot;"/>
    </font>
    <font>
      <b/>
      <sz val="15"/>
      <color rgb="FFFF0000"/>
      <name val="Times New Roman"/>
      <family val="1"/>
    </font>
    <font>
      <sz val="11"/>
      <color rgb="FF00B050"/>
      <name val="Times New Roman"/>
      <family val="1"/>
    </font>
    <font>
      <b/>
      <sz val="20"/>
      <color theme="0"/>
      <name val="Times New Roman"/>
      <family val="1"/>
    </font>
    <font>
      <b/>
      <sz val="13"/>
      <color theme="1"/>
      <name val="Times New Roman"/>
      <family val="1"/>
    </font>
    <font>
      <b/>
      <sz val="15"/>
      <color rgb="FFFFFFFF"/>
      <name val="Times New Roman"/>
      <family val="1"/>
    </font>
    <font>
      <b/>
      <sz val="12"/>
      <color theme="0"/>
      <name val="Times New Roman"/>
      <family val="1"/>
    </font>
    <font>
      <sz val="11"/>
      <color rgb="FF1F497D"/>
      <name val="Times New Roman"/>
      <family val="1"/>
    </font>
    <font>
      <b/>
      <sz val="11"/>
      <color rgb="FF7F7F7F"/>
      <name val="Times New Roman"/>
      <family val="1"/>
    </font>
    <font>
      <sz val="12"/>
      <color theme="1"/>
      <name val="Times New Roman"/>
      <family val="1"/>
    </font>
    <font>
      <b/>
      <sz val="12"/>
      <color rgb="FFFFFFFF"/>
      <name val="Times New Roman"/>
      <family val="1"/>
    </font>
    <font>
      <sz val="12"/>
      <color theme="1"/>
      <name val="Times New Roman"/>
      <family val="1"/>
    </font>
    <font>
      <b/>
      <sz val="12"/>
      <color theme="1"/>
      <name val="Times New Roman"/>
      <family val="1"/>
    </font>
    <font>
      <b/>
      <i/>
      <sz val="12"/>
      <color theme="1"/>
      <name val="Times New Roman"/>
      <family val="1"/>
    </font>
    <font>
      <sz val="12"/>
      <color rgb="FF4285F4"/>
      <name val="Times New Roman"/>
      <family val="1"/>
    </font>
    <font>
      <i/>
      <sz val="11"/>
      <color rgb="FF7F7F7F"/>
      <name val="Times New Roman"/>
      <family val="1"/>
    </font>
    <font>
      <b/>
      <sz val="11"/>
      <color rgb="FF2B2B2B"/>
      <name val="Times New Roman"/>
      <family val="1"/>
    </font>
    <font>
      <sz val="11"/>
      <color rgb="FF2B2B2B"/>
      <name val="Times New Roman"/>
      <family val="1"/>
    </font>
    <font>
      <b/>
      <i/>
      <sz val="12"/>
      <color theme="0"/>
      <name val="Times New Roman"/>
      <family val="1"/>
    </font>
    <font>
      <sz val="12"/>
      <color theme="1"/>
      <name val="Calibri"/>
      <family val="2"/>
      <scheme val="minor"/>
    </font>
    <font>
      <b/>
      <sz val="12"/>
      <color theme="1"/>
      <name val="Calibri"/>
      <family val="2"/>
      <scheme val="minor"/>
    </font>
    <font>
      <sz val="11"/>
      <color theme="1"/>
      <name val="Times New Roman"/>
      <family val="1"/>
    </font>
    <font>
      <b/>
      <sz val="11"/>
      <color theme="1"/>
      <name val="Times New Roman"/>
      <family val="1"/>
    </font>
    <font>
      <sz val="11"/>
      <color rgb="FF000000"/>
      <name val="Times New Roman"/>
      <family val="1"/>
    </font>
    <font>
      <sz val="12"/>
      <color theme="1"/>
      <name val="Times New Roman"/>
      <family val="1"/>
    </font>
    <font>
      <sz val="12"/>
      <color theme="1"/>
      <name val="Arial"/>
      <family val="2"/>
    </font>
    <font>
      <b/>
      <sz val="13"/>
      <color theme="0"/>
      <name val="Times New Roman"/>
      <family val="1"/>
    </font>
    <font>
      <sz val="12"/>
      <name val="Arial"/>
      <family val="2"/>
    </font>
    <font>
      <b/>
      <sz val="12"/>
      <color theme="1"/>
      <name val="Times New Roman"/>
      <family val="1"/>
    </font>
    <font>
      <b/>
      <sz val="13"/>
      <color rgb="FFFFFFFF"/>
      <name val="Times New Roman"/>
      <family val="1"/>
    </font>
    <font>
      <b/>
      <sz val="13"/>
      <color theme="1"/>
      <name val="Times New Roman"/>
      <family val="1"/>
    </font>
    <font>
      <sz val="12"/>
      <color theme="1"/>
      <name val="Arial"/>
      <family val="2"/>
    </font>
    <font>
      <sz val="11"/>
      <name val="Times New Roman"/>
      <family val="1"/>
    </font>
    <font>
      <sz val="12"/>
      <name val="Calibri"/>
      <family val="2"/>
      <scheme val="minor"/>
    </font>
    <font>
      <b/>
      <sz val="11"/>
      <color theme="0"/>
      <name val="Times New Roman"/>
      <family val="1"/>
    </font>
    <font>
      <b/>
      <sz val="15"/>
      <color theme="0"/>
      <name val="Times New Roman"/>
      <family val="1"/>
    </font>
  </fonts>
  <fills count="21">
    <fill>
      <patternFill patternType="none"/>
    </fill>
    <fill>
      <patternFill patternType="gray125"/>
    </fill>
    <fill>
      <patternFill patternType="solid">
        <fgColor rgb="FF1F497D"/>
        <bgColor rgb="FF1F497D"/>
      </patternFill>
    </fill>
    <fill>
      <patternFill patternType="solid">
        <fgColor rgb="FF0ABB38"/>
        <bgColor rgb="FF0ABB38"/>
      </patternFill>
    </fill>
    <fill>
      <patternFill patternType="solid">
        <fgColor theme="0"/>
        <bgColor theme="0"/>
      </patternFill>
    </fill>
    <fill>
      <patternFill patternType="solid">
        <fgColor rgb="FFFFFF00"/>
        <bgColor rgb="FFFFFF00"/>
      </patternFill>
    </fill>
    <fill>
      <patternFill patternType="solid">
        <fgColor rgb="FFD9EAD3"/>
        <bgColor rgb="FFD9EAD3"/>
      </patternFill>
    </fill>
    <fill>
      <patternFill patternType="solid">
        <fgColor rgb="FFFABF8F"/>
        <bgColor rgb="FFFABF8F"/>
      </patternFill>
    </fill>
    <fill>
      <patternFill patternType="solid">
        <fgColor theme="4"/>
        <bgColor theme="4"/>
      </patternFill>
    </fill>
    <fill>
      <patternFill patternType="solid">
        <fgColor rgb="FFFFFFFF"/>
        <bgColor rgb="FFFFFFFF"/>
      </patternFill>
    </fill>
    <fill>
      <patternFill patternType="solid">
        <fgColor rgb="FFFF0000"/>
        <bgColor rgb="FFFF0000"/>
      </patternFill>
    </fill>
    <fill>
      <patternFill patternType="solid">
        <fgColor rgb="FFF4CCCC"/>
        <bgColor rgb="FFF4CCCC"/>
      </patternFill>
    </fill>
    <fill>
      <patternFill patternType="solid">
        <fgColor rgb="FFE4CC4B"/>
        <bgColor rgb="FFE4CC4B"/>
      </patternFill>
    </fill>
    <fill>
      <patternFill patternType="solid">
        <fgColor rgb="FFFFF2CC"/>
        <bgColor rgb="FFFFF2CC"/>
      </patternFill>
    </fill>
    <fill>
      <patternFill patternType="solid">
        <fgColor rgb="FFB6D7A8"/>
        <bgColor rgb="FFB6D7A8"/>
      </patternFill>
    </fill>
    <fill>
      <patternFill patternType="solid">
        <fgColor rgb="FF00FF00"/>
        <bgColor rgb="FF00FF00"/>
      </patternFill>
    </fill>
    <fill>
      <patternFill patternType="solid">
        <fgColor rgb="FFEA9999"/>
        <bgColor rgb="FFEA9999"/>
      </patternFill>
    </fill>
    <fill>
      <patternFill patternType="solid">
        <fgColor rgb="FFFFE599"/>
        <bgColor rgb="FFFFE599"/>
      </patternFill>
    </fill>
    <fill>
      <patternFill patternType="solid">
        <fgColor rgb="FFF4CCCC"/>
        <bgColor indexed="64"/>
      </patternFill>
    </fill>
    <fill>
      <patternFill patternType="solid">
        <fgColor theme="2"/>
        <bgColor theme="0"/>
      </patternFill>
    </fill>
    <fill>
      <patternFill patternType="solid">
        <fgColor theme="2"/>
        <bgColor indexed="64"/>
      </patternFill>
    </fill>
  </fills>
  <borders count="154">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FFFFFF"/>
      </right>
      <top style="thin">
        <color rgb="FF000000"/>
      </top>
      <bottom/>
      <diagonal/>
    </border>
    <border>
      <left style="thin">
        <color rgb="FFFFFFFF"/>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FFFFFF"/>
      </right>
      <top/>
      <bottom style="thin">
        <color rgb="FF000000"/>
      </bottom>
      <diagonal/>
    </border>
    <border>
      <left style="thin">
        <color rgb="FFFFFFFF"/>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D9EAD3"/>
      </right>
      <top style="thin">
        <color rgb="FF000000"/>
      </top>
      <bottom style="thin">
        <color rgb="FFD9EAD3"/>
      </bottom>
      <diagonal/>
    </border>
    <border>
      <left style="thin">
        <color rgb="FFD9EAD3"/>
      </left>
      <right style="thin">
        <color rgb="FFD9EAD3"/>
      </right>
      <top style="thin">
        <color rgb="FF000000"/>
      </top>
      <bottom style="thin">
        <color rgb="FFD9EAD3"/>
      </bottom>
      <diagonal/>
    </border>
    <border>
      <left style="thin">
        <color rgb="FFD9EAD3"/>
      </left>
      <right/>
      <top style="thin">
        <color rgb="FF000000"/>
      </top>
      <bottom style="thin">
        <color rgb="FFD9EAD3"/>
      </bottom>
      <diagonal/>
    </border>
    <border>
      <left style="thin">
        <color rgb="FFF4CCCC"/>
      </left>
      <right style="thin">
        <color rgb="FFF4CCCC"/>
      </right>
      <top style="thin">
        <color rgb="FF000000"/>
      </top>
      <bottom style="thin">
        <color rgb="FFF4CCCC"/>
      </bottom>
      <diagonal/>
    </border>
    <border>
      <left style="thin">
        <color rgb="FFF4CCCC"/>
      </left>
      <right style="thin">
        <color rgb="FF000000"/>
      </right>
      <top style="thin">
        <color rgb="FF000000"/>
      </top>
      <bottom style="thin">
        <color rgb="FFF4CCCC"/>
      </bottom>
      <diagonal/>
    </border>
    <border>
      <left style="thin">
        <color rgb="FF000000"/>
      </left>
      <right style="thin">
        <color rgb="FF000000"/>
      </right>
      <top style="thin">
        <color rgb="FFFFFFFF"/>
      </top>
      <bottom style="thin">
        <color rgb="FFFFFFFF"/>
      </bottom>
      <diagonal/>
    </border>
    <border>
      <left style="thin">
        <color rgb="FF000000"/>
      </left>
      <right style="thin">
        <color rgb="FFD9EAD3"/>
      </right>
      <top style="thin">
        <color rgb="FFD9EAD3"/>
      </top>
      <bottom style="thin">
        <color rgb="FFD9EAD3"/>
      </bottom>
      <diagonal/>
    </border>
    <border>
      <left style="thin">
        <color rgb="FFD9EAD3"/>
      </left>
      <right style="thin">
        <color rgb="FFD9EAD3"/>
      </right>
      <top style="thin">
        <color rgb="FFD9EAD3"/>
      </top>
      <bottom style="thin">
        <color rgb="FFD9EAD3"/>
      </bottom>
      <diagonal/>
    </border>
    <border>
      <left style="thin">
        <color rgb="FFD9EAD3"/>
      </left>
      <right/>
      <top style="thin">
        <color rgb="FFD9EAD3"/>
      </top>
      <bottom style="thin">
        <color rgb="FFD9EAD3"/>
      </bottom>
      <diagonal/>
    </border>
    <border>
      <left style="thin">
        <color rgb="FFF4CCCC"/>
      </left>
      <right style="thin">
        <color rgb="FFF4CCCC"/>
      </right>
      <top style="thin">
        <color rgb="FFF4CCCC"/>
      </top>
      <bottom style="thin">
        <color rgb="FFF4CCCC"/>
      </bottom>
      <diagonal/>
    </border>
    <border>
      <left style="thin">
        <color rgb="FFF4CCCC"/>
      </left>
      <right style="thin">
        <color rgb="FF000000"/>
      </right>
      <top style="thin">
        <color rgb="FFF4CCCC"/>
      </top>
      <bottom style="thin">
        <color rgb="FFF4CCCC"/>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FFFFFF"/>
      </top>
      <bottom style="thin">
        <color rgb="FF000000"/>
      </bottom>
      <diagonal/>
    </border>
    <border>
      <left style="thin">
        <color rgb="FF000000"/>
      </left>
      <right style="thin">
        <color rgb="FFD9EAD3"/>
      </right>
      <top style="thin">
        <color rgb="FFD9EAD3"/>
      </top>
      <bottom style="thin">
        <color rgb="FF000000"/>
      </bottom>
      <diagonal/>
    </border>
    <border>
      <left style="thin">
        <color rgb="FFD9EAD3"/>
      </left>
      <right style="thin">
        <color rgb="FFD9EAD3"/>
      </right>
      <top style="thin">
        <color rgb="FFD9EAD3"/>
      </top>
      <bottom style="thin">
        <color rgb="FF000000"/>
      </bottom>
      <diagonal/>
    </border>
    <border>
      <left style="thin">
        <color rgb="FFD9EAD3"/>
      </left>
      <right/>
      <top style="thin">
        <color rgb="FFD9EAD3"/>
      </top>
      <bottom style="thin">
        <color rgb="FF000000"/>
      </bottom>
      <diagonal/>
    </border>
    <border>
      <left style="thin">
        <color rgb="FFF4CCCC"/>
      </left>
      <right style="thin">
        <color rgb="FFF4CCCC"/>
      </right>
      <top style="thin">
        <color rgb="FFF4CCCC"/>
      </top>
      <bottom style="thin">
        <color rgb="FF000000"/>
      </bottom>
      <diagonal/>
    </border>
    <border>
      <left style="thin">
        <color rgb="FFF4CCCC"/>
      </left>
      <right style="thin">
        <color rgb="FF000000"/>
      </right>
      <top style="thin">
        <color rgb="FFF4CCCC"/>
      </top>
      <bottom style="thin">
        <color rgb="FF000000"/>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diagonal/>
    </border>
    <border>
      <left style="thin">
        <color rgb="FF000000"/>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style="thin">
        <color rgb="FFFFFFFF"/>
      </right>
      <top/>
      <bottom style="thin">
        <color rgb="FFFFFFFF"/>
      </bottom>
      <diagonal/>
    </border>
    <border>
      <left style="thin">
        <color rgb="FFFFFFFF"/>
      </left>
      <right style="thin">
        <color rgb="FF000000"/>
      </right>
      <top/>
      <bottom style="thin">
        <color rgb="FFFFFFFF"/>
      </bottom>
      <diagonal/>
    </border>
    <border>
      <left style="thin">
        <color rgb="FF000000"/>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style="thin">
        <color rgb="FF000000"/>
      </left>
      <right/>
      <top style="thin">
        <color rgb="FFFFFFFF"/>
      </top>
      <bottom style="thin">
        <color rgb="FFFFFFFF"/>
      </bottom>
      <diagonal/>
    </border>
    <border>
      <left style="thin">
        <color rgb="FF000000"/>
      </left>
      <right style="thin">
        <color rgb="FFFFFFFF"/>
      </right>
      <top style="thin">
        <color rgb="FFFFFFFF"/>
      </top>
      <bottom/>
      <diagonal/>
    </border>
    <border>
      <left style="thin">
        <color rgb="FF000000"/>
      </left>
      <right style="thin">
        <color rgb="FFFFF2CC"/>
      </right>
      <top style="thin">
        <color rgb="FFFFF2CC"/>
      </top>
      <bottom style="thin">
        <color rgb="FF000000"/>
      </bottom>
      <diagonal/>
    </border>
    <border>
      <left style="thin">
        <color rgb="FFFFF2CC"/>
      </left>
      <right style="thin">
        <color rgb="FFFFF2CC"/>
      </right>
      <top style="thin">
        <color rgb="FFFFF2CC"/>
      </top>
      <bottom style="thin">
        <color rgb="FF000000"/>
      </bottom>
      <diagonal/>
    </border>
    <border>
      <left style="thin">
        <color rgb="FFFFFFFF"/>
      </left>
      <right style="thin">
        <color rgb="FFFFFFFF"/>
      </right>
      <top style="thin">
        <color rgb="FFFFFFFF"/>
      </top>
      <bottom style="thin">
        <color rgb="FF000000"/>
      </bottom>
      <diagonal/>
    </border>
    <border>
      <left/>
      <right/>
      <top style="thin">
        <color rgb="FF000000"/>
      </top>
      <bottom style="thin">
        <color rgb="FF000000"/>
      </bottom>
      <diagonal/>
    </border>
    <border>
      <left style="thin">
        <color rgb="FF000000"/>
      </left>
      <right/>
      <top/>
      <bottom style="thin">
        <color rgb="FFFFFFFF"/>
      </bottom>
      <diagonal/>
    </border>
    <border>
      <left/>
      <right style="thin">
        <color rgb="FFFFFFFF"/>
      </right>
      <top/>
      <bottom style="thin">
        <color rgb="FFFFFFFF"/>
      </bottom>
      <diagonal/>
    </border>
    <border>
      <left style="thin">
        <color rgb="FF000000"/>
      </left>
      <right/>
      <top style="thin">
        <color rgb="FFFFFFFF"/>
      </top>
      <bottom style="thin">
        <color rgb="FF000000"/>
      </bottom>
      <diagonal/>
    </border>
    <border>
      <left/>
      <right style="thin">
        <color rgb="FFFFFFFF"/>
      </right>
      <top style="thin">
        <color rgb="FFFFFFFF"/>
      </top>
      <bottom style="thin">
        <color rgb="FF000000"/>
      </bottom>
      <diagonal/>
    </border>
    <border>
      <left style="thin">
        <color rgb="FF000000"/>
      </left>
      <right style="thin">
        <color rgb="FF000000"/>
      </right>
      <top style="thin">
        <color rgb="FF000000"/>
      </top>
      <bottom style="thin">
        <color rgb="FFD9EAD3"/>
      </bottom>
      <diagonal/>
    </border>
    <border>
      <left style="thin">
        <color rgb="FFD9EAD3"/>
      </left>
      <right style="thin">
        <color rgb="FF000000"/>
      </right>
      <top style="thin">
        <color rgb="FF000000"/>
      </top>
      <bottom style="thin">
        <color rgb="FFD9EAD3"/>
      </bottom>
      <diagonal/>
    </border>
    <border>
      <left style="thin">
        <color rgb="FF000000"/>
      </left>
      <right style="thin">
        <color rgb="FF000000"/>
      </right>
      <top style="thin">
        <color rgb="FFD9EAD3"/>
      </top>
      <bottom style="thin">
        <color rgb="FFD9EAD3"/>
      </bottom>
      <diagonal/>
    </border>
    <border>
      <left style="thin">
        <color rgb="FFD9EAD3"/>
      </left>
      <right style="thin">
        <color rgb="FF000000"/>
      </right>
      <top style="thin">
        <color rgb="FFD9EAD3"/>
      </top>
      <bottom style="thin">
        <color rgb="FFD9EAD3"/>
      </bottom>
      <diagonal/>
    </border>
    <border>
      <left style="thin">
        <color rgb="FF000000"/>
      </left>
      <right style="thin">
        <color rgb="FF000000"/>
      </right>
      <top style="thin">
        <color rgb="FFD9EAD3"/>
      </top>
      <bottom style="thin">
        <color rgb="FF000000"/>
      </bottom>
      <diagonal/>
    </border>
    <border>
      <left style="thin">
        <color rgb="FFD9EAD3"/>
      </left>
      <right style="thin">
        <color rgb="FF000000"/>
      </right>
      <top style="thin">
        <color rgb="FFD9EAD3"/>
      </top>
      <bottom style="thin">
        <color rgb="FF000000"/>
      </bottom>
      <diagonal/>
    </border>
    <border>
      <left style="thin">
        <color rgb="FF000000"/>
      </left>
      <right style="thin">
        <color rgb="FFFFF2CC"/>
      </right>
      <top/>
      <bottom style="thin">
        <color rgb="FFFFF2CC"/>
      </bottom>
      <diagonal/>
    </border>
    <border>
      <left style="thin">
        <color rgb="FFFFF2CC"/>
      </left>
      <right style="thin">
        <color rgb="FFFFF2CC"/>
      </right>
      <top/>
      <bottom style="thin">
        <color rgb="FFFFF2CC"/>
      </bottom>
      <diagonal/>
    </border>
    <border>
      <left style="thin">
        <color rgb="FFFFF2CC"/>
      </left>
      <right style="thin">
        <color rgb="FF000000"/>
      </right>
      <top/>
      <bottom style="thin">
        <color rgb="FFFFF2CC"/>
      </bottom>
      <diagonal/>
    </border>
    <border>
      <left style="thin">
        <color rgb="FF000000"/>
      </left>
      <right style="thin">
        <color rgb="FFFFF2CC"/>
      </right>
      <top style="thin">
        <color rgb="FFFFF2CC"/>
      </top>
      <bottom style="thin">
        <color rgb="FFFFF2CC"/>
      </bottom>
      <diagonal/>
    </border>
    <border>
      <left style="thin">
        <color rgb="FFFFF2CC"/>
      </left>
      <right style="thin">
        <color rgb="FFFFF2CC"/>
      </right>
      <top style="thin">
        <color rgb="FFFFF2CC"/>
      </top>
      <bottom style="thin">
        <color rgb="FFFFF2CC"/>
      </bottom>
      <diagonal/>
    </border>
    <border>
      <left style="thin">
        <color rgb="FFFFF2CC"/>
      </left>
      <right style="thin">
        <color rgb="FF000000"/>
      </right>
      <top style="thin">
        <color rgb="FFFFF2CC"/>
      </top>
      <bottom style="thin">
        <color rgb="FFFFF2CC"/>
      </bottom>
      <diagonal/>
    </border>
    <border>
      <left style="thin">
        <color rgb="FFFFF2CC"/>
      </left>
      <right style="thin">
        <color rgb="FF000000"/>
      </right>
      <top style="thin">
        <color rgb="FFFFF2CC"/>
      </top>
      <bottom style="thin">
        <color rgb="FF000000"/>
      </bottom>
      <diagonal/>
    </border>
    <border>
      <left style="thin">
        <color rgb="FF000000"/>
      </left>
      <right style="thin">
        <color rgb="FFFFFFFF"/>
      </right>
      <top style="thin">
        <color rgb="FF000000"/>
      </top>
      <bottom/>
      <diagonal/>
    </border>
    <border>
      <left style="thin">
        <color rgb="FFFFFFFF"/>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000000"/>
      </left>
      <right style="thin">
        <color rgb="FF000000"/>
      </right>
      <top/>
      <bottom style="thin">
        <color rgb="FFFFFFFF"/>
      </bottom>
      <diagonal/>
    </border>
    <border>
      <left style="thin">
        <color rgb="FF000000"/>
      </left>
      <right style="thin">
        <color rgb="FF000000"/>
      </right>
      <top style="thin">
        <color rgb="FFFFFFFF"/>
      </top>
      <bottom/>
      <diagonal/>
    </border>
    <border>
      <left style="thin">
        <color rgb="FF000000"/>
      </left>
      <right/>
      <top style="thin">
        <color rgb="FFFFFFFF"/>
      </top>
      <bottom/>
      <diagonal/>
    </border>
    <border>
      <left style="thin">
        <color rgb="FF000000"/>
      </left>
      <right style="thin">
        <color rgb="FFF4CCCC"/>
      </right>
      <top style="thin">
        <color rgb="FF000000"/>
      </top>
      <bottom style="thin">
        <color rgb="FFF4CCCC"/>
      </bottom>
      <diagonal/>
    </border>
    <border>
      <left style="thin">
        <color rgb="FFF4CCCC"/>
      </left>
      <right/>
      <top style="thin">
        <color rgb="FF000000"/>
      </top>
      <bottom style="thin">
        <color rgb="FFF4CCCC"/>
      </bottom>
      <diagonal/>
    </border>
    <border>
      <left/>
      <right/>
      <top style="thin">
        <color rgb="FF000000"/>
      </top>
      <bottom style="thin">
        <color rgb="FFF4CCCC"/>
      </bottom>
      <diagonal/>
    </border>
    <border>
      <left/>
      <right style="thin">
        <color rgb="FF000000"/>
      </right>
      <top style="thin">
        <color rgb="FF000000"/>
      </top>
      <bottom style="thin">
        <color rgb="FFF4CCCC"/>
      </bottom>
      <diagonal/>
    </border>
    <border>
      <left style="thin">
        <color rgb="FF000000"/>
      </left>
      <right style="thin">
        <color rgb="FFF4CCCC"/>
      </right>
      <top style="thin">
        <color rgb="FFF4CCCC"/>
      </top>
      <bottom style="thin">
        <color rgb="FFF4CCCC"/>
      </bottom>
      <diagonal/>
    </border>
    <border>
      <left style="thin">
        <color rgb="FFF4CCCC"/>
      </left>
      <right/>
      <top style="thin">
        <color rgb="FFF4CCCC"/>
      </top>
      <bottom style="thin">
        <color rgb="FFF4CCCC"/>
      </bottom>
      <diagonal/>
    </border>
    <border>
      <left/>
      <right/>
      <top style="thin">
        <color rgb="FFF4CCCC"/>
      </top>
      <bottom style="thin">
        <color rgb="FFF4CCCC"/>
      </bottom>
      <diagonal/>
    </border>
    <border>
      <left/>
      <right style="thin">
        <color rgb="FF000000"/>
      </right>
      <top style="thin">
        <color rgb="FFF4CCCC"/>
      </top>
      <bottom style="thin">
        <color rgb="FFF4CCCC"/>
      </bottom>
      <diagonal/>
    </border>
    <border>
      <left style="thin">
        <color rgb="FF000000"/>
      </left>
      <right style="thin">
        <color rgb="FFF4CCCC"/>
      </right>
      <top style="thin">
        <color rgb="FFF4CCCC"/>
      </top>
      <bottom style="thin">
        <color rgb="FF000000"/>
      </bottom>
      <diagonal/>
    </border>
    <border>
      <left style="thin">
        <color rgb="FFF4CCCC"/>
      </left>
      <right/>
      <top style="thin">
        <color rgb="FFF4CCCC"/>
      </top>
      <bottom style="thin">
        <color rgb="FF000000"/>
      </bottom>
      <diagonal/>
    </border>
    <border>
      <left/>
      <right/>
      <top style="thin">
        <color rgb="FFF4CCCC"/>
      </top>
      <bottom style="thin">
        <color rgb="FF000000"/>
      </bottom>
      <diagonal/>
    </border>
    <border>
      <left/>
      <right style="thin">
        <color rgb="FF000000"/>
      </right>
      <top style="thin">
        <color rgb="FFF4CCCC"/>
      </top>
      <bottom style="thin">
        <color rgb="FF000000"/>
      </bottom>
      <diagonal/>
    </border>
    <border>
      <left style="thin">
        <color rgb="FF000000"/>
      </left>
      <right style="thin">
        <color rgb="FFFFE599"/>
      </right>
      <top style="thin">
        <color rgb="FF000000"/>
      </top>
      <bottom style="thin">
        <color rgb="FFFFE599"/>
      </bottom>
      <diagonal/>
    </border>
    <border>
      <left style="thin">
        <color rgb="FFFFE599"/>
      </left>
      <right/>
      <top style="thin">
        <color rgb="FF000000"/>
      </top>
      <bottom style="thin">
        <color rgb="FFFFE599"/>
      </bottom>
      <diagonal/>
    </border>
    <border>
      <left/>
      <right/>
      <top style="thin">
        <color rgb="FF000000"/>
      </top>
      <bottom style="thin">
        <color rgb="FFFFE599"/>
      </bottom>
      <diagonal/>
    </border>
    <border>
      <left/>
      <right style="thin">
        <color rgb="FF000000"/>
      </right>
      <top style="thin">
        <color rgb="FF000000"/>
      </top>
      <bottom style="thin">
        <color rgb="FFFFE599"/>
      </bottom>
      <diagonal/>
    </border>
    <border>
      <left style="thin">
        <color rgb="FF000000"/>
      </left>
      <right style="thin">
        <color rgb="FFFFE599"/>
      </right>
      <top style="thin">
        <color rgb="FFFFE599"/>
      </top>
      <bottom style="thin">
        <color rgb="FFFFE599"/>
      </bottom>
      <diagonal/>
    </border>
    <border>
      <left style="thin">
        <color rgb="FFFFE599"/>
      </left>
      <right/>
      <top style="thin">
        <color rgb="FFFFE599"/>
      </top>
      <bottom style="thin">
        <color rgb="FFFFE599"/>
      </bottom>
      <diagonal/>
    </border>
    <border>
      <left/>
      <right/>
      <top style="thin">
        <color rgb="FFFFE599"/>
      </top>
      <bottom style="thin">
        <color rgb="FFFFE599"/>
      </bottom>
      <diagonal/>
    </border>
    <border>
      <left/>
      <right style="thin">
        <color rgb="FF000000"/>
      </right>
      <top style="thin">
        <color rgb="FFFFE599"/>
      </top>
      <bottom style="thin">
        <color rgb="FFFFE599"/>
      </bottom>
      <diagonal/>
    </border>
    <border>
      <left style="thin">
        <color rgb="FFFFE599"/>
      </left>
      <right style="thin">
        <color rgb="FFFFE599"/>
      </right>
      <top style="thin">
        <color rgb="FFFFE599"/>
      </top>
      <bottom style="thin">
        <color rgb="FFFFE599"/>
      </bottom>
      <diagonal/>
    </border>
    <border>
      <left style="thin">
        <color rgb="FFFFE599"/>
      </left>
      <right style="thin">
        <color rgb="FF000000"/>
      </right>
      <top style="thin">
        <color rgb="FFFFE599"/>
      </top>
      <bottom style="thin">
        <color rgb="FFFFE599"/>
      </bottom>
      <diagonal/>
    </border>
    <border>
      <left style="thin">
        <color rgb="FF000000"/>
      </left>
      <right style="thin">
        <color rgb="FFFFE599"/>
      </right>
      <top style="thin">
        <color rgb="FFFFE599"/>
      </top>
      <bottom style="thin">
        <color rgb="FF000000"/>
      </bottom>
      <diagonal/>
    </border>
    <border>
      <left style="thin">
        <color rgb="FFFFFFFF"/>
      </left>
      <right/>
      <top/>
      <bottom/>
      <diagonal/>
    </border>
    <border>
      <left style="thin">
        <color rgb="FF000000"/>
      </left>
      <right style="thin">
        <color rgb="FFFFFFFF"/>
      </right>
      <top style="thin">
        <color rgb="FF000000"/>
      </top>
      <bottom style="thin">
        <color rgb="FFFFFFFF"/>
      </bottom>
      <diagonal/>
    </border>
    <border>
      <left style="thin">
        <color rgb="FFFFFFFF"/>
      </left>
      <right style="thin">
        <color rgb="FFFFFFFF"/>
      </right>
      <top style="thin">
        <color rgb="FF000000"/>
      </top>
      <bottom style="thin">
        <color rgb="FFFFFFFF"/>
      </bottom>
      <diagonal/>
    </border>
    <border>
      <left style="thin">
        <color rgb="FFFFFFFF"/>
      </left>
      <right style="thin">
        <color rgb="FF000000"/>
      </right>
      <top style="thin">
        <color rgb="FF000000"/>
      </top>
      <bottom style="thin">
        <color rgb="FFFFFFFF"/>
      </bottom>
      <diagonal/>
    </border>
    <border>
      <left style="thin">
        <color rgb="FF0ABB38"/>
      </left>
      <right style="thin">
        <color rgb="FF0ABB38"/>
      </right>
      <top style="thin">
        <color rgb="FF0ABB38"/>
      </top>
      <bottom style="thin">
        <color rgb="FF0ABB38"/>
      </bottom>
      <diagonal/>
    </border>
    <border>
      <left/>
      <right style="thin">
        <color rgb="FFFFFFFF"/>
      </right>
      <top/>
      <bottom/>
      <diagonal/>
    </border>
    <border>
      <left style="thin">
        <color rgb="FF000000"/>
      </left>
      <right style="thin">
        <color rgb="FFD9EAD3"/>
      </right>
      <top style="thin">
        <color rgb="FFD9EAD3"/>
      </top>
      <bottom/>
      <diagonal/>
    </border>
    <border>
      <left style="thin">
        <color rgb="FFD9EAD3"/>
      </left>
      <right style="thin">
        <color rgb="FFD9EAD3"/>
      </right>
      <top style="thin">
        <color rgb="FFD9EAD3"/>
      </top>
      <bottom/>
      <diagonal/>
    </border>
    <border>
      <left style="thin">
        <color rgb="FFD9EAD3"/>
      </left>
      <right/>
      <top style="thin">
        <color rgb="FFD9EAD3"/>
      </top>
      <bottom/>
      <diagonal/>
    </border>
    <border>
      <left style="thin">
        <color rgb="FFF4CCCC"/>
      </left>
      <right style="thin">
        <color rgb="FFF4CCCC"/>
      </right>
      <top style="thin">
        <color rgb="FFF4CCCC"/>
      </top>
      <bottom/>
      <diagonal/>
    </border>
    <border>
      <left style="thin">
        <color rgb="FFF4CCCC"/>
      </left>
      <right style="thin">
        <color rgb="FF000000"/>
      </right>
      <top style="thin">
        <color rgb="FFF4CCCC"/>
      </top>
      <bottom/>
      <diagonal/>
    </border>
    <border>
      <left/>
      <right style="thin">
        <color rgb="FF000000"/>
      </right>
      <top style="thin">
        <color rgb="FFFFFFFF"/>
      </top>
      <bottom style="thin">
        <color rgb="FFFFFFFF"/>
      </bottom>
      <diagonal/>
    </border>
    <border>
      <left style="thin">
        <color rgb="FF000000"/>
      </left>
      <right style="thin">
        <color rgb="FFD9EAD3"/>
      </right>
      <top/>
      <bottom style="thin">
        <color rgb="FFD9EAD3"/>
      </bottom>
      <diagonal/>
    </border>
    <border>
      <left style="thin">
        <color rgb="FFD9EAD3"/>
      </left>
      <right style="thin">
        <color rgb="FFD9EAD3"/>
      </right>
      <top/>
      <bottom style="thin">
        <color rgb="FFD9EAD3"/>
      </bottom>
      <diagonal/>
    </border>
    <border>
      <left style="thin">
        <color rgb="FFD9EAD3"/>
      </left>
      <right/>
      <top/>
      <bottom style="thin">
        <color rgb="FFD9EAD3"/>
      </bottom>
      <diagonal/>
    </border>
    <border>
      <left style="thin">
        <color rgb="FFF4CCCC"/>
      </left>
      <right style="thin">
        <color rgb="FFF4CCCC"/>
      </right>
      <top/>
      <bottom style="thin">
        <color rgb="FFF4CCCC"/>
      </bottom>
      <diagonal/>
    </border>
    <border>
      <left style="thin">
        <color rgb="FFF4CCCC"/>
      </left>
      <right style="thin">
        <color rgb="FF000000"/>
      </right>
      <top/>
      <bottom style="thin">
        <color rgb="FFF4CCCC"/>
      </bottom>
      <diagonal/>
    </border>
    <border>
      <left/>
      <right style="thin">
        <color rgb="FF000000"/>
      </right>
      <top style="thin">
        <color rgb="FFFFFFFF"/>
      </top>
      <bottom/>
      <diagonal/>
    </border>
    <border>
      <left/>
      <right/>
      <top/>
      <bottom style="thin">
        <color rgb="FFFFFFFF"/>
      </bottom>
      <diagonal/>
    </border>
    <border>
      <left/>
      <right style="thin">
        <color rgb="FF000000"/>
      </right>
      <top/>
      <bottom style="thin">
        <color rgb="FFFFFFFF"/>
      </bottom>
      <diagonal/>
    </border>
    <border>
      <left style="thin">
        <color rgb="FFFFFFFF"/>
      </left>
      <right style="thin">
        <color rgb="FFFFFFFF"/>
      </right>
      <top/>
      <bottom style="thin">
        <color rgb="FF000000"/>
      </bottom>
      <diagonal/>
    </border>
    <border>
      <left/>
      <right/>
      <top style="thin">
        <color rgb="FFF4CCCC"/>
      </top>
      <bottom style="thin">
        <color indexed="64"/>
      </bottom>
      <diagonal/>
    </border>
    <border>
      <left/>
      <right style="thin">
        <color indexed="64"/>
      </right>
      <top style="thin">
        <color rgb="FFF4CCCC"/>
      </top>
      <bottom style="thin">
        <color rgb="FF000000"/>
      </bottom>
      <diagonal/>
    </border>
    <border>
      <left style="thin">
        <color rgb="FFF4CCCC"/>
      </left>
      <right style="thin">
        <color indexed="64"/>
      </right>
      <top style="thin">
        <color rgb="FFF4CCCC"/>
      </top>
      <bottom style="thin">
        <color rgb="FFF4CCCC"/>
      </bottom>
      <diagonal/>
    </border>
    <border>
      <left style="thin">
        <color rgb="FFFFFFFF"/>
      </left>
      <right style="thin">
        <color indexed="64"/>
      </right>
      <top style="thin">
        <color rgb="FF000000"/>
      </top>
      <bottom style="thin">
        <color rgb="FF000000"/>
      </bottom>
      <diagonal/>
    </border>
    <border>
      <left style="thin">
        <color rgb="FF000000"/>
      </left>
      <right style="thin">
        <color rgb="FF000000"/>
      </right>
      <top style="thin">
        <color rgb="FFFFFFFF"/>
      </top>
      <bottom style="thin">
        <color indexed="64"/>
      </bottom>
      <diagonal/>
    </border>
    <border>
      <left style="thin">
        <color rgb="FF000000"/>
      </left>
      <right style="thin">
        <color rgb="FFD9EAD3"/>
      </right>
      <top style="thin">
        <color rgb="FFD9EAD3"/>
      </top>
      <bottom style="thin">
        <color indexed="64"/>
      </bottom>
      <diagonal/>
    </border>
    <border>
      <left style="thin">
        <color rgb="FFD9EAD3"/>
      </left>
      <right style="thin">
        <color rgb="FFD9EAD3"/>
      </right>
      <top style="thin">
        <color rgb="FFD9EAD3"/>
      </top>
      <bottom style="thin">
        <color indexed="64"/>
      </bottom>
      <diagonal/>
    </border>
    <border>
      <left style="thin">
        <color rgb="FFD9EAD3"/>
      </left>
      <right/>
      <top style="thin">
        <color rgb="FFD9EAD3"/>
      </top>
      <bottom style="thin">
        <color indexed="64"/>
      </bottom>
      <diagonal/>
    </border>
    <border>
      <left style="thin">
        <color rgb="FFF4CCCC"/>
      </left>
      <right style="thin">
        <color rgb="FFF4CCCC"/>
      </right>
      <top style="thin">
        <color rgb="FFF4CCCC"/>
      </top>
      <bottom style="thin">
        <color indexed="64"/>
      </bottom>
      <diagonal/>
    </border>
    <border>
      <left style="thin">
        <color rgb="FFF4CCCC"/>
      </left>
      <right style="thin">
        <color rgb="FF000000"/>
      </right>
      <top style="thin">
        <color rgb="FFF4CCCC"/>
      </top>
      <bottom style="thin">
        <color indexed="64"/>
      </bottom>
      <diagonal/>
    </border>
    <border>
      <left style="thin">
        <color rgb="FFFFE599"/>
      </left>
      <right/>
      <top style="thin">
        <color rgb="FFFFE599"/>
      </top>
      <bottom/>
      <diagonal/>
    </border>
    <border>
      <left/>
      <right/>
      <top style="thin">
        <color rgb="FFFFE599"/>
      </top>
      <bottom/>
      <diagonal/>
    </border>
    <border>
      <left/>
      <right style="thin">
        <color rgb="FF000000"/>
      </right>
      <top style="thin">
        <color rgb="FFFFE599"/>
      </top>
      <bottom/>
      <diagonal/>
    </border>
    <border>
      <left style="thin">
        <color indexed="64"/>
      </left>
      <right style="thin">
        <color rgb="FFFFFFFF"/>
      </right>
      <top style="thin">
        <color rgb="FFFFFFFF"/>
      </top>
      <bottom style="thin">
        <color rgb="FFFFFFFF"/>
      </bottom>
      <diagonal/>
    </border>
    <border>
      <left style="thin">
        <color rgb="FFFFFFFF"/>
      </left>
      <right style="thin">
        <color indexed="64"/>
      </right>
      <top style="thin">
        <color rgb="FFFFFFFF"/>
      </top>
      <bottom style="thin">
        <color rgb="FFFFFFFF"/>
      </bottom>
      <diagonal/>
    </border>
    <border>
      <left style="thin">
        <color indexed="64"/>
      </left>
      <right style="thin">
        <color rgb="FFFFFFFF"/>
      </right>
      <top style="thin">
        <color rgb="FFFFFFFF"/>
      </top>
      <bottom style="thin">
        <color indexed="64"/>
      </bottom>
      <diagonal/>
    </border>
    <border>
      <left style="thin">
        <color rgb="FFFFFFFF"/>
      </left>
      <right style="thin">
        <color rgb="FFFFFFFF"/>
      </right>
      <top style="thin">
        <color rgb="FFFFFFFF"/>
      </top>
      <bottom style="thin">
        <color indexed="64"/>
      </bottom>
      <diagonal/>
    </border>
    <border>
      <left style="thin">
        <color rgb="FFFFFFFF"/>
      </left>
      <right style="thin">
        <color indexed="64"/>
      </right>
      <top style="thin">
        <color rgb="FFFFFFFF"/>
      </top>
      <bottom style="thin">
        <color indexed="64"/>
      </bottom>
      <diagonal/>
    </border>
    <border>
      <left style="thin">
        <color indexed="64"/>
      </left>
      <right style="thin">
        <color rgb="FFFFFFFF"/>
      </right>
      <top style="thin">
        <color indexed="64"/>
      </top>
      <bottom style="thin">
        <color rgb="FFFFFFFF"/>
      </bottom>
      <diagonal/>
    </border>
    <border>
      <left style="thin">
        <color rgb="FFFFFFFF"/>
      </left>
      <right style="thin">
        <color rgb="FFFFFFFF"/>
      </right>
      <top style="thin">
        <color indexed="64"/>
      </top>
      <bottom style="thin">
        <color rgb="FFFFFFFF"/>
      </bottom>
      <diagonal/>
    </border>
    <border>
      <left style="thin">
        <color rgb="FFFFFFFF"/>
      </left>
      <right style="thin">
        <color indexed="64"/>
      </right>
      <top style="thin">
        <color indexed="64"/>
      </top>
      <bottom style="thin">
        <color rgb="FFFFFFFF"/>
      </bottom>
      <diagonal/>
    </border>
  </borders>
  <cellStyleXfs count="5">
    <xf numFmtId="0" fontId="0" fillId="0" borderId="0"/>
    <xf numFmtId="9" fontId="37" fillId="0" borderId="0" applyFont="0" applyFill="0" applyBorder="0" applyAlignment="0" applyProtection="0"/>
    <xf numFmtId="0" fontId="43" fillId="0" borderId="5"/>
    <xf numFmtId="9" fontId="49" fillId="0" borderId="5" applyFont="0" applyFill="0" applyBorder="0" applyAlignment="0" applyProtection="0"/>
    <xf numFmtId="0" fontId="37" fillId="0" borderId="5"/>
  </cellStyleXfs>
  <cellXfs count="855">
    <xf numFmtId="0" fontId="0" fillId="0" borderId="0" xfId="0"/>
    <xf numFmtId="0" fontId="1" fillId="2" borderId="1" xfId="0" applyFont="1" applyFill="1" applyBorder="1" applyAlignment="1">
      <alignment vertical="center"/>
    </xf>
    <xf numFmtId="0" fontId="3" fillId="0" borderId="1" xfId="0" applyFont="1" applyBorder="1" applyAlignment="1">
      <alignment vertical="center"/>
    </xf>
    <xf numFmtId="0" fontId="1" fillId="4" borderId="1" xfId="0" applyFont="1" applyFill="1" applyBorder="1" applyAlignment="1">
      <alignment vertical="center"/>
    </xf>
    <xf numFmtId="0" fontId="4" fillId="5" borderId="1" xfId="0" applyFont="1" applyFill="1" applyBorder="1"/>
    <xf numFmtId="0" fontId="4" fillId="6" borderId="1" xfId="0" applyFont="1" applyFill="1" applyBorder="1"/>
    <xf numFmtId="0" fontId="3" fillId="0" borderId="1" xfId="0" applyFont="1" applyBorder="1"/>
    <xf numFmtId="0" fontId="4" fillId="0" borderId="1" xfId="0" applyFont="1" applyBorder="1"/>
    <xf numFmtId="0" fontId="4" fillId="7" borderId="1" xfId="0" applyFont="1" applyFill="1" applyBorder="1"/>
    <xf numFmtId="0" fontId="3" fillId="7" borderId="1" xfId="0" applyFont="1" applyFill="1" applyBorder="1"/>
    <xf numFmtId="0" fontId="1" fillId="8" borderId="1" xfId="0" applyFont="1" applyFill="1" applyBorder="1"/>
    <xf numFmtId="0" fontId="7" fillId="9" borderId="0" xfId="0" applyFont="1" applyFill="1"/>
    <xf numFmtId="0" fontId="1" fillId="3" borderId="5" xfId="0" applyFont="1" applyFill="1" applyBorder="1"/>
    <xf numFmtId="0" fontId="8" fillId="3" borderId="5" xfId="0" applyFont="1" applyFill="1" applyBorder="1" applyAlignment="1">
      <alignment horizontal="right"/>
    </xf>
    <xf numFmtId="0" fontId="3" fillId="0" borderId="0" xfId="0" applyFont="1"/>
    <xf numFmtId="0" fontId="3" fillId="0" borderId="4" xfId="0" applyFont="1" applyBorder="1"/>
    <xf numFmtId="0" fontId="10" fillId="9" borderId="18" xfId="0" applyFont="1" applyFill="1" applyBorder="1"/>
    <xf numFmtId="0" fontId="4" fillId="6" borderId="19" xfId="0" applyFont="1" applyFill="1" applyBorder="1"/>
    <xf numFmtId="0" fontId="4" fillId="6" borderId="20" xfId="0" applyFont="1" applyFill="1" applyBorder="1"/>
    <xf numFmtId="0" fontId="4" fillId="6" borderId="21" xfId="0" applyFont="1" applyFill="1" applyBorder="1"/>
    <xf numFmtId="1" fontId="4" fillId="11" borderId="22" xfId="0" applyNumberFormat="1" applyFont="1" applyFill="1" applyBorder="1"/>
    <xf numFmtId="1" fontId="4" fillId="11" borderId="23" xfId="0" applyNumberFormat="1" applyFont="1" applyFill="1" applyBorder="1"/>
    <xf numFmtId="10" fontId="3" fillId="0" borderId="1" xfId="0" applyNumberFormat="1" applyFont="1" applyBorder="1"/>
    <xf numFmtId="0" fontId="11" fillId="9" borderId="24" xfId="0" applyFont="1" applyFill="1" applyBorder="1"/>
    <xf numFmtId="0" fontId="3" fillId="6" borderId="25" xfId="0" applyFont="1" applyFill="1" applyBorder="1"/>
    <xf numFmtId="0" fontId="3" fillId="6" borderId="26" xfId="0" applyFont="1" applyFill="1" applyBorder="1"/>
    <xf numFmtId="0" fontId="3" fillId="6" borderId="27" xfId="0" applyFont="1" applyFill="1" applyBorder="1"/>
    <xf numFmtId="164" fontId="3" fillId="11" borderId="28" xfId="0" applyNumberFormat="1" applyFont="1" applyFill="1" applyBorder="1"/>
    <xf numFmtId="164" fontId="3" fillId="11" borderId="29" xfId="0" applyNumberFormat="1" applyFont="1" applyFill="1" applyBorder="1"/>
    <xf numFmtId="0" fontId="10" fillId="9" borderId="24" xfId="0" applyFont="1" applyFill="1" applyBorder="1"/>
    <xf numFmtId="0" fontId="4" fillId="6" borderId="25" xfId="0" applyFont="1" applyFill="1" applyBorder="1"/>
    <xf numFmtId="0" fontId="4" fillId="6" borderId="26" xfId="0" applyFont="1" applyFill="1" applyBorder="1"/>
    <xf numFmtId="0" fontId="4" fillId="6" borderId="27" xfId="0" applyFont="1" applyFill="1" applyBorder="1"/>
    <xf numFmtId="0" fontId="4" fillId="0" borderId="4" xfId="0" applyFont="1" applyBorder="1"/>
    <xf numFmtId="0" fontId="4" fillId="0" borderId="0" xfId="0" applyFont="1"/>
    <xf numFmtId="165" fontId="3" fillId="11" borderId="28" xfId="0" applyNumberFormat="1" applyFont="1" applyFill="1" applyBorder="1"/>
    <xf numFmtId="165" fontId="3" fillId="11" borderId="29" xfId="0" applyNumberFormat="1" applyFont="1" applyFill="1" applyBorder="1"/>
    <xf numFmtId="0" fontId="12" fillId="9" borderId="24" xfId="0" applyFont="1" applyFill="1" applyBorder="1"/>
    <xf numFmtId="0" fontId="3" fillId="11" borderId="28" xfId="0" applyFont="1" applyFill="1" applyBorder="1"/>
    <xf numFmtId="0" fontId="3" fillId="11" borderId="29" xfId="0" applyFont="1" applyFill="1" applyBorder="1"/>
    <xf numFmtId="164" fontId="4" fillId="11" borderId="28" xfId="0" applyNumberFormat="1" applyFont="1" applyFill="1" applyBorder="1"/>
    <xf numFmtId="164" fontId="4" fillId="11" borderId="29" xfId="0" applyNumberFormat="1" applyFont="1" applyFill="1" applyBorder="1"/>
    <xf numFmtId="0" fontId="13" fillId="9" borderId="24" xfId="0" applyFont="1" applyFill="1" applyBorder="1"/>
    <xf numFmtId="0" fontId="14" fillId="9" borderId="24" xfId="0" applyFont="1" applyFill="1" applyBorder="1"/>
    <xf numFmtId="0" fontId="4" fillId="9" borderId="24" xfId="0" applyFont="1" applyFill="1" applyBorder="1"/>
    <xf numFmtId="0" fontId="15" fillId="3" borderId="30" xfId="0" applyFont="1" applyFill="1" applyBorder="1"/>
    <xf numFmtId="0" fontId="12" fillId="9" borderId="24" xfId="0" applyFont="1" applyFill="1" applyBorder="1" applyAlignment="1">
      <alignment horizontal="right"/>
    </xf>
    <xf numFmtId="0" fontId="11" fillId="9" borderId="33" xfId="0" applyFont="1" applyFill="1" applyBorder="1"/>
    <xf numFmtId="0" fontId="11" fillId="0" borderId="39" xfId="0" applyFont="1" applyBorder="1"/>
    <xf numFmtId="0" fontId="11" fillId="0" borderId="40" xfId="0" applyFont="1" applyBorder="1"/>
    <xf numFmtId="0" fontId="3" fillId="0" borderId="2" xfId="0" applyFont="1" applyBorder="1"/>
    <xf numFmtId="3" fontId="3" fillId="0" borderId="1" xfId="0" applyNumberFormat="1" applyFont="1" applyBorder="1"/>
    <xf numFmtId="0" fontId="3" fillId="0" borderId="39" xfId="0" applyFont="1" applyBorder="1"/>
    <xf numFmtId="0" fontId="7" fillId="9" borderId="41" xfId="0" applyFont="1" applyFill="1" applyBorder="1" applyAlignment="1">
      <alignment horizontal="left"/>
    </xf>
    <xf numFmtId="0" fontId="8" fillId="3" borderId="41" xfId="0" applyFont="1" applyFill="1" applyBorder="1" applyAlignment="1">
      <alignment horizontal="right"/>
    </xf>
    <xf numFmtId="0" fontId="1" fillId="3" borderId="18" xfId="0" applyFont="1" applyFill="1" applyBorder="1"/>
    <xf numFmtId="0" fontId="4" fillId="4" borderId="4" xfId="0" applyFont="1" applyFill="1" applyBorder="1"/>
    <xf numFmtId="0" fontId="4" fillId="4" borderId="1" xfId="0" applyFont="1" applyFill="1" applyBorder="1"/>
    <xf numFmtId="0" fontId="4" fillId="12" borderId="1" xfId="0" applyFont="1" applyFill="1" applyBorder="1"/>
    <xf numFmtId="0" fontId="3" fillId="9" borderId="24" xfId="0" applyFont="1" applyFill="1" applyBorder="1"/>
    <xf numFmtId="0" fontId="1" fillId="3" borderId="24" xfId="0" applyFont="1" applyFill="1" applyBorder="1"/>
    <xf numFmtId="1" fontId="3" fillId="6" borderId="25" xfId="0" applyNumberFormat="1" applyFont="1" applyFill="1" applyBorder="1"/>
    <xf numFmtId="1" fontId="3" fillId="6" borderId="26" xfId="0" applyNumberFormat="1" applyFont="1" applyFill="1" applyBorder="1"/>
    <xf numFmtId="1" fontId="3" fillId="6" borderId="27" xfId="0" applyNumberFormat="1" applyFont="1" applyFill="1" applyBorder="1"/>
    <xf numFmtId="1" fontId="3" fillId="11" borderId="28" xfId="0" applyNumberFormat="1" applyFont="1" applyFill="1" applyBorder="1"/>
    <xf numFmtId="1" fontId="4" fillId="4" borderId="1" xfId="0" applyNumberFormat="1" applyFont="1" applyFill="1" applyBorder="1"/>
    <xf numFmtId="1" fontId="3" fillId="0" borderId="1" xfId="0" applyNumberFormat="1" applyFont="1" applyBorder="1"/>
    <xf numFmtId="0" fontId="3" fillId="0" borderId="41" xfId="0" applyFont="1" applyBorder="1"/>
    <xf numFmtId="0" fontId="4" fillId="6" borderId="42" xfId="0" applyFont="1" applyFill="1" applyBorder="1"/>
    <xf numFmtId="0" fontId="16" fillId="3" borderId="48" xfId="0" applyFont="1" applyFill="1" applyBorder="1"/>
    <xf numFmtId="0" fontId="3" fillId="9" borderId="4" xfId="0" applyFont="1" applyFill="1" applyBorder="1"/>
    <xf numFmtId="0" fontId="3" fillId="9" borderId="1" xfId="0" applyFont="1" applyFill="1" applyBorder="1"/>
    <xf numFmtId="0" fontId="4" fillId="9" borderId="49" xfId="0" applyFont="1" applyFill="1" applyBorder="1"/>
    <xf numFmtId="0" fontId="4" fillId="9" borderId="18" xfId="0" applyFont="1" applyFill="1" applyBorder="1"/>
    <xf numFmtId="0" fontId="3" fillId="9" borderId="47" xfId="0" applyFont="1" applyFill="1" applyBorder="1"/>
    <xf numFmtId="0" fontId="3" fillId="9" borderId="41" xfId="0" applyFont="1" applyFill="1" applyBorder="1"/>
    <xf numFmtId="0" fontId="3" fillId="6" borderId="19" xfId="0" applyFont="1" applyFill="1" applyBorder="1"/>
    <xf numFmtId="10" fontId="3" fillId="6" borderId="20" xfId="0" applyNumberFormat="1" applyFont="1" applyFill="1" applyBorder="1"/>
    <xf numFmtId="10" fontId="3" fillId="6" borderId="21" xfId="0" applyNumberFormat="1" applyFont="1" applyFill="1" applyBorder="1"/>
    <xf numFmtId="10" fontId="3" fillId="11" borderId="22" xfId="0" applyNumberFormat="1" applyFont="1" applyFill="1" applyBorder="1"/>
    <xf numFmtId="10" fontId="3" fillId="11" borderId="23" xfId="0" applyNumberFormat="1" applyFont="1" applyFill="1" applyBorder="1"/>
    <xf numFmtId="164" fontId="3" fillId="6" borderId="26" xfId="0" applyNumberFormat="1" applyFont="1" applyFill="1" applyBorder="1" applyAlignment="1">
      <alignment horizontal="right"/>
    </xf>
    <xf numFmtId="164" fontId="3" fillId="6" borderId="27" xfId="0" applyNumberFormat="1" applyFont="1" applyFill="1" applyBorder="1" applyAlignment="1">
      <alignment horizontal="right"/>
    </xf>
    <xf numFmtId="2" fontId="3" fillId="11" borderId="28" xfId="0" applyNumberFormat="1" applyFont="1" applyFill="1" applyBorder="1"/>
    <xf numFmtId="2" fontId="3" fillId="11" borderId="29" xfId="0" applyNumberFormat="1" applyFont="1" applyFill="1" applyBorder="1"/>
    <xf numFmtId="167" fontId="3" fillId="6" borderId="26" xfId="0" applyNumberFormat="1" applyFont="1" applyFill="1" applyBorder="1" applyAlignment="1">
      <alignment horizontal="right"/>
    </xf>
    <xf numFmtId="167" fontId="3" fillId="6" borderId="27" xfId="0" applyNumberFormat="1" applyFont="1" applyFill="1" applyBorder="1" applyAlignment="1">
      <alignment horizontal="right"/>
    </xf>
    <xf numFmtId="167" fontId="3" fillId="11" borderId="28" xfId="0" applyNumberFormat="1" applyFont="1" applyFill="1" applyBorder="1"/>
    <xf numFmtId="167" fontId="3" fillId="11" borderId="29" xfId="0" applyNumberFormat="1" applyFont="1" applyFill="1" applyBorder="1"/>
    <xf numFmtId="168" fontId="3" fillId="6" borderId="27" xfId="0" applyNumberFormat="1" applyFont="1" applyFill="1" applyBorder="1"/>
    <xf numFmtId="167" fontId="3" fillId="11" borderId="28" xfId="0" applyNumberFormat="1" applyFont="1" applyFill="1" applyBorder="1" applyAlignment="1">
      <alignment horizontal="right"/>
    </xf>
    <xf numFmtId="10" fontId="3" fillId="11" borderId="28" xfId="0" applyNumberFormat="1" applyFont="1" applyFill="1" applyBorder="1"/>
    <xf numFmtId="10" fontId="3" fillId="11" borderId="29" xfId="0" applyNumberFormat="1" applyFont="1" applyFill="1" applyBorder="1"/>
    <xf numFmtId="164" fontId="3" fillId="6" borderId="26" xfId="0" applyNumberFormat="1" applyFont="1" applyFill="1" applyBorder="1"/>
    <xf numFmtId="164" fontId="3" fillId="6" borderId="27" xfId="0" applyNumberFormat="1" applyFont="1" applyFill="1" applyBorder="1"/>
    <xf numFmtId="49" fontId="4" fillId="9" borderId="24" xfId="0" applyNumberFormat="1" applyFont="1" applyFill="1" applyBorder="1"/>
    <xf numFmtId="49" fontId="3" fillId="9" borderId="24" xfId="0" applyNumberFormat="1" applyFont="1" applyFill="1" applyBorder="1"/>
    <xf numFmtId="43" fontId="3" fillId="6" borderId="25" xfId="0" applyNumberFormat="1" applyFont="1" applyFill="1" applyBorder="1" applyAlignment="1">
      <alignment horizontal="right"/>
    </xf>
    <xf numFmtId="43" fontId="3" fillId="6" borderId="26" xfId="0" applyNumberFormat="1" applyFont="1" applyFill="1" applyBorder="1" applyAlignment="1">
      <alignment horizontal="right"/>
    </xf>
    <xf numFmtId="43" fontId="3" fillId="6" borderId="27" xfId="0" applyNumberFormat="1" applyFont="1" applyFill="1" applyBorder="1" applyAlignment="1">
      <alignment horizontal="right"/>
    </xf>
    <xf numFmtId="169" fontId="3" fillId="11" borderId="28" xfId="0" applyNumberFormat="1" applyFont="1" applyFill="1" applyBorder="1"/>
    <xf numFmtId="169" fontId="3" fillId="11" borderId="29" xfId="0" applyNumberFormat="1" applyFont="1" applyFill="1" applyBorder="1"/>
    <xf numFmtId="43" fontId="3" fillId="6" borderId="25" xfId="0" applyNumberFormat="1" applyFont="1" applyFill="1" applyBorder="1"/>
    <xf numFmtId="43" fontId="3" fillId="6" borderId="26" xfId="0" applyNumberFormat="1" applyFont="1" applyFill="1" applyBorder="1"/>
    <xf numFmtId="3" fontId="3" fillId="6" borderId="26" xfId="0" applyNumberFormat="1" applyFont="1" applyFill="1" applyBorder="1"/>
    <xf numFmtId="3" fontId="3" fillId="6" borderId="27" xfId="0" applyNumberFormat="1" applyFont="1" applyFill="1" applyBorder="1"/>
    <xf numFmtId="168" fontId="3" fillId="6" borderId="25" xfId="0" applyNumberFormat="1" applyFont="1" applyFill="1" applyBorder="1"/>
    <xf numFmtId="10" fontId="3" fillId="6" borderId="26" xfId="0" applyNumberFormat="1" applyFont="1" applyFill="1" applyBorder="1"/>
    <xf numFmtId="10" fontId="3" fillId="6" borderId="27" xfId="0" applyNumberFormat="1" applyFont="1" applyFill="1" applyBorder="1"/>
    <xf numFmtId="168" fontId="3" fillId="6" borderId="25" xfId="0" applyNumberFormat="1" applyFont="1" applyFill="1" applyBorder="1" applyAlignment="1">
      <alignment horizontal="right"/>
    </xf>
    <xf numFmtId="168" fontId="3" fillId="6" borderId="26" xfId="0" applyNumberFormat="1" applyFont="1" applyFill="1" applyBorder="1" applyAlignment="1">
      <alignment horizontal="right"/>
    </xf>
    <xf numFmtId="168" fontId="3" fillId="6" borderId="27" xfId="0" applyNumberFormat="1" applyFont="1" applyFill="1" applyBorder="1" applyAlignment="1">
      <alignment horizontal="right"/>
    </xf>
    <xf numFmtId="10" fontId="3" fillId="6" borderId="26" xfId="0" applyNumberFormat="1" applyFont="1" applyFill="1" applyBorder="1" applyAlignment="1">
      <alignment horizontal="right"/>
    </xf>
    <xf numFmtId="10" fontId="3" fillId="6" borderId="27" xfId="0" applyNumberFormat="1" applyFont="1" applyFill="1" applyBorder="1" applyAlignment="1">
      <alignment horizontal="right"/>
    </xf>
    <xf numFmtId="10" fontId="3" fillId="11" borderId="28" xfId="0" applyNumberFormat="1" applyFont="1" applyFill="1" applyBorder="1" applyAlignment="1">
      <alignment horizontal="right"/>
    </xf>
    <xf numFmtId="10" fontId="3" fillId="11" borderId="29" xfId="0" applyNumberFormat="1" applyFont="1" applyFill="1" applyBorder="1" applyAlignment="1">
      <alignment horizontal="right"/>
    </xf>
    <xf numFmtId="167" fontId="3" fillId="11" borderId="29" xfId="0" applyNumberFormat="1" applyFont="1" applyFill="1" applyBorder="1" applyAlignment="1">
      <alignment horizontal="right"/>
    </xf>
    <xf numFmtId="0" fontId="3" fillId="0" borderId="24" xfId="0" applyFont="1" applyBorder="1"/>
    <xf numFmtId="0" fontId="4" fillId="4" borderId="24" xfId="0" applyFont="1" applyFill="1" applyBorder="1"/>
    <xf numFmtId="2" fontId="11" fillId="6" borderId="26" xfId="0" applyNumberFormat="1" applyFont="1" applyFill="1" applyBorder="1"/>
    <xf numFmtId="2" fontId="11" fillId="6" borderId="27" xfId="0" applyNumberFormat="1" applyFont="1" applyFill="1" applyBorder="1"/>
    <xf numFmtId="2" fontId="11" fillId="11" borderId="28" xfId="0" applyNumberFormat="1" applyFont="1" applyFill="1" applyBorder="1"/>
    <xf numFmtId="2" fontId="11" fillId="11" borderId="29" xfId="0" applyNumberFormat="1" applyFont="1" applyFill="1" applyBorder="1"/>
    <xf numFmtId="0" fontId="3" fillId="9" borderId="33" xfId="0" applyFont="1" applyFill="1" applyBorder="1"/>
    <xf numFmtId="0" fontId="3" fillId="6" borderId="34" xfId="0" applyFont="1" applyFill="1" applyBorder="1"/>
    <xf numFmtId="2" fontId="11" fillId="6" borderId="35" xfId="0" applyNumberFormat="1" applyFont="1" applyFill="1" applyBorder="1"/>
    <xf numFmtId="2" fontId="11" fillId="6" borderId="36" xfId="0" applyNumberFormat="1" applyFont="1" applyFill="1" applyBorder="1"/>
    <xf numFmtId="2" fontId="11" fillId="11" borderId="37" xfId="0" applyNumberFormat="1" applyFont="1" applyFill="1" applyBorder="1"/>
    <xf numFmtId="2" fontId="11" fillId="11" borderId="38" xfId="0" applyNumberFormat="1" applyFont="1" applyFill="1" applyBorder="1"/>
    <xf numFmtId="0" fontId="10" fillId="4" borderId="4" xfId="0" applyFont="1" applyFill="1" applyBorder="1" applyAlignment="1">
      <alignment horizontal="right"/>
    </xf>
    <xf numFmtId="0" fontId="10" fillId="4" borderId="1" xfId="0" applyFont="1" applyFill="1" applyBorder="1" applyAlignment="1">
      <alignment horizontal="right"/>
    </xf>
    <xf numFmtId="0" fontId="3" fillId="6" borderId="54" xfId="0" applyFont="1" applyFill="1" applyBorder="1" applyAlignment="1">
      <alignment horizontal="left"/>
    </xf>
    <xf numFmtId="170" fontId="3" fillId="6" borderId="55" xfId="0" applyNumberFormat="1" applyFont="1" applyFill="1" applyBorder="1" applyAlignment="1">
      <alignment horizontal="center"/>
    </xf>
    <xf numFmtId="0" fontId="4" fillId="4" borderId="4" xfId="0" applyFont="1" applyFill="1" applyBorder="1" applyAlignment="1">
      <alignment horizontal="left"/>
    </xf>
    <xf numFmtId="0" fontId="4" fillId="4" borderId="1" xfId="0" applyFont="1" applyFill="1" applyBorder="1" applyAlignment="1">
      <alignment horizontal="left"/>
    </xf>
    <xf numFmtId="0" fontId="3" fillId="6" borderId="56" xfId="0" applyFont="1" applyFill="1" applyBorder="1" applyAlignment="1">
      <alignment horizontal="left"/>
    </xf>
    <xf numFmtId="2" fontId="3" fillId="6" borderId="57" xfId="0" applyNumberFormat="1" applyFont="1" applyFill="1" applyBorder="1" applyAlignment="1">
      <alignment horizontal="left"/>
    </xf>
    <xf numFmtId="0" fontId="3" fillId="6" borderId="57" xfId="0" applyFont="1" applyFill="1" applyBorder="1" applyAlignment="1">
      <alignment horizontal="center"/>
    </xf>
    <xf numFmtId="10" fontId="3" fillId="6" borderId="57" xfId="0" applyNumberFormat="1" applyFont="1" applyFill="1" applyBorder="1" applyAlignment="1">
      <alignment horizontal="left"/>
    </xf>
    <xf numFmtId="171" fontId="3" fillId="6" borderId="57" xfId="0" applyNumberFormat="1" applyFont="1" applyFill="1" applyBorder="1" applyAlignment="1">
      <alignment horizontal="center"/>
    </xf>
    <xf numFmtId="0" fontId="3" fillId="6" borderId="58" xfId="0" applyFont="1" applyFill="1" applyBorder="1" applyAlignment="1">
      <alignment horizontal="left"/>
    </xf>
    <xf numFmtId="43" fontId="3" fillId="6" borderId="59" xfId="0" applyNumberFormat="1" applyFont="1" applyFill="1" applyBorder="1" applyAlignment="1">
      <alignment horizontal="center"/>
    </xf>
    <xf numFmtId="0" fontId="4" fillId="4" borderId="39" xfId="0" applyFont="1" applyFill="1" applyBorder="1" applyAlignment="1">
      <alignment horizontal="left"/>
    </xf>
    <xf numFmtId="0" fontId="3" fillId="4" borderId="39" xfId="0" applyFont="1" applyFill="1" applyBorder="1" applyAlignment="1">
      <alignment horizontal="left"/>
    </xf>
    <xf numFmtId="0" fontId="3" fillId="4" borderId="1" xfId="0" applyFont="1" applyFill="1" applyBorder="1" applyAlignment="1">
      <alignment horizontal="left"/>
    </xf>
    <xf numFmtId="167" fontId="3" fillId="4" borderId="1" xfId="0" applyNumberFormat="1" applyFont="1" applyFill="1" applyBorder="1" applyAlignment="1">
      <alignment horizontal="left"/>
    </xf>
    <xf numFmtId="9" fontId="3" fillId="6" borderId="57" xfId="0" applyNumberFormat="1" applyFont="1" applyFill="1" applyBorder="1" applyAlignment="1">
      <alignment horizontal="left"/>
    </xf>
    <xf numFmtId="2" fontId="3" fillId="4" borderId="1" xfId="0" applyNumberFormat="1" applyFont="1" applyFill="1" applyBorder="1" applyAlignment="1">
      <alignment horizontal="left"/>
    </xf>
    <xf numFmtId="10" fontId="3" fillId="4" borderId="1" xfId="0" applyNumberFormat="1" applyFont="1" applyFill="1" applyBorder="1" applyAlignment="1">
      <alignment horizontal="left"/>
    </xf>
    <xf numFmtId="10" fontId="3" fillId="6" borderId="59" xfId="0" applyNumberFormat="1" applyFont="1" applyFill="1" applyBorder="1" applyAlignment="1">
      <alignment horizontal="left"/>
    </xf>
    <xf numFmtId="0" fontId="17" fillId="0" borderId="1" xfId="0" applyFont="1" applyBorder="1"/>
    <xf numFmtId="168" fontId="3" fillId="0" borderId="1" xfId="0" applyNumberFormat="1" applyFont="1" applyBorder="1"/>
    <xf numFmtId="0" fontId="18" fillId="9" borderId="0" xfId="0" applyFont="1" applyFill="1" applyAlignment="1">
      <alignment horizontal="left"/>
    </xf>
    <xf numFmtId="168" fontId="3" fillId="0" borderId="41" xfId="0" applyNumberFormat="1" applyFont="1" applyBorder="1"/>
    <xf numFmtId="168" fontId="3" fillId="0" borderId="0" xfId="0" applyNumberFormat="1" applyFont="1"/>
    <xf numFmtId="0" fontId="4" fillId="5" borderId="48" xfId="0" applyFont="1" applyFill="1" applyBorder="1" applyAlignment="1">
      <alignment horizontal="center"/>
    </xf>
    <xf numFmtId="168" fontId="4" fillId="5" borderId="48" xfId="0" applyNumberFormat="1" applyFont="1" applyFill="1" applyBorder="1" applyAlignment="1">
      <alignment horizontal="center"/>
    </xf>
    <xf numFmtId="168" fontId="4" fillId="5" borderId="48" xfId="0" applyNumberFormat="1" applyFont="1" applyFill="1" applyBorder="1" applyAlignment="1">
      <alignment horizontal="left"/>
    </xf>
    <xf numFmtId="0" fontId="3" fillId="0" borderId="54" xfId="0" applyFont="1" applyBorder="1" applyAlignment="1">
      <alignment horizontal="left"/>
    </xf>
    <xf numFmtId="167" fontId="3" fillId="0" borderId="39" xfId="0" applyNumberFormat="1" applyFont="1" applyBorder="1" applyAlignment="1">
      <alignment horizontal="right"/>
    </xf>
    <xf numFmtId="169" fontId="3" fillId="0" borderId="39" xfId="0" applyNumberFormat="1" applyFont="1" applyBorder="1" applyAlignment="1">
      <alignment horizontal="center"/>
    </xf>
    <xf numFmtId="169" fontId="3" fillId="0" borderId="55" xfId="0" applyNumberFormat="1" applyFont="1" applyBorder="1"/>
    <xf numFmtId="0" fontId="3" fillId="0" borderId="56" xfId="0" applyFont="1" applyBorder="1" applyAlignment="1">
      <alignment horizontal="left"/>
    </xf>
    <xf numFmtId="10" fontId="3" fillId="0" borderId="1" xfId="0" applyNumberFormat="1" applyFont="1" applyBorder="1" applyAlignment="1">
      <alignment horizontal="right"/>
    </xf>
    <xf numFmtId="169" fontId="3" fillId="0" borderId="1" xfId="0" applyNumberFormat="1" applyFont="1" applyBorder="1" applyAlignment="1">
      <alignment horizontal="center"/>
    </xf>
    <xf numFmtId="169" fontId="3" fillId="0" borderId="57" xfId="0" applyNumberFormat="1" applyFont="1" applyBorder="1"/>
    <xf numFmtId="167" fontId="3" fillId="0" borderId="1" xfId="0" applyNumberFormat="1" applyFont="1" applyBorder="1" applyAlignment="1">
      <alignment horizontal="right"/>
    </xf>
    <xf numFmtId="0" fontId="3" fillId="0" borderId="1" xfId="0" applyFont="1" applyBorder="1" applyAlignment="1">
      <alignment horizontal="right"/>
    </xf>
    <xf numFmtId="167" fontId="3" fillId="13" borderId="1" xfId="0" applyNumberFormat="1" applyFont="1" applyFill="1" applyBorder="1" applyAlignment="1">
      <alignment horizontal="right"/>
    </xf>
    <xf numFmtId="169" fontId="3" fillId="13" borderId="1" xfId="0" applyNumberFormat="1" applyFont="1" applyFill="1" applyBorder="1" applyAlignment="1">
      <alignment horizontal="right"/>
    </xf>
    <xf numFmtId="169" fontId="3" fillId="13" borderId="57" xfId="0" applyNumberFormat="1" applyFont="1" applyFill="1" applyBorder="1"/>
    <xf numFmtId="167" fontId="4" fillId="0" borderId="1" xfId="0" applyNumberFormat="1" applyFont="1" applyBorder="1" applyAlignment="1">
      <alignment horizontal="right"/>
    </xf>
    <xf numFmtId="169" fontId="4" fillId="0" borderId="1" xfId="0" applyNumberFormat="1" applyFont="1" applyBorder="1" applyAlignment="1">
      <alignment horizontal="right"/>
    </xf>
    <xf numFmtId="169" fontId="4" fillId="0" borderId="57" xfId="0" applyNumberFormat="1" applyFont="1" applyBorder="1"/>
    <xf numFmtId="0" fontId="3" fillId="0" borderId="56" xfId="0" applyFont="1" applyBorder="1"/>
    <xf numFmtId="168" fontId="3" fillId="0" borderId="4" xfId="0" applyNumberFormat="1" applyFont="1" applyBorder="1"/>
    <xf numFmtId="43" fontId="3" fillId="0" borderId="1" xfId="0" applyNumberFormat="1" applyFont="1" applyBorder="1"/>
    <xf numFmtId="168" fontId="3" fillId="0" borderId="57" xfId="0" applyNumberFormat="1" applyFont="1" applyBorder="1"/>
    <xf numFmtId="171" fontId="3" fillId="0" borderId="1" xfId="0" applyNumberFormat="1" applyFont="1" applyBorder="1" applyAlignment="1">
      <alignment horizontal="right"/>
    </xf>
    <xf numFmtId="0" fontId="3" fillId="0" borderId="61" xfId="0" applyFont="1" applyBorder="1"/>
    <xf numFmtId="169" fontId="3" fillId="0" borderId="41" xfId="0" applyNumberFormat="1" applyFont="1" applyBorder="1" applyAlignment="1">
      <alignment horizontal="right"/>
    </xf>
    <xf numFmtId="0" fontId="4" fillId="13" borderId="62" xfId="0" applyFont="1" applyFill="1" applyBorder="1"/>
    <xf numFmtId="168" fontId="7" fillId="13" borderId="63" xfId="0" applyNumberFormat="1" applyFont="1" applyFill="1" applyBorder="1" applyAlignment="1">
      <alignment horizontal="right"/>
    </xf>
    <xf numFmtId="0" fontId="3" fillId="0" borderId="15" xfId="0" applyFont="1" applyBorder="1"/>
    <xf numFmtId="168" fontId="3" fillId="0" borderId="64" xfId="0" applyNumberFormat="1" applyFont="1" applyBorder="1"/>
    <xf numFmtId="43" fontId="3" fillId="0" borderId="64" xfId="0" applyNumberFormat="1" applyFont="1" applyBorder="1"/>
    <xf numFmtId="168" fontId="3" fillId="0" borderId="59" xfId="0" applyNumberFormat="1" applyFont="1" applyBorder="1"/>
    <xf numFmtId="0" fontId="19" fillId="0" borderId="42" xfId="0" applyFont="1" applyBorder="1"/>
    <xf numFmtId="0" fontId="4" fillId="5" borderId="43" xfId="0" applyFont="1" applyFill="1" applyBorder="1" applyAlignment="1">
      <alignment horizontal="right"/>
    </xf>
    <xf numFmtId="0" fontId="4" fillId="5" borderId="44" xfId="0" applyFont="1" applyFill="1" applyBorder="1" applyAlignment="1">
      <alignment horizontal="right"/>
    </xf>
    <xf numFmtId="2" fontId="3" fillId="0" borderId="39" xfId="0" applyNumberFormat="1" applyFont="1" applyBorder="1" applyAlignment="1">
      <alignment horizontal="right"/>
    </xf>
    <xf numFmtId="2" fontId="3" fillId="0" borderId="55" xfId="0" applyNumberFormat="1" applyFont="1" applyBorder="1" applyAlignment="1">
      <alignment horizontal="right"/>
    </xf>
    <xf numFmtId="0" fontId="11" fillId="0" borderId="56" xfId="0" applyFont="1" applyBorder="1" applyAlignment="1">
      <alignment horizontal="left"/>
    </xf>
    <xf numFmtId="2" fontId="3" fillId="9" borderId="1" xfId="0" applyNumberFormat="1" applyFont="1" applyFill="1" applyBorder="1"/>
    <xf numFmtId="2" fontId="3" fillId="9" borderId="57" xfId="0" applyNumberFormat="1" applyFont="1" applyFill="1" applyBorder="1"/>
    <xf numFmtId="2" fontId="3" fillId="0" borderId="1" xfId="0" applyNumberFormat="1" applyFont="1" applyBorder="1" applyAlignment="1">
      <alignment horizontal="right"/>
    </xf>
    <xf numFmtId="2" fontId="3" fillId="0" borderId="57" xfId="0" applyNumberFormat="1" applyFont="1" applyBorder="1" applyAlignment="1">
      <alignment horizontal="right"/>
    </xf>
    <xf numFmtId="0" fontId="10" fillId="0" borderId="56" xfId="0" applyFont="1" applyBorder="1" applyAlignment="1">
      <alignment horizontal="left"/>
    </xf>
    <xf numFmtId="2" fontId="4" fillId="0" borderId="1" xfId="0" applyNumberFormat="1" applyFont="1" applyBorder="1" applyAlignment="1">
      <alignment horizontal="right"/>
    </xf>
    <xf numFmtId="2" fontId="4" fillId="0" borderId="57" xfId="0" applyNumberFormat="1" applyFont="1" applyBorder="1" applyAlignment="1">
      <alignment horizontal="right"/>
    </xf>
    <xf numFmtId="0" fontId="3" fillId="9" borderId="56" xfId="0" applyFont="1" applyFill="1" applyBorder="1"/>
    <xf numFmtId="2" fontId="3" fillId="0" borderId="1" xfId="0" applyNumberFormat="1" applyFont="1" applyBorder="1"/>
    <xf numFmtId="2" fontId="3" fillId="0" borderId="57" xfId="0" applyNumberFormat="1" applyFont="1" applyBorder="1"/>
    <xf numFmtId="0" fontId="4" fillId="9" borderId="58" xfId="0" applyFont="1" applyFill="1" applyBorder="1"/>
    <xf numFmtId="2" fontId="4" fillId="0" borderId="64" xfId="0" applyNumberFormat="1" applyFont="1" applyBorder="1" applyAlignment="1">
      <alignment horizontal="right"/>
    </xf>
    <xf numFmtId="2" fontId="4" fillId="0" borderId="59" xfId="0" applyNumberFormat="1" applyFont="1" applyBorder="1" applyAlignment="1">
      <alignment horizontal="right"/>
    </xf>
    <xf numFmtId="0" fontId="11" fillId="0" borderId="3" xfId="0" applyFont="1" applyBorder="1"/>
    <xf numFmtId="0" fontId="11" fillId="0" borderId="54" xfId="0" applyFont="1" applyBorder="1"/>
    <xf numFmtId="3" fontId="11" fillId="0" borderId="55" xfId="0" applyNumberFormat="1" applyFont="1" applyBorder="1"/>
    <xf numFmtId="3" fontId="11" fillId="0" borderId="55" xfId="0" applyNumberFormat="1" applyFont="1" applyBorder="1" applyAlignment="1">
      <alignment horizontal="right"/>
    </xf>
    <xf numFmtId="0" fontId="11" fillId="0" borderId="56" xfId="0" applyFont="1" applyBorder="1"/>
    <xf numFmtId="0" fontId="11" fillId="0" borderId="57" xfId="0" applyFont="1" applyBorder="1"/>
    <xf numFmtId="0" fontId="11" fillId="0" borderId="57" xfId="0" applyFont="1" applyBorder="1" applyAlignment="1">
      <alignment horizontal="right"/>
    </xf>
    <xf numFmtId="0" fontId="20" fillId="0" borderId="57" xfId="0" applyFont="1" applyBorder="1"/>
    <xf numFmtId="10" fontId="3" fillId="0" borderId="57" xfId="0" applyNumberFormat="1" applyFont="1" applyBorder="1" applyAlignment="1">
      <alignment horizontal="right"/>
    </xf>
    <xf numFmtId="3" fontId="10" fillId="0" borderId="57" xfId="0" applyNumberFormat="1" applyFont="1" applyBorder="1" applyAlignment="1">
      <alignment horizontal="right"/>
    </xf>
    <xf numFmtId="3" fontId="11" fillId="0" borderId="57" xfId="0" applyNumberFormat="1" applyFont="1" applyBorder="1" applyAlignment="1">
      <alignment horizontal="right"/>
    </xf>
    <xf numFmtId="0" fontId="11" fillId="0" borderId="1" xfId="0" applyFont="1" applyBorder="1" applyAlignment="1">
      <alignment horizontal="left"/>
    </xf>
    <xf numFmtId="2" fontId="11" fillId="0" borderId="57" xfId="0" applyNumberFormat="1" applyFont="1" applyBorder="1"/>
    <xf numFmtId="0" fontId="10" fillId="0" borderId="57" xfId="0" applyFont="1" applyBorder="1" applyAlignment="1">
      <alignment horizontal="right"/>
    </xf>
    <xf numFmtId="2" fontId="7" fillId="13" borderId="59" xfId="0" applyNumberFormat="1" applyFont="1" applyFill="1" applyBorder="1" applyAlignment="1">
      <alignment horizontal="right"/>
    </xf>
    <xf numFmtId="0" fontId="11" fillId="0" borderId="4" xfId="0" applyFont="1" applyBorder="1"/>
    <xf numFmtId="0" fontId="11" fillId="0" borderId="1" xfId="0" applyFont="1" applyBorder="1"/>
    <xf numFmtId="0" fontId="3" fillId="0" borderId="58" xfId="0" applyFont="1" applyBorder="1"/>
    <xf numFmtId="3" fontId="3" fillId="0" borderId="59" xfId="0" applyNumberFormat="1" applyFont="1" applyBorder="1"/>
    <xf numFmtId="0" fontId="21" fillId="3" borderId="48" xfId="0" applyFont="1" applyFill="1" applyBorder="1"/>
    <xf numFmtId="0" fontId="3" fillId="0" borderId="47" xfId="0" applyFont="1" applyBorder="1"/>
    <xf numFmtId="0" fontId="3" fillId="6" borderId="70" xfId="0" applyFont="1" applyFill="1" applyBorder="1"/>
    <xf numFmtId="0" fontId="4" fillId="6" borderId="71" xfId="0" applyFont="1" applyFill="1" applyBorder="1" applyAlignment="1">
      <alignment horizontal="right"/>
    </xf>
    <xf numFmtId="0" fontId="3" fillId="0" borderId="3" xfId="0" applyFont="1" applyBorder="1"/>
    <xf numFmtId="0" fontId="3" fillId="6" borderId="72" xfId="0" applyFont="1" applyFill="1" applyBorder="1"/>
    <xf numFmtId="9" fontId="3" fillId="6" borderId="25" xfId="0" applyNumberFormat="1" applyFont="1" applyFill="1" applyBorder="1"/>
    <xf numFmtId="168" fontId="3" fillId="6" borderId="73" xfId="0" applyNumberFormat="1" applyFont="1" applyFill="1" applyBorder="1"/>
    <xf numFmtId="0" fontId="3" fillId="6" borderId="74" xfId="0" applyFont="1" applyFill="1" applyBorder="1"/>
    <xf numFmtId="9" fontId="3" fillId="6" borderId="34" xfId="0" applyNumberFormat="1" applyFont="1" applyFill="1" applyBorder="1"/>
    <xf numFmtId="2" fontId="3" fillId="6" borderId="75" xfId="0" applyNumberFormat="1" applyFont="1" applyFill="1" applyBorder="1"/>
    <xf numFmtId="2" fontId="3" fillId="6" borderId="19" xfId="0" applyNumberFormat="1" applyFont="1" applyFill="1" applyBorder="1"/>
    <xf numFmtId="0" fontId="3" fillId="6" borderId="71" xfId="0" applyFont="1" applyFill="1" applyBorder="1"/>
    <xf numFmtId="171" fontId="3" fillId="6" borderId="25" xfId="0" applyNumberFormat="1" applyFont="1" applyFill="1" applyBorder="1"/>
    <xf numFmtId="0" fontId="3" fillId="6" borderId="73" xfId="0" applyFont="1" applyFill="1" applyBorder="1"/>
    <xf numFmtId="0" fontId="4" fillId="6" borderId="72" xfId="0" applyFont="1" applyFill="1" applyBorder="1"/>
    <xf numFmtId="2" fontId="22" fillId="15" borderId="25" xfId="0" applyNumberFormat="1" applyFont="1" applyFill="1" applyBorder="1"/>
    <xf numFmtId="10" fontId="3" fillId="6" borderId="34" xfId="0" applyNumberFormat="1" applyFont="1" applyFill="1" applyBorder="1"/>
    <xf numFmtId="0" fontId="3" fillId="6" borderId="75" xfId="0" applyFont="1" applyFill="1" applyBorder="1"/>
    <xf numFmtId="0" fontId="3" fillId="4" borderId="47" xfId="0" applyFont="1" applyFill="1" applyBorder="1"/>
    <xf numFmtId="0" fontId="3" fillId="4" borderId="41" xfId="0" applyFont="1" applyFill="1" applyBorder="1"/>
    <xf numFmtId="10" fontId="3" fillId="13" borderId="77" xfId="0" applyNumberFormat="1" applyFont="1" applyFill="1" applyBorder="1" applyAlignment="1">
      <alignment horizontal="right"/>
    </xf>
    <xf numFmtId="9" fontId="3" fillId="13" borderId="77" xfId="0" applyNumberFormat="1" applyFont="1" applyFill="1" applyBorder="1" applyAlignment="1">
      <alignment horizontal="right"/>
    </xf>
    <xf numFmtId="10" fontId="3" fillId="13" borderId="78" xfId="0" applyNumberFormat="1" applyFont="1" applyFill="1" applyBorder="1" applyAlignment="1">
      <alignment horizontal="right"/>
    </xf>
    <xf numFmtId="2" fontId="3" fillId="13" borderId="80" xfId="0" applyNumberFormat="1" applyFont="1" applyFill="1" applyBorder="1" applyAlignment="1">
      <alignment horizontal="right"/>
    </xf>
    <xf numFmtId="2" fontId="3" fillId="13" borderId="81" xfId="0" applyNumberFormat="1" applyFont="1" applyFill="1" applyBorder="1" applyAlignment="1">
      <alignment horizontal="right"/>
    </xf>
    <xf numFmtId="2" fontId="3" fillId="13" borderId="63" xfId="0" applyNumberFormat="1" applyFont="1" applyFill="1" applyBorder="1" applyAlignment="1">
      <alignment horizontal="right"/>
    </xf>
    <xf numFmtId="2" fontId="3" fillId="13" borderId="82" xfId="0" applyNumberFormat="1" applyFont="1" applyFill="1" applyBorder="1" applyAlignment="1">
      <alignment horizontal="right"/>
    </xf>
    <xf numFmtId="0" fontId="3" fillId="4" borderId="39" xfId="0" applyFont="1" applyFill="1" applyBorder="1"/>
    <xf numFmtId="0" fontId="3" fillId="4" borderId="1" xfId="0" applyFont="1" applyFill="1" applyBorder="1"/>
    <xf numFmtId="0" fontId="4" fillId="0" borderId="41" xfId="0" applyFont="1" applyBorder="1" applyAlignment="1">
      <alignment horizontal="right"/>
    </xf>
    <xf numFmtId="0" fontId="3" fillId="0" borderId="41" xfId="0" applyFont="1" applyBorder="1" applyAlignment="1">
      <alignment horizontal="right"/>
    </xf>
    <xf numFmtId="0" fontId="1" fillId="3" borderId="83" xfId="0" applyFont="1" applyFill="1" applyBorder="1"/>
    <xf numFmtId="0" fontId="1" fillId="3" borderId="84" xfId="0" applyFont="1" applyFill="1" applyBorder="1"/>
    <xf numFmtId="0" fontId="1" fillId="10" borderId="84" xfId="0" applyFont="1" applyFill="1" applyBorder="1"/>
    <xf numFmtId="0" fontId="1" fillId="10" borderId="84" xfId="0" applyFont="1" applyFill="1" applyBorder="1" applyAlignment="1">
      <alignment horizontal="right"/>
    </xf>
    <xf numFmtId="0" fontId="1" fillId="10" borderId="85" xfId="0" applyFont="1" applyFill="1" applyBorder="1" applyAlignment="1">
      <alignment horizontal="right"/>
    </xf>
    <xf numFmtId="0" fontId="24" fillId="3" borderId="86" xfId="0" applyFont="1" applyFill="1" applyBorder="1" applyAlignment="1">
      <alignment horizontal="left"/>
    </xf>
    <xf numFmtId="0" fontId="3" fillId="0" borderId="24" xfId="0" applyFont="1" applyBorder="1" applyAlignment="1">
      <alignment horizontal="left"/>
    </xf>
    <xf numFmtId="172" fontId="3" fillId="6" borderId="27" xfId="0" applyNumberFormat="1" applyFont="1" applyFill="1" applyBorder="1" applyAlignment="1">
      <alignment horizontal="right"/>
    </xf>
    <xf numFmtId="168" fontId="3" fillId="11" borderId="28" xfId="0" applyNumberFormat="1" applyFont="1" applyFill="1" applyBorder="1" applyAlignment="1">
      <alignment horizontal="right"/>
    </xf>
    <xf numFmtId="168" fontId="3" fillId="11" borderId="28" xfId="0" applyNumberFormat="1" applyFont="1" applyFill="1" applyBorder="1"/>
    <xf numFmtId="168" fontId="3" fillId="11" borderId="29" xfId="0" applyNumberFormat="1" applyFont="1" applyFill="1" applyBorder="1" applyAlignment="1">
      <alignment horizontal="right"/>
    </xf>
    <xf numFmtId="168" fontId="3" fillId="6" borderId="26" xfId="0" applyNumberFormat="1" applyFont="1" applyFill="1" applyBorder="1"/>
    <xf numFmtId="3" fontId="3" fillId="11" borderId="28" xfId="0" applyNumberFormat="1" applyFont="1" applyFill="1" applyBorder="1"/>
    <xf numFmtId="3" fontId="3" fillId="11" borderId="29" xfId="0" applyNumberFormat="1" applyFont="1" applyFill="1" applyBorder="1"/>
    <xf numFmtId="172" fontId="3" fillId="6" borderId="27" xfId="0" applyNumberFormat="1" applyFont="1" applyFill="1" applyBorder="1"/>
    <xf numFmtId="0" fontId="3" fillId="0" borderId="87" xfId="0" applyFont="1" applyBorder="1" applyAlignment="1">
      <alignment horizontal="left"/>
    </xf>
    <xf numFmtId="0" fontId="3" fillId="0" borderId="60" xfId="0" applyFont="1" applyBorder="1" applyAlignment="1">
      <alignment horizontal="left"/>
    </xf>
    <xf numFmtId="168" fontId="3" fillId="11" borderId="29" xfId="0" applyNumberFormat="1" applyFont="1" applyFill="1" applyBorder="1"/>
    <xf numFmtId="168" fontId="3" fillId="0" borderId="60" xfId="0" applyNumberFormat="1" applyFont="1" applyBorder="1" applyAlignment="1">
      <alignment horizontal="left"/>
    </xf>
    <xf numFmtId="0" fontId="3" fillId="0" borderId="60" xfId="0" applyFont="1" applyBorder="1"/>
    <xf numFmtId="0" fontId="4" fillId="0" borderId="60" xfId="0" applyFont="1" applyBorder="1"/>
    <xf numFmtId="168" fontId="11" fillId="6" borderId="25" xfId="0" applyNumberFormat="1" applyFont="1" applyFill="1" applyBorder="1"/>
    <xf numFmtId="168" fontId="25" fillId="6" borderId="26" xfId="0" applyNumberFormat="1" applyFont="1" applyFill="1" applyBorder="1"/>
    <xf numFmtId="168" fontId="25" fillId="6" borderId="27" xfId="0" applyNumberFormat="1" applyFont="1" applyFill="1" applyBorder="1"/>
    <xf numFmtId="168" fontId="25" fillId="11" borderId="28" xfId="0" applyNumberFormat="1" applyFont="1" applyFill="1" applyBorder="1"/>
    <xf numFmtId="168" fontId="25" fillId="11" borderId="29" xfId="0" applyNumberFormat="1" applyFont="1" applyFill="1" applyBorder="1"/>
    <xf numFmtId="0" fontId="14" fillId="0" borderId="60" xfId="0" applyFont="1" applyBorder="1" applyAlignment="1">
      <alignment horizontal="left"/>
    </xf>
    <xf numFmtId="43" fontId="3" fillId="11" borderId="29" xfId="0" applyNumberFormat="1" applyFont="1" applyFill="1" applyBorder="1"/>
    <xf numFmtId="0" fontId="3" fillId="0" borderId="86" xfId="0" applyFont="1" applyBorder="1" applyAlignment="1">
      <alignment horizontal="left"/>
    </xf>
    <xf numFmtId="0" fontId="4" fillId="0" borderId="24" xfId="0" applyFont="1" applyBorder="1" applyAlignment="1">
      <alignment horizontal="left"/>
    </xf>
    <xf numFmtId="4" fontId="3" fillId="11" borderId="28" xfId="0" applyNumberFormat="1" applyFont="1" applyFill="1" applyBorder="1"/>
    <xf numFmtId="4" fontId="3" fillId="11" borderId="29" xfId="0" applyNumberFormat="1" applyFont="1" applyFill="1" applyBorder="1"/>
    <xf numFmtId="0" fontId="24" fillId="3" borderId="24" xfId="0" applyFont="1" applyFill="1" applyBorder="1" applyAlignment="1">
      <alignment horizontal="left"/>
    </xf>
    <xf numFmtId="168" fontId="4" fillId="11" borderId="28" xfId="0" applyNumberFormat="1" applyFont="1" applyFill="1" applyBorder="1"/>
    <xf numFmtId="168" fontId="4" fillId="11" borderId="29" xfId="0" applyNumberFormat="1" applyFont="1" applyFill="1" applyBorder="1"/>
    <xf numFmtId="168" fontId="13" fillId="0" borderId="24" xfId="0" applyNumberFormat="1" applyFont="1" applyBorder="1"/>
    <xf numFmtId="168" fontId="24" fillId="3" borderId="24" xfId="0" applyNumberFormat="1" applyFont="1" applyFill="1" applyBorder="1"/>
    <xf numFmtId="0" fontId="4" fillId="0" borderId="24" xfId="0" applyFont="1" applyBorder="1"/>
    <xf numFmtId="172" fontId="4" fillId="6" borderId="26" xfId="0" applyNumberFormat="1" applyFont="1" applyFill="1" applyBorder="1" applyAlignment="1">
      <alignment horizontal="right"/>
    </xf>
    <xf numFmtId="172" fontId="4" fillId="6" borderId="27" xfId="0" applyNumberFormat="1" applyFont="1" applyFill="1" applyBorder="1" applyAlignment="1">
      <alignment horizontal="right"/>
    </xf>
    <xf numFmtId="172" fontId="4" fillId="11" borderId="28" xfId="0" applyNumberFormat="1" applyFont="1" applyFill="1" applyBorder="1" applyAlignment="1">
      <alignment horizontal="right"/>
    </xf>
    <xf numFmtId="172" fontId="4" fillId="11" borderId="29" xfId="0" applyNumberFormat="1" applyFont="1" applyFill="1" applyBorder="1" applyAlignment="1">
      <alignment horizontal="right"/>
    </xf>
    <xf numFmtId="3" fontId="3" fillId="11" borderId="28" xfId="0" applyNumberFormat="1" applyFont="1" applyFill="1" applyBorder="1" applyAlignment="1">
      <alignment horizontal="right"/>
    </xf>
    <xf numFmtId="3" fontId="3" fillId="11" borderId="29" xfId="0" applyNumberFormat="1" applyFont="1" applyFill="1" applyBorder="1" applyAlignment="1">
      <alignment horizontal="right"/>
    </xf>
    <xf numFmtId="0" fontId="3" fillId="11" borderId="28" xfId="0" applyFont="1" applyFill="1" applyBorder="1" applyAlignment="1">
      <alignment horizontal="right"/>
    </xf>
    <xf numFmtId="172" fontId="4" fillId="6" borderId="27" xfId="0" applyNumberFormat="1" applyFont="1" applyFill="1" applyBorder="1"/>
    <xf numFmtId="168" fontId="4" fillId="11" borderId="28" xfId="0" applyNumberFormat="1" applyFont="1" applyFill="1" applyBorder="1" applyAlignment="1">
      <alignment horizontal="right"/>
    </xf>
    <xf numFmtId="168" fontId="4" fillId="11" borderId="29" xfId="0" applyNumberFormat="1" applyFont="1" applyFill="1" applyBorder="1" applyAlignment="1">
      <alignment horizontal="right"/>
    </xf>
    <xf numFmtId="0" fontId="24" fillId="3" borderId="24" xfId="0" applyFont="1" applyFill="1" applyBorder="1"/>
    <xf numFmtId="164" fontId="4" fillId="6" borderId="26" xfId="0" applyNumberFormat="1" applyFont="1" applyFill="1" applyBorder="1"/>
    <xf numFmtId="164" fontId="4" fillId="6" borderId="27" xfId="0" applyNumberFormat="1" applyFont="1" applyFill="1" applyBorder="1"/>
    <xf numFmtId="172" fontId="3" fillId="11" borderId="28" xfId="0" applyNumberFormat="1" applyFont="1" applyFill="1" applyBorder="1" applyAlignment="1">
      <alignment horizontal="right"/>
    </xf>
    <xf numFmtId="172" fontId="3" fillId="11" borderId="29" xfId="0" applyNumberFormat="1" applyFont="1" applyFill="1" applyBorder="1" applyAlignment="1">
      <alignment horizontal="right"/>
    </xf>
    <xf numFmtId="0" fontId="3" fillId="0" borderId="24" xfId="0" applyFont="1" applyBorder="1" applyAlignment="1">
      <alignment wrapText="1"/>
    </xf>
    <xf numFmtId="172" fontId="3" fillId="11" borderId="28" xfId="0" applyNumberFormat="1" applyFont="1" applyFill="1" applyBorder="1"/>
    <xf numFmtId="172" fontId="3" fillId="11" borderId="29" xfId="0" applyNumberFormat="1" applyFont="1" applyFill="1" applyBorder="1"/>
    <xf numFmtId="0" fontId="8" fillId="0" borderId="24" xfId="0" applyFont="1" applyBorder="1"/>
    <xf numFmtId="0" fontId="1" fillId="6" borderId="25" xfId="0" applyFont="1" applyFill="1" applyBorder="1"/>
    <xf numFmtId="0" fontId="1" fillId="6" borderId="26" xfId="0" applyFont="1" applyFill="1" applyBorder="1"/>
    <xf numFmtId="0" fontId="1" fillId="6" borderId="27" xfId="0" applyFont="1" applyFill="1" applyBorder="1"/>
    <xf numFmtId="168" fontId="3" fillId="0" borderId="24" xfId="0" applyNumberFormat="1" applyFont="1" applyBorder="1"/>
    <xf numFmtId="168" fontId="26" fillId="0" borderId="24" xfId="0" applyNumberFormat="1" applyFont="1" applyBorder="1"/>
    <xf numFmtId="2" fontId="3" fillId="6" borderId="26" xfId="0" applyNumberFormat="1" applyFont="1" applyFill="1" applyBorder="1"/>
    <xf numFmtId="2" fontId="3" fillId="6" borderId="27" xfId="0" applyNumberFormat="1" applyFont="1" applyFill="1" applyBorder="1"/>
    <xf numFmtId="168" fontId="3" fillId="0" borderId="33" xfId="0" applyNumberFormat="1" applyFont="1" applyBorder="1"/>
    <xf numFmtId="2" fontId="3" fillId="6" borderId="35" xfId="0" applyNumberFormat="1" applyFont="1" applyFill="1" applyBorder="1"/>
    <xf numFmtId="2" fontId="3" fillId="6" borderId="36" xfId="0" applyNumberFormat="1" applyFont="1" applyFill="1" applyBorder="1"/>
    <xf numFmtId="0" fontId="3" fillId="11" borderId="37" xfId="0" applyFont="1" applyFill="1" applyBorder="1"/>
    <xf numFmtId="0" fontId="3" fillId="11" borderId="38" xfId="0" applyFont="1" applyFill="1" applyBorder="1"/>
    <xf numFmtId="0" fontId="3" fillId="0" borderId="39" xfId="0" applyFont="1" applyBorder="1" applyAlignment="1">
      <alignment horizontal="left"/>
    </xf>
    <xf numFmtId="0" fontId="3" fillId="0" borderId="1" xfId="0" applyFont="1" applyBorder="1" applyAlignment="1">
      <alignment horizontal="left"/>
    </xf>
    <xf numFmtId="0" fontId="27" fillId="0" borderId="18" xfId="0" applyFont="1" applyBorder="1"/>
    <xf numFmtId="0" fontId="24" fillId="3" borderId="47" xfId="0" applyFont="1" applyFill="1" applyBorder="1" applyAlignment="1">
      <alignment vertical="center"/>
    </xf>
    <xf numFmtId="0" fontId="24" fillId="3" borderId="41" xfId="0" applyFont="1" applyFill="1" applyBorder="1" applyAlignment="1">
      <alignment vertical="center"/>
    </xf>
    <xf numFmtId="0" fontId="28" fillId="3" borderId="41" xfId="0" applyFont="1" applyFill="1" applyBorder="1" applyAlignment="1">
      <alignment vertical="center"/>
    </xf>
    <xf numFmtId="0" fontId="28" fillId="3" borderId="41" xfId="0" applyFont="1" applyFill="1" applyBorder="1" applyAlignment="1">
      <alignment horizontal="right" vertical="center"/>
    </xf>
    <xf numFmtId="0" fontId="29" fillId="0" borderId="1" xfId="0" applyFont="1" applyBorder="1"/>
    <xf numFmtId="0" fontId="29" fillId="0" borderId="4" xfId="0" applyFont="1" applyBorder="1"/>
    <xf numFmtId="0" fontId="24" fillId="3" borderId="18" xfId="0" applyFont="1" applyFill="1" applyBorder="1" applyAlignment="1">
      <alignment wrapText="1"/>
    </xf>
    <xf numFmtId="0" fontId="24" fillId="6" borderId="19" xfId="0" applyFont="1" applyFill="1" applyBorder="1" applyAlignment="1">
      <alignment vertical="center"/>
    </xf>
    <xf numFmtId="0" fontId="24" fillId="6" borderId="20" xfId="0" applyFont="1" applyFill="1" applyBorder="1" applyAlignment="1">
      <alignment vertical="center"/>
    </xf>
    <xf numFmtId="0" fontId="28" fillId="6" borderId="21" xfId="0" applyFont="1" applyFill="1" applyBorder="1" applyAlignment="1">
      <alignment vertical="center"/>
    </xf>
    <xf numFmtId="0" fontId="28" fillId="11" borderId="22" xfId="0" applyFont="1" applyFill="1" applyBorder="1" applyAlignment="1">
      <alignment vertical="center"/>
    </xf>
    <xf numFmtId="0" fontId="28" fillId="11" borderId="23" xfId="0" applyFont="1" applyFill="1" applyBorder="1" applyAlignment="1">
      <alignment vertical="center"/>
    </xf>
    <xf numFmtId="0" fontId="30" fillId="9" borderId="24" xfId="0" applyFont="1" applyFill="1" applyBorder="1"/>
    <xf numFmtId="0" fontId="31" fillId="9" borderId="24" xfId="0" applyFont="1" applyFill="1" applyBorder="1"/>
    <xf numFmtId="0" fontId="27" fillId="9" borderId="24" xfId="0" applyFont="1" applyFill="1" applyBorder="1"/>
    <xf numFmtId="49" fontId="27" fillId="9" borderId="24" xfId="0" applyNumberFormat="1" applyFont="1" applyFill="1" applyBorder="1"/>
    <xf numFmtId="0" fontId="30" fillId="9" borderId="33" xfId="0" applyFont="1" applyFill="1" applyBorder="1"/>
    <xf numFmtId="0" fontId="29" fillId="0" borderId="39" xfId="0" applyFont="1" applyBorder="1"/>
    <xf numFmtId="0" fontId="27" fillId="0" borderId="39" xfId="0" applyFont="1" applyBorder="1"/>
    <xf numFmtId="0" fontId="27" fillId="0" borderId="1" xfId="0" applyFont="1" applyBorder="1"/>
    <xf numFmtId="0" fontId="23" fillId="0" borderId="4" xfId="0" applyFont="1" applyBorder="1" applyAlignment="1">
      <alignment horizontal="left" vertical="center"/>
    </xf>
    <xf numFmtId="0" fontId="27" fillId="0" borderId="49" xfId="0" applyFont="1" applyBorder="1" applyAlignment="1">
      <alignment vertical="center"/>
    </xf>
    <xf numFmtId="0" fontId="30" fillId="0" borderId="49" xfId="0" applyFont="1" applyBorder="1" applyAlignment="1">
      <alignment horizontal="center"/>
    </xf>
    <xf numFmtId="0" fontId="27" fillId="0" borderId="4" xfId="0" applyFont="1" applyBorder="1"/>
    <xf numFmtId="0" fontId="27" fillId="0" borderId="4" xfId="0" applyFont="1" applyBorder="1" applyAlignment="1">
      <alignment wrapText="1"/>
    </xf>
    <xf numFmtId="0" fontId="27" fillId="0" borderId="1" xfId="0" applyFont="1" applyBorder="1" applyAlignment="1">
      <alignment wrapText="1"/>
    </xf>
    <xf numFmtId="0" fontId="27" fillId="0" borderId="39" xfId="0" applyFont="1" applyBorder="1" applyAlignment="1">
      <alignment vertical="center"/>
    </xf>
    <xf numFmtId="0" fontId="27" fillId="0" borderId="1" xfId="0" applyFont="1" applyBorder="1" applyAlignment="1">
      <alignment vertical="center"/>
    </xf>
    <xf numFmtId="0" fontId="23" fillId="3" borderId="48" xfId="0" applyFont="1" applyFill="1" applyBorder="1" applyAlignment="1">
      <alignment horizontal="center" vertical="center"/>
    </xf>
    <xf numFmtId="0" fontId="1" fillId="3" borderId="47" xfId="0" applyFont="1" applyFill="1" applyBorder="1"/>
    <xf numFmtId="0" fontId="1" fillId="3" borderId="41" xfId="0" applyFont="1" applyFill="1" applyBorder="1"/>
    <xf numFmtId="0" fontId="1" fillId="3" borderId="41" xfId="0" applyFont="1" applyFill="1" applyBorder="1" applyAlignment="1">
      <alignment horizontal="right"/>
    </xf>
    <xf numFmtId="0" fontId="3" fillId="4" borderId="112" xfId="0" applyFont="1" applyFill="1" applyBorder="1"/>
    <xf numFmtId="0" fontId="3" fillId="4" borderId="113" xfId="0" applyFont="1" applyFill="1" applyBorder="1"/>
    <xf numFmtId="0" fontId="3" fillId="4" borderId="114" xfId="0" applyFont="1" applyFill="1" applyBorder="1"/>
    <xf numFmtId="0" fontId="3" fillId="4" borderId="115" xfId="0" applyFont="1" applyFill="1" applyBorder="1"/>
    <xf numFmtId="0" fontId="3" fillId="4" borderId="4" xfId="0" applyFont="1" applyFill="1" applyBorder="1"/>
    <xf numFmtId="0" fontId="30" fillId="5" borderId="48" xfId="0" applyFont="1" applyFill="1" applyBorder="1"/>
    <xf numFmtId="0" fontId="3" fillId="4" borderId="56" xfId="0" applyFont="1" applyFill="1" applyBorder="1"/>
    <xf numFmtId="0" fontId="3" fillId="4" borderId="57" xfId="0" applyFont="1" applyFill="1" applyBorder="1"/>
    <xf numFmtId="0" fontId="24" fillId="3" borderId="40" xfId="0" applyFont="1" applyFill="1" applyBorder="1"/>
    <xf numFmtId="38" fontId="3" fillId="4" borderId="2" xfId="0" applyNumberFormat="1" applyFont="1" applyFill="1" applyBorder="1" applyAlignment="1">
      <alignment horizontal="left"/>
    </xf>
    <xf numFmtId="1" fontId="3" fillId="4" borderId="1" xfId="0" applyNumberFormat="1" applyFont="1" applyFill="1" applyBorder="1"/>
    <xf numFmtId="9" fontId="3" fillId="4" borderId="1" xfId="0" applyNumberFormat="1" applyFont="1" applyFill="1" applyBorder="1"/>
    <xf numFmtId="9" fontId="3" fillId="4" borderId="57" xfId="0" applyNumberFormat="1" applyFont="1" applyFill="1" applyBorder="1"/>
    <xf numFmtId="164" fontId="3" fillId="4" borderId="1" xfId="0" applyNumberFormat="1" applyFont="1" applyFill="1" applyBorder="1"/>
    <xf numFmtId="38" fontId="13" fillId="4" borderId="2" xfId="0" applyNumberFormat="1" applyFont="1" applyFill="1" applyBorder="1" applyAlignment="1">
      <alignment horizontal="left"/>
    </xf>
    <xf numFmtId="2" fontId="3" fillId="4" borderId="1" xfId="0" applyNumberFormat="1" applyFont="1" applyFill="1" applyBorder="1"/>
    <xf numFmtId="10" fontId="33" fillId="4" borderId="2" xfId="0" applyNumberFormat="1" applyFont="1" applyFill="1" applyBorder="1" applyAlignment="1">
      <alignment horizontal="right"/>
    </xf>
    <xf numFmtId="166" fontId="3" fillId="4" borderId="1" xfId="0" applyNumberFormat="1" applyFont="1" applyFill="1" applyBorder="1"/>
    <xf numFmtId="166" fontId="3" fillId="4" borderId="57" xfId="0" applyNumberFormat="1" applyFont="1" applyFill="1" applyBorder="1"/>
    <xf numFmtId="38" fontId="4" fillId="4" borderId="2" xfId="0" applyNumberFormat="1" applyFont="1" applyFill="1" applyBorder="1" applyAlignment="1">
      <alignment horizontal="left"/>
    </xf>
    <xf numFmtId="1" fontId="3" fillId="4" borderId="57" xfId="0" applyNumberFormat="1" applyFont="1" applyFill="1" applyBorder="1"/>
    <xf numFmtId="4" fontId="3" fillId="4" borderId="1" xfId="0" applyNumberFormat="1" applyFont="1" applyFill="1" applyBorder="1"/>
    <xf numFmtId="0" fontId="3" fillId="4" borderId="2" xfId="0" applyFont="1" applyFill="1" applyBorder="1"/>
    <xf numFmtId="0" fontId="24" fillId="3" borderId="2" xfId="0" applyFont="1" applyFill="1" applyBorder="1"/>
    <xf numFmtId="0" fontId="3" fillId="4" borderId="1" xfId="0" applyFont="1" applyFill="1" applyBorder="1" applyAlignment="1">
      <alignment horizontal="right"/>
    </xf>
    <xf numFmtId="10" fontId="3" fillId="4" borderId="1" xfId="0" applyNumberFormat="1" applyFont="1" applyFill="1" applyBorder="1"/>
    <xf numFmtId="10" fontId="3" fillId="4" borderId="1" xfId="0" applyNumberFormat="1" applyFont="1" applyFill="1" applyBorder="1" applyAlignment="1">
      <alignment horizontal="right"/>
    </xf>
    <xf numFmtId="0" fontId="11" fillId="4" borderId="1" xfId="0" applyFont="1" applyFill="1" applyBorder="1" applyAlignment="1">
      <alignment horizontal="left"/>
    </xf>
    <xf numFmtId="0" fontId="34" fillId="4" borderId="1" xfId="0" applyFont="1" applyFill="1" applyBorder="1" applyAlignment="1">
      <alignment horizontal="left"/>
    </xf>
    <xf numFmtId="0" fontId="35" fillId="4" borderId="1" xfId="0" applyFont="1" applyFill="1" applyBorder="1" applyAlignment="1">
      <alignment horizontal="left"/>
    </xf>
    <xf numFmtId="0" fontId="3" fillId="4" borderId="45" xfId="0" applyFont="1" applyFill="1" applyBorder="1"/>
    <xf numFmtId="38" fontId="3" fillId="4" borderId="40" xfId="0" applyNumberFormat="1" applyFont="1" applyFill="1" applyBorder="1" applyAlignment="1">
      <alignment horizontal="left"/>
    </xf>
    <xf numFmtId="4" fontId="3" fillId="4" borderId="57" xfId="0" applyNumberFormat="1" applyFont="1" applyFill="1" applyBorder="1"/>
    <xf numFmtId="10" fontId="3" fillId="4" borderId="57" xfId="0" applyNumberFormat="1" applyFont="1" applyFill="1" applyBorder="1"/>
    <xf numFmtId="37" fontId="3" fillId="4" borderId="1" xfId="0" applyNumberFormat="1" applyFont="1" applyFill="1" applyBorder="1"/>
    <xf numFmtId="37" fontId="3" fillId="4" borderId="57" xfId="0" applyNumberFormat="1" applyFont="1" applyFill="1" applyBorder="1"/>
    <xf numFmtId="38" fontId="4" fillId="4" borderId="2" xfId="0" applyNumberFormat="1" applyFont="1" applyFill="1" applyBorder="1"/>
    <xf numFmtId="38" fontId="24" fillId="3" borderId="2" xfId="0" applyNumberFormat="1" applyFont="1" applyFill="1" applyBorder="1"/>
    <xf numFmtId="2" fontId="3" fillId="4" borderId="57" xfId="0" applyNumberFormat="1" applyFont="1" applyFill="1" applyBorder="1"/>
    <xf numFmtId="0" fontId="3" fillId="4" borderId="48" xfId="0" applyFont="1" applyFill="1" applyBorder="1"/>
    <xf numFmtId="1" fontId="3" fillId="4" borderId="56" xfId="0" applyNumberFormat="1" applyFont="1" applyFill="1" applyBorder="1"/>
    <xf numFmtId="1" fontId="3" fillId="4" borderId="39" xfId="0" applyNumberFormat="1" applyFont="1" applyFill="1" applyBorder="1"/>
    <xf numFmtId="38" fontId="4" fillId="4" borderId="45" xfId="0" applyNumberFormat="1" applyFont="1" applyFill="1" applyBorder="1"/>
    <xf numFmtId="38" fontId="13" fillId="4" borderId="40" xfId="0" applyNumberFormat="1" applyFont="1" applyFill="1" applyBorder="1" applyAlignment="1">
      <alignment horizontal="left"/>
    </xf>
    <xf numFmtId="9" fontId="3" fillId="4" borderId="56" xfId="0" applyNumberFormat="1" applyFont="1" applyFill="1" applyBorder="1"/>
    <xf numFmtId="0" fontId="10" fillId="4" borderId="56" xfId="0" applyFont="1" applyFill="1" applyBorder="1" applyAlignment="1">
      <alignment horizontal="right"/>
    </xf>
    <xf numFmtId="164" fontId="10" fillId="4" borderId="1" xfId="0" applyNumberFormat="1" applyFont="1" applyFill="1" applyBorder="1" applyAlignment="1">
      <alignment horizontal="right"/>
    </xf>
    <xf numFmtId="164" fontId="10" fillId="4" borderId="57" xfId="0" applyNumberFormat="1" applyFont="1" applyFill="1" applyBorder="1" applyAlignment="1">
      <alignment horizontal="right"/>
    </xf>
    <xf numFmtId="38" fontId="11" fillId="4" borderId="2" xfId="0" applyNumberFormat="1" applyFont="1" applyFill="1" applyBorder="1"/>
    <xf numFmtId="0" fontId="11" fillId="4" borderId="56" xfId="0" applyFont="1" applyFill="1" applyBorder="1" applyAlignment="1">
      <alignment horizontal="right"/>
    </xf>
    <xf numFmtId="0" fontId="11" fillId="4" borderId="1" xfId="0" applyFont="1" applyFill="1" applyBorder="1" applyAlignment="1">
      <alignment horizontal="right"/>
    </xf>
    <xf numFmtId="164" fontId="11" fillId="4" borderId="1" xfId="0" applyNumberFormat="1" applyFont="1" applyFill="1" applyBorder="1" applyAlignment="1">
      <alignment horizontal="right"/>
    </xf>
    <xf numFmtId="164" fontId="11" fillId="4" borderId="57" xfId="0" applyNumberFormat="1" applyFont="1" applyFill="1" applyBorder="1" applyAlignment="1">
      <alignment horizontal="right"/>
    </xf>
    <xf numFmtId="0" fontId="11" fillId="4" borderId="2" xfId="0" applyFont="1" applyFill="1" applyBorder="1"/>
    <xf numFmtId="38" fontId="13" fillId="4" borderId="2" xfId="0" applyNumberFormat="1" applyFont="1" applyFill="1" applyBorder="1" applyAlignment="1">
      <alignment horizontal="right"/>
    </xf>
    <xf numFmtId="164" fontId="3" fillId="4" borderId="57" xfId="0" applyNumberFormat="1" applyFont="1" applyFill="1" applyBorder="1"/>
    <xf numFmtId="0" fontId="14" fillId="4" borderId="2" xfId="0" applyFont="1" applyFill="1" applyBorder="1" applyAlignment="1">
      <alignment horizontal="left"/>
    </xf>
    <xf numFmtId="0" fontId="13" fillId="4" borderId="2" xfId="0" applyFont="1" applyFill="1" applyBorder="1" applyAlignment="1">
      <alignment horizontal="right"/>
    </xf>
    <xf numFmtId="0" fontId="3" fillId="4" borderId="58" xfId="0" applyFont="1" applyFill="1" applyBorder="1"/>
    <xf numFmtId="10" fontId="3" fillId="4" borderId="64" xfId="0" applyNumberFormat="1" applyFont="1" applyFill="1" applyBorder="1"/>
    <xf numFmtId="10" fontId="3" fillId="4" borderId="59" xfId="0" applyNumberFormat="1" applyFont="1" applyFill="1" applyBorder="1"/>
    <xf numFmtId="0" fontId="24" fillId="3" borderId="42" xfId="0" applyFont="1" applyFill="1" applyBorder="1" applyAlignment="1">
      <alignment horizontal="center"/>
    </xf>
    <xf numFmtId="0" fontId="24" fillId="3" borderId="43" xfId="0" applyFont="1" applyFill="1" applyBorder="1" applyAlignment="1">
      <alignment horizontal="center"/>
    </xf>
    <xf numFmtId="0" fontId="24" fillId="3" borderId="44" xfId="0" applyFont="1" applyFill="1" applyBorder="1" applyAlignment="1">
      <alignment horizontal="center"/>
    </xf>
    <xf numFmtId="0" fontId="11" fillId="0" borderId="41" xfId="0" applyFont="1" applyBorder="1"/>
    <xf numFmtId="173" fontId="11" fillId="0" borderId="54" xfId="0" applyNumberFormat="1" applyFont="1" applyBorder="1" applyAlignment="1">
      <alignment horizontal="right"/>
    </xf>
    <xf numFmtId="0" fontId="11" fillId="0" borderId="39" xfId="0" applyFont="1" applyBorder="1" applyAlignment="1">
      <alignment horizontal="right"/>
    </xf>
    <xf numFmtId="10" fontId="11" fillId="0" borderId="39" xfId="0" applyNumberFormat="1" applyFont="1" applyBorder="1" applyAlignment="1">
      <alignment horizontal="right"/>
    </xf>
    <xf numFmtId="10" fontId="11" fillId="0" borderId="55" xfId="0" applyNumberFormat="1" applyFont="1" applyBorder="1" applyAlignment="1">
      <alignment horizontal="right"/>
    </xf>
    <xf numFmtId="0" fontId="1" fillId="3" borderId="113" xfId="0" applyFont="1" applyFill="1" applyBorder="1"/>
    <xf numFmtId="2" fontId="11" fillId="6" borderId="115" xfId="0" applyNumberFormat="1" applyFont="1" applyFill="1" applyBorder="1" applyAlignment="1">
      <alignment horizontal="right"/>
    </xf>
    <xf numFmtId="173" fontId="11" fillId="0" borderId="56" xfId="0" applyNumberFormat="1" applyFont="1" applyBorder="1" applyAlignment="1">
      <alignment horizontal="right"/>
    </xf>
    <xf numFmtId="0" fontId="11" fillId="0" borderId="1" xfId="0" applyFont="1" applyBorder="1" applyAlignment="1">
      <alignment horizontal="right"/>
    </xf>
    <xf numFmtId="10" fontId="11" fillId="0" borderId="1" xfId="0" applyNumberFormat="1" applyFont="1" applyBorder="1" applyAlignment="1">
      <alignment horizontal="right"/>
    </xf>
    <xf numFmtId="10" fontId="11" fillId="0" borderId="57" xfId="0" applyNumberFormat="1" applyFont="1" applyBorder="1" applyAlignment="1">
      <alignment horizontal="right"/>
    </xf>
    <xf numFmtId="0" fontId="1" fillId="3" borderId="56" xfId="0" applyFont="1" applyFill="1" applyBorder="1"/>
    <xf numFmtId="10" fontId="11" fillId="6" borderId="57" xfId="0" applyNumberFormat="1" applyFont="1" applyFill="1" applyBorder="1" applyAlignment="1">
      <alignment horizontal="right"/>
    </xf>
    <xf numFmtId="9" fontId="11" fillId="6" borderId="57" xfId="0" applyNumberFormat="1" applyFont="1" applyFill="1" applyBorder="1" applyAlignment="1">
      <alignment horizontal="right"/>
    </xf>
    <xf numFmtId="10" fontId="11" fillId="6" borderId="57" xfId="0" applyNumberFormat="1" applyFont="1" applyFill="1" applyBorder="1"/>
    <xf numFmtId="174" fontId="11" fillId="0" borderId="56" xfId="0" applyNumberFormat="1" applyFont="1" applyBorder="1" applyAlignment="1">
      <alignment horizontal="right"/>
    </xf>
    <xf numFmtId="0" fontId="4" fillId="5" borderId="58" xfId="0" applyFont="1" applyFill="1" applyBorder="1"/>
    <xf numFmtId="10" fontId="11" fillId="6" borderId="59" xfId="0" applyNumberFormat="1" applyFont="1" applyFill="1" applyBorder="1"/>
    <xf numFmtId="0" fontId="3" fillId="0" borderId="57" xfId="0" applyFont="1" applyBorder="1"/>
    <xf numFmtId="0" fontId="3" fillId="0" borderId="64" xfId="0" applyFont="1" applyBorder="1"/>
    <xf numFmtId="0" fontId="3" fillId="0" borderId="59" xfId="0" applyFont="1" applyBorder="1"/>
    <xf numFmtId="165" fontId="2" fillId="10" borderId="48" xfId="0" applyNumberFormat="1" applyFont="1" applyFill="1" applyBorder="1" applyAlignment="1">
      <alignment horizontal="center"/>
    </xf>
    <xf numFmtId="165" fontId="1" fillId="3" borderId="83" xfId="0" applyNumberFormat="1" applyFont="1" applyFill="1" applyBorder="1" applyAlignment="1">
      <alignment horizontal="right"/>
    </xf>
    <xf numFmtId="165" fontId="1" fillId="3" borderId="84" xfId="0" applyNumberFormat="1" applyFont="1" applyFill="1" applyBorder="1" applyAlignment="1">
      <alignment horizontal="right"/>
    </xf>
    <xf numFmtId="0" fontId="1" fillId="3" borderId="84" xfId="0" applyFont="1" applyFill="1" applyBorder="1" applyAlignment="1">
      <alignment horizontal="right"/>
    </xf>
    <xf numFmtId="0" fontId="1" fillId="3" borderId="85" xfId="0" applyFont="1" applyFill="1" applyBorder="1" applyAlignment="1">
      <alignment horizontal="right"/>
    </xf>
    <xf numFmtId="165" fontId="3" fillId="0" borderId="4" xfId="0" applyNumberFormat="1" applyFont="1" applyBorder="1"/>
    <xf numFmtId="165" fontId="3" fillId="0" borderId="1" xfId="0" applyNumberFormat="1" applyFont="1" applyBorder="1"/>
    <xf numFmtId="165" fontId="2" fillId="3" borderId="48" xfId="0" applyNumberFormat="1" applyFont="1" applyFill="1" applyBorder="1" applyAlignment="1">
      <alignment horizontal="center" vertical="center"/>
    </xf>
    <xf numFmtId="165" fontId="4" fillId="6" borderId="25" xfId="0" applyNumberFormat="1" applyFont="1" applyFill="1" applyBorder="1"/>
    <xf numFmtId="165" fontId="4" fillId="6" borderId="26" xfId="0" applyNumberFormat="1" applyFont="1" applyFill="1" applyBorder="1"/>
    <xf numFmtId="165" fontId="4" fillId="6" borderId="27" xfId="0" applyNumberFormat="1" applyFont="1" applyFill="1" applyBorder="1"/>
    <xf numFmtId="165" fontId="4" fillId="11" borderId="28" xfId="0" applyNumberFormat="1" applyFont="1" applyFill="1" applyBorder="1"/>
    <xf numFmtId="165" fontId="4" fillId="11" borderId="29" xfId="0" applyNumberFormat="1" applyFont="1" applyFill="1" applyBorder="1"/>
    <xf numFmtId="165" fontId="1" fillId="3" borderId="18" xfId="0" applyNumberFormat="1" applyFont="1" applyFill="1" applyBorder="1"/>
    <xf numFmtId="165" fontId="3" fillId="6" borderId="25" xfId="0" applyNumberFormat="1" applyFont="1" applyFill="1" applyBorder="1"/>
    <xf numFmtId="165" fontId="3" fillId="6" borderId="26" xfId="0" applyNumberFormat="1" applyFont="1" applyFill="1" applyBorder="1"/>
    <xf numFmtId="165" fontId="3" fillId="6" borderId="27" xfId="0" applyNumberFormat="1" applyFont="1" applyFill="1" applyBorder="1"/>
    <xf numFmtId="165" fontId="3" fillId="9" borderId="24" xfId="0" applyNumberFormat="1" applyFont="1" applyFill="1" applyBorder="1"/>
    <xf numFmtId="165" fontId="3" fillId="6" borderId="26" xfId="0" applyNumberFormat="1" applyFont="1" applyFill="1" applyBorder="1" applyAlignment="1">
      <alignment horizontal="right"/>
    </xf>
    <xf numFmtId="165" fontId="3" fillId="6" borderId="27" xfId="0" applyNumberFormat="1" applyFont="1" applyFill="1" applyBorder="1" applyAlignment="1">
      <alignment horizontal="right"/>
    </xf>
    <xf numFmtId="165" fontId="3" fillId="11" borderId="28" xfId="0" applyNumberFormat="1" applyFont="1" applyFill="1" applyBorder="1" applyAlignment="1">
      <alignment horizontal="right"/>
    </xf>
    <xf numFmtId="165" fontId="3" fillId="11" borderId="29" xfId="0" applyNumberFormat="1" applyFont="1" applyFill="1" applyBorder="1" applyAlignment="1">
      <alignment horizontal="right"/>
    </xf>
    <xf numFmtId="165" fontId="4" fillId="6" borderId="25" xfId="0" applyNumberFormat="1" applyFont="1" applyFill="1" applyBorder="1" applyAlignment="1">
      <alignment horizontal="right"/>
    </xf>
    <xf numFmtId="165" fontId="4" fillId="6" borderId="26" xfId="0" applyNumberFormat="1" applyFont="1" applyFill="1" applyBorder="1" applyAlignment="1">
      <alignment horizontal="right"/>
    </xf>
    <xf numFmtId="165" fontId="4" fillId="6" borderId="27" xfId="0" applyNumberFormat="1" applyFont="1" applyFill="1" applyBorder="1" applyAlignment="1">
      <alignment horizontal="right"/>
    </xf>
    <xf numFmtId="165" fontId="3" fillId="0" borderId="24" xfId="0" applyNumberFormat="1" applyFont="1" applyBorder="1"/>
    <xf numFmtId="165" fontId="1" fillId="3" borderId="24" xfId="0" applyNumberFormat="1" applyFont="1" applyFill="1" applyBorder="1"/>
    <xf numFmtId="165" fontId="4" fillId="11" borderId="28" xfId="0" applyNumberFormat="1" applyFont="1" applyFill="1" applyBorder="1" applyAlignment="1">
      <alignment horizontal="right"/>
    </xf>
    <xf numFmtId="165" fontId="4" fillId="11" borderId="29" xfId="0" applyNumberFormat="1" applyFont="1" applyFill="1" applyBorder="1" applyAlignment="1">
      <alignment horizontal="right"/>
    </xf>
    <xf numFmtId="165" fontId="3" fillId="6" borderId="25" xfId="0" applyNumberFormat="1" applyFont="1" applyFill="1" applyBorder="1" applyAlignment="1">
      <alignment horizontal="right"/>
    </xf>
    <xf numFmtId="165" fontId="4" fillId="9" borderId="24" xfId="0" applyNumberFormat="1" applyFont="1" applyFill="1" applyBorder="1"/>
    <xf numFmtId="165" fontId="3" fillId="6" borderId="25" xfId="0" applyNumberFormat="1" applyFont="1" applyFill="1" applyBorder="1" applyAlignment="1">
      <alignment horizontal="center"/>
    </xf>
    <xf numFmtId="165" fontId="3" fillId="9" borderId="24" xfId="0" applyNumberFormat="1" applyFont="1" applyFill="1" applyBorder="1" applyAlignment="1">
      <alignment wrapText="1"/>
    </xf>
    <xf numFmtId="10" fontId="3" fillId="6" borderId="25" xfId="0" applyNumberFormat="1" applyFont="1" applyFill="1" applyBorder="1" applyAlignment="1">
      <alignment horizontal="right"/>
    </xf>
    <xf numFmtId="165" fontId="1" fillId="3" borderId="33" xfId="0" applyNumberFormat="1" applyFont="1" applyFill="1" applyBorder="1"/>
    <xf numFmtId="165" fontId="4" fillId="6" borderId="34" xfId="0" applyNumberFormat="1" applyFont="1" applyFill="1" applyBorder="1"/>
    <xf numFmtId="165" fontId="4" fillId="6" borderId="35" xfId="0" applyNumberFormat="1" applyFont="1" applyFill="1" applyBorder="1"/>
    <xf numFmtId="165" fontId="4" fillId="6" borderId="36" xfId="0" applyNumberFormat="1" applyFont="1" applyFill="1" applyBorder="1"/>
    <xf numFmtId="165" fontId="4" fillId="11" borderId="37" xfId="0" applyNumberFormat="1" applyFont="1" applyFill="1" applyBorder="1"/>
    <xf numFmtId="165" fontId="4" fillId="11" borderId="38" xfId="0" applyNumberFormat="1" applyFont="1" applyFill="1" applyBorder="1"/>
    <xf numFmtId="165" fontId="3" fillId="0" borderId="39" xfId="0" applyNumberFormat="1" applyFont="1" applyBorder="1"/>
    <xf numFmtId="43" fontId="3" fillId="0" borderId="41" xfId="0" applyNumberFormat="1" applyFont="1" applyBorder="1"/>
    <xf numFmtId="0" fontId="4" fillId="5" borderId="48" xfId="0" applyFont="1" applyFill="1" applyBorder="1" applyAlignment="1">
      <alignment horizontal="center" vertical="center"/>
    </xf>
    <xf numFmtId="0" fontId="1" fillId="3" borderId="43" xfId="0" applyFont="1" applyFill="1" applyBorder="1" applyAlignment="1">
      <alignment horizontal="right"/>
    </xf>
    <xf numFmtId="0" fontId="1" fillId="3" borderId="43" xfId="0" applyFont="1" applyFill="1" applyBorder="1" applyAlignment="1">
      <alignment horizontal="center"/>
    </xf>
    <xf numFmtId="0" fontId="1" fillId="10" borderId="43" xfId="0" applyFont="1" applyFill="1" applyBorder="1" applyAlignment="1">
      <alignment horizontal="center"/>
    </xf>
    <xf numFmtId="0" fontId="1" fillId="10" borderId="44" xfId="0" applyFont="1" applyFill="1" applyBorder="1" applyAlignment="1">
      <alignment horizontal="center"/>
    </xf>
    <xf numFmtId="0" fontId="4" fillId="0" borderId="4" xfId="0" applyFont="1" applyBorder="1" applyAlignment="1">
      <alignment horizontal="center"/>
    </xf>
    <xf numFmtId="0" fontId="4" fillId="5" borderId="18" xfId="0" applyFont="1" applyFill="1" applyBorder="1" applyAlignment="1">
      <alignment horizontal="center" vertical="center" wrapText="1"/>
    </xf>
    <xf numFmtId="0" fontId="4" fillId="0" borderId="113" xfId="0" applyFont="1" applyBorder="1"/>
    <xf numFmtId="0" fontId="3" fillId="0" borderId="115" xfId="0" applyFont="1" applyBorder="1"/>
    <xf numFmtId="168" fontId="4" fillId="6" borderId="19" xfId="0" applyNumberFormat="1" applyFont="1" applyFill="1" applyBorder="1" applyAlignment="1">
      <alignment horizontal="right"/>
    </xf>
    <xf numFmtId="168" fontId="4" fillId="6" borderId="20" xfId="0" applyNumberFormat="1" applyFont="1" applyFill="1" applyBorder="1" applyAlignment="1">
      <alignment horizontal="right"/>
    </xf>
    <xf numFmtId="168" fontId="4" fillId="6" borderId="21" xfId="0" applyNumberFormat="1" applyFont="1" applyFill="1" applyBorder="1" applyAlignment="1">
      <alignment horizontal="right"/>
    </xf>
    <xf numFmtId="168" fontId="4" fillId="11" borderId="22" xfId="0" applyNumberFormat="1" applyFont="1" applyFill="1" applyBorder="1" applyAlignment="1">
      <alignment horizontal="right"/>
    </xf>
    <xf numFmtId="168" fontId="4" fillId="11" borderId="23" xfId="0" applyNumberFormat="1" applyFont="1" applyFill="1" applyBorder="1" applyAlignment="1">
      <alignment horizontal="right"/>
    </xf>
    <xf numFmtId="168" fontId="4" fillId="0" borderId="4" xfId="0" applyNumberFormat="1" applyFont="1" applyBorder="1" applyAlignment="1">
      <alignment horizontal="right"/>
    </xf>
    <xf numFmtId="175" fontId="3" fillId="0" borderId="56" xfId="0" applyNumberFormat="1" applyFont="1" applyBorder="1"/>
    <xf numFmtId="175" fontId="13" fillId="0" borderId="57" xfId="0" applyNumberFormat="1" applyFont="1" applyBorder="1" applyAlignment="1">
      <alignment horizontal="center"/>
    </xf>
    <xf numFmtId="9" fontId="3" fillId="6" borderId="26" xfId="0" applyNumberFormat="1" applyFont="1" applyFill="1" applyBorder="1"/>
    <xf numFmtId="9" fontId="3" fillId="6" borderId="27" xfId="0" applyNumberFormat="1" applyFont="1" applyFill="1" applyBorder="1"/>
    <xf numFmtId="9" fontId="3" fillId="11" borderId="28" xfId="0" applyNumberFormat="1" applyFont="1" applyFill="1" applyBorder="1"/>
    <xf numFmtId="9" fontId="3" fillId="11" borderId="29" xfId="0" applyNumberFormat="1" applyFont="1" applyFill="1" applyBorder="1"/>
    <xf numFmtId="9" fontId="3" fillId="0" borderId="4" xfId="0" applyNumberFormat="1" applyFont="1" applyBorder="1"/>
    <xf numFmtId="168" fontId="10" fillId="6" borderId="25" xfId="0" applyNumberFormat="1" applyFont="1" applyFill="1" applyBorder="1" applyAlignment="1">
      <alignment horizontal="right"/>
    </xf>
    <xf numFmtId="168" fontId="3" fillId="0" borderId="4" xfId="0" applyNumberFormat="1" applyFont="1" applyBorder="1" applyAlignment="1">
      <alignment horizontal="right"/>
    </xf>
    <xf numFmtId="9" fontId="13" fillId="0" borderId="57" xfId="0" applyNumberFormat="1" applyFont="1" applyBorder="1" applyAlignment="1">
      <alignment horizontal="center"/>
    </xf>
    <xf numFmtId="168" fontId="3" fillId="6" borderId="26" xfId="0" applyNumberFormat="1" applyFont="1" applyFill="1" applyBorder="1" applyAlignment="1">
      <alignment horizontal="center"/>
    </xf>
    <xf numFmtId="168" fontId="3" fillId="6" borderId="27" xfId="0" applyNumberFormat="1" applyFont="1" applyFill="1" applyBorder="1" applyAlignment="1">
      <alignment horizontal="center"/>
    </xf>
    <xf numFmtId="168" fontId="3" fillId="11" borderId="28" xfId="0" applyNumberFormat="1" applyFont="1" applyFill="1" applyBorder="1" applyAlignment="1">
      <alignment horizontal="center"/>
    </xf>
    <xf numFmtId="168" fontId="3" fillId="11" borderId="29" xfId="0" applyNumberFormat="1" applyFont="1" applyFill="1" applyBorder="1" applyAlignment="1">
      <alignment horizontal="center"/>
    </xf>
    <xf numFmtId="168" fontId="3" fillId="0" borderId="4" xfId="0" applyNumberFormat="1" applyFont="1" applyBorder="1" applyAlignment="1">
      <alignment horizontal="center"/>
    </xf>
    <xf numFmtId="0" fontId="4" fillId="5" borderId="24" xfId="0" applyFont="1" applyFill="1" applyBorder="1" applyAlignment="1">
      <alignment horizontal="center" vertical="center"/>
    </xf>
    <xf numFmtId="0" fontId="4" fillId="0" borderId="56" xfId="0" applyFont="1" applyBorder="1"/>
    <xf numFmtId="168" fontId="4" fillId="6" borderId="25" xfId="0" applyNumberFormat="1" applyFont="1" applyFill="1" applyBorder="1" applyAlignment="1">
      <alignment horizontal="right"/>
    </xf>
    <xf numFmtId="168" fontId="4" fillId="6" borderId="26" xfId="0" applyNumberFormat="1" applyFont="1" applyFill="1" applyBorder="1" applyAlignment="1">
      <alignment horizontal="right"/>
    </xf>
    <xf numFmtId="168" fontId="4" fillId="6" borderId="27" xfId="0" applyNumberFormat="1" applyFont="1" applyFill="1" applyBorder="1" applyAlignment="1">
      <alignment horizontal="right"/>
    </xf>
    <xf numFmtId="167" fontId="3" fillId="0" borderId="4" xfId="0" applyNumberFormat="1" applyFont="1" applyBorder="1" applyAlignment="1">
      <alignment horizontal="right"/>
    </xf>
    <xf numFmtId="168" fontId="4" fillId="6" borderId="26" xfId="0" applyNumberFormat="1" applyFont="1" applyFill="1" applyBorder="1"/>
    <xf numFmtId="168" fontId="4" fillId="6" borderId="27" xfId="0" applyNumberFormat="1" applyFont="1" applyFill="1" applyBorder="1"/>
    <xf numFmtId="168" fontId="4" fillId="0" borderId="4" xfId="0" applyNumberFormat="1" applyFont="1" applyBorder="1"/>
    <xf numFmtId="10" fontId="3" fillId="0" borderId="4" xfId="0" applyNumberFormat="1" applyFont="1" applyBorder="1" applyAlignment="1">
      <alignment horizontal="right"/>
    </xf>
    <xf numFmtId="9" fontId="3" fillId="11" borderId="28" xfId="0" applyNumberFormat="1" applyFont="1" applyFill="1" applyBorder="1" applyAlignment="1">
      <alignment horizontal="right"/>
    </xf>
    <xf numFmtId="167" fontId="13" fillId="0" borderId="57" xfId="0" applyNumberFormat="1" applyFont="1" applyBorder="1" applyAlignment="1">
      <alignment horizontal="center"/>
    </xf>
    <xf numFmtId="9" fontId="3" fillId="11" borderId="29" xfId="0" applyNumberFormat="1" applyFont="1" applyFill="1" applyBorder="1" applyAlignment="1">
      <alignment horizontal="right"/>
    </xf>
    <xf numFmtId="9" fontId="3" fillId="0" borderId="4" xfId="0" applyNumberFormat="1" applyFont="1" applyBorder="1" applyAlignment="1">
      <alignment horizontal="right"/>
    </xf>
    <xf numFmtId="0" fontId="3" fillId="0" borderId="24" xfId="0" applyFont="1" applyBorder="1" applyAlignment="1">
      <alignment horizontal="center" vertical="center" wrapText="1"/>
    </xf>
    <xf numFmtId="175" fontId="3" fillId="6" borderId="25" xfId="0" applyNumberFormat="1" applyFont="1" applyFill="1" applyBorder="1"/>
    <xf numFmtId="175" fontId="3" fillId="6" borderId="26" xfId="0" applyNumberFormat="1" applyFont="1" applyFill="1" applyBorder="1"/>
    <xf numFmtId="176" fontId="11" fillId="6" borderId="26" xfId="0" applyNumberFormat="1" applyFont="1" applyFill="1" applyBorder="1"/>
    <xf numFmtId="176" fontId="3" fillId="11" borderId="28" xfId="0" applyNumberFormat="1" applyFont="1" applyFill="1" applyBorder="1"/>
    <xf numFmtId="176" fontId="3" fillId="11" borderId="29" xfId="0" applyNumberFormat="1" applyFont="1" applyFill="1" applyBorder="1"/>
    <xf numFmtId="176" fontId="3" fillId="0" borderId="4" xfId="0" applyNumberFormat="1" applyFont="1" applyBorder="1"/>
    <xf numFmtId="176" fontId="3" fillId="6" borderId="25" xfId="0" applyNumberFormat="1" applyFont="1" applyFill="1" applyBorder="1"/>
    <xf numFmtId="176" fontId="3" fillId="6" borderId="26" xfId="0" applyNumberFormat="1" applyFont="1" applyFill="1" applyBorder="1"/>
    <xf numFmtId="176" fontId="3" fillId="6" borderId="27" xfId="0" applyNumberFormat="1" applyFont="1" applyFill="1" applyBorder="1"/>
    <xf numFmtId="167" fontId="3" fillId="6" borderId="26" xfId="0" applyNumberFormat="1" applyFont="1" applyFill="1" applyBorder="1"/>
    <xf numFmtId="9" fontId="3" fillId="6" borderId="26" xfId="0" applyNumberFormat="1" applyFont="1" applyFill="1" applyBorder="1" applyAlignment="1">
      <alignment horizontal="right"/>
    </xf>
    <xf numFmtId="9" fontId="3" fillId="6" borderId="27" xfId="0" applyNumberFormat="1" applyFont="1" applyFill="1" applyBorder="1" applyAlignment="1">
      <alignment horizontal="right"/>
    </xf>
    <xf numFmtId="175" fontId="3" fillId="0" borderId="58" xfId="0" applyNumberFormat="1" applyFont="1" applyBorder="1"/>
    <xf numFmtId="175" fontId="13" fillId="0" borderId="59" xfId="0" applyNumberFormat="1" applyFont="1" applyBorder="1" applyAlignment="1">
      <alignment horizontal="center"/>
    </xf>
    <xf numFmtId="168" fontId="3" fillId="6" borderId="34" xfId="0" applyNumberFormat="1" applyFont="1" applyFill="1" applyBorder="1"/>
    <xf numFmtId="168" fontId="3" fillId="6" borderId="35" xfId="0" applyNumberFormat="1" applyFont="1" applyFill="1" applyBorder="1" applyAlignment="1">
      <alignment horizontal="right"/>
    </xf>
    <xf numFmtId="168" fontId="3" fillId="6" borderId="36" xfId="0" applyNumberFormat="1" applyFont="1" applyFill="1" applyBorder="1" applyAlignment="1">
      <alignment horizontal="right"/>
    </xf>
    <xf numFmtId="168" fontId="3" fillId="11" borderId="37" xfId="0" applyNumberFormat="1" applyFont="1" applyFill="1" applyBorder="1" applyAlignment="1">
      <alignment horizontal="right"/>
    </xf>
    <xf numFmtId="168" fontId="3" fillId="11" borderId="38" xfId="0" applyNumberFormat="1" applyFont="1" applyFill="1" applyBorder="1" applyAlignment="1">
      <alignment horizontal="right"/>
    </xf>
    <xf numFmtId="0" fontId="3" fillId="0" borderId="39" xfId="0" applyFont="1" applyBorder="1" applyAlignment="1">
      <alignment horizontal="center" vertical="center"/>
    </xf>
    <xf numFmtId="0" fontId="3" fillId="0" borderId="41" xfId="0" applyFont="1" applyBorder="1" applyAlignment="1">
      <alignment horizontal="center" vertical="center"/>
    </xf>
    <xf numFmtId="0" fontId="4" fillId="0" borderId="116" xfId="0" applyFont="1" applyBorder="1" applyAlignment="1">
      <alignment horizontal="center" vertical="center"/>
    </xf>
    <xf numFmtId="0" fontId="4" fillId="0" borderId="116" xfId="0" applyFont="1" applyBorder="1" applyAlignment="1">
      <alignment horizontal="center"/>
    </xf>
    <xf numFmtId="0" fontId="3" fillId="0" borderId="116" xfId="0" applyFont="1" applyBorder="1" applyAlignment="1">
      <alignment horizontal="center" vertical="center"/>
    </xf>
    <xf numFmtId="0" fontId="3" fillId="0" borderId="116" xfId="0" applyFont="1" applyBorder="1" applyAlignment="1">
      <alignment horizontal="center"/>
    </xf>
    <xf numFmtId="177" fontId="3" fillId="0" borderId="116" xfId="0" applyNumberFormat="1" applyFont="1" applyBorder="1" applyAlignment="1">
      <alignment horizontal="center"/>
    </xf>
    <xf numFmtId="3" fontId="3" fillId="0" borderId="116" xfId="0" applyNumberFormat="1" applyFont="1" applyBorder="1" applyAlignment="1">
      <alignment horizontal="center"/>
    </xf>
    <xf numFmtId="0" fontId="3" fillId="0" borderId="1" xfId="0" applyFont="1" applyBorder="1" applyAlignment="1">
      <alignment horizontal="center" vertical="center"/>
    </xf>
    <xf numFmtId="0" fontId="16" fillId="3" borderId="48" xfId="0" applyFont="1" applyFill="1" applyBorder="1" applyAlignment="1">
      <alignment vertical="center"/>
    </xf>
    <xf numFmtId="0" fontId="1" fillId="3" borderId="42" xfId="0" applyFont="1" applyFill="1" applyBorder="1" applyAlignment="1">
      <alignment vertical="center"/>
    </xf>
    <xf numFmtId="0" fontId="1" fillId="3" borderId="43" xfId="0" applyFont="1" applyFill="1" applyBorder="1" applyAlignment="1">
      <alignment vertical="center"/>
    </xf>
    <xf numFmtId="0" fontId="1" fillId="10" borderId="43" xfId="0" applyFont="1" applyFill="1" applyBorder="1" applyAlignment="1">
      <alignment horizontal="right" vertical="center"/>
    </xf>
    <xf numFmtId="0" fontId="1" fillId="10" borderId="44" xfId="0" applyFont="1" applyFill="1" applyBorder="1" applyAlignment="1">
      <alignment horizontal="right" vertical="center"/>
    </xf>
    <xf numFmtId="0" fontId="4" fillId="0" borderId="4" xfId="0" applyFont="1" applyBorder="1" applyAlignment="1">
      <alignment vertical="center"/>
    </xf>
    <xf numFmtId="0" fontId="4" fillId="0" borderId="1" xfId="0" applyFont="1" applyBorder="1" applyAlignment="1">
      <alignment vertical="center"/>
    </xf>
    <xf numFmtId="0" fontId="1" fillId="3" borderId="86" xfId="0" applyFont="1" applyFill="1" applyBorder="1" applyAlignment="1">
      <alignment horizontal="left"/>
    </xf>
    <xf numFmtId="10" fontId="3" fillId="6" borderId="19" xfId="0" applyNumberFormat="1" applyFont="1" applyFill="1" applyBorder="1"/>
    <xf numFmtId="10" fontId="3" fillId="6" borderId="25" xfId="0" applyNumberFormat="1" applyFont="1" applyFill="1" applyBorder="1"/>
    <xf numFmtId="178" fontId="3" fillId="0" borderId="24" xfId="0" applyNumberFormat="1" applyFont="1" applyBorder="1"/>
    <xf numFmtId="10" fontId="3" fillId="6" borderId="118" xfId="0" applyNumberFormat="1" applyFont="1" applyFill="1" applyBorder="1"/>
    <xf numFmtId="10" fontId="3" fillId="6" borderId="119" xfId="0" applyNumberFormat="1" applyFont="1" applyFill="1" applyBorder="1"/>
    <xf numFmtId="10" fontId="3" fillId="6" borderId="120" xfId="0" applyNumberFormat="1" applyFont="1" applyFill="1" applyBorder="1"/>
    <xf numFmtId="10" fontId="3" fillId="11" borderId="121" xfId="0" applyNumberFormat="1" applyFont="1" applyFill="1" applyBorder="1"/>
    <xf numFmtId="10" fontId="3" fillId="11" borderId="122" xfId="0" applyNumberFormat="1" applyFont="1" applyFill="1" applyBorder="1"/>
    <xf numFmtId="0" fontId="1" fillId="3" borderId="24" xfId="0" applyFont="1" applyFill="1" applyBorder="1" applyAlignment="1">
      <alignment horizontal="left"/>
    </xf>
    <xf numFmtId="4" fontId="3" fillId="6" borderId="124" xfId="0" applyNumberFormat="1" applyFont="1" applyFill="1" applyBorder="1"/>
    <xf numFmtId="4" fontId="3" fillId="6" borderId="125" xfId="0" applyNumberFormat="1" applyFont="1" applyFill="1" applyBorder="1"/>
    <xf numFmtId="4" fontId="3" fillId="6" borderId="126" xfId="0" applyNumberFormat="1" applyFont="1" applyFill="1" applyBorder="1"/>
    <xf numFmtId="4" fontId="3" fillId="11" borderId="127" xfId="0" applyNumberFormat="1" applyFont="1" applyFill="1" applyBorder="1"/>
    <xf numFmtId="4" fontId="3" fillId="11" borderId="128" xfId="0" applyNumberFormat="1" applyFont="1" applyFill="1" applyBorder="1"/>
    <xf numFmtId="4" fontId="3" fillId="6" borderId="25" xfId="0" applyNumberFormat="1" applyFont="1" applyFill="1" applyBorder="1"/>
    <xf numFmtId="4" fontId="3" fillId="6" borderId="26" xfId="0" applyNumberFormat="1" applyFont="1" applyFill="1" applyBorder="1"/>
    <xf numFmtId="4" fontId="3" fillId="6" borderId="27" xfId="0" applyNumberFormat="1" applyFont="1" applyFill="1" applyBorder="1"/>
    <xf numFmtId="4" fontId="3" fillId="0" borderId="24" xfId="0" applyNumberFormat="1" applyFont="1" applyBorder="1"/>
    <xf numFmtId="4" fontId="3" fillId="6" borderId="118" xfId="0" applyNumberFormat="1" applyFont="1" applyFill="1" applyBorder="1"/>
    <xf numFmtId="4" fontId="3" fillId="6" borderId="119" xfId="0" applyNumberFormat="1" applyFont="1" applyFill="1" applyBorder="1"/>
    <xf numFmtId="4" fontId="3" fillId="6" borderId="120" xfId="0" applyNumberFormat="1" applyFont="1" applyFill="1" applyBorder="1"/>
    <xf numFmtId="4" fontId="3" fillId="11" borderId="121" xfId="0" applyNumberFormat="1" applyFont="1" applyFill="1" applyBorder="1"/>
    <xf numFmtId="4" fontId="3" fillId="11" borderId="122" xfId="0" applyNumberFormat="1" applyFont="1" applyFill="1" applyBorder="1"/>
    <xf numFmtId="4" fontId="1" fillId="3" borderId="24" xfId="0" applyNumberFormat="1" applyFont="1" applyFill="1" applyBorder="1" applyAlignment="1">
      <alignment horizontal="left"/>
    </xf>
    <xf numFmtId="4" fontId="3" fillId="0" borderId="33" xfId="0" applyNumberFormat="1" applyFont="1" applyBorder="1"/>
    <xf numFmtId="4" fontId="3" fillId="6" borderId="34" xfId="0" applyNumberFormat="1" applyFont="1" applyFill="1" applyBorder="1"/>
    <xf numFmtId="4" fontId="3" fillId="6" borderId="35" xfId="0" applyNumberFormat="1" applyFont="1" applyFill="1" applyBorder="1"/>
    <xf numFmtId="4" fontId="3" fillId="6" borderId="36" xfId="0" applyNumberFormat="1" applyFont="1" applyFill="1" applyBorder="1"/>
    <xf numFmtId="4" fontId="3" fillId="11" borderId="37" xfId="0" applyNumberFormat="1" applyFont="1" applyFill="1" applyBorder="1"/>
    <xf numFmtId="4" fontId="3" fillId="11" borderId="38" xfId="0" applyNumberFormat="1" applyFont="1" applyFill="1" applyBorder="1"/>
    <xf numFmtId="10" fontId="3" fillId="0" borderId="39" xfId="0" applyNumberFormat="1" applyFont="1" applyBorder="1"/>
    <xf numFmtId="0" fontId="1" fillId="3" borderId="113" xfId="0" applyFont="1" applyFill="1" applyBorder="1" applyAlignment="1">
      <alignment horizontal="right"/>
    </xf>
    <xf numFmtId="0" fontId="1" fillId="3" borderId="114" xfId="0" applyFont="1" applyFill="1" applyBorder="1" applyAlignment="1">
      <alignment horizontal="right"/>
    </xf>
    <xf numFmtId="0" fontId="1" fillId="10" borderId="114" xfId="0" applyFont="1" applyFill="1" applyBorder="1" applyAlignment="1">
      <alignment horizontal="right"/>
    </xf>
    <xf numFmtId="0" fontId="1" fillId="10" borderId="115" xfId="0" applyFont="1" applyFill="1" applyBorder="1" applyAlignment="1">
      <alignment horizontal="right"/>
    </xf>
    <xf numFmtId="0" fontId="22" fillId="5" borderId="48" xfId="0" applyFont="1" applyFill="1" applyBorder="1"/>
    <xf numFmtId="0" fontId="1" fillId="3" borderId="86" xfId="0" applyFont="1" applyFill="1" applyBorder="1"/>
    <xf numFmtId="167" fontId="3" fillId="6" borderId="25" xfId="0" applyNumberFormat="1" applyFont="1" applyFill="1" applyBorder="1"/>
    <xf numFmtId="167" fontId="3" fillId="6" borderId="27" xfId="0" applyNumberFormat="1" applyFont="1" applyFill="1" applyBorder="1"/>
    <xf numFmtId="0" fontId="11" fillId="0" borderId="24" xfId="0" applyFont="1" applyBorder="1"/>
    <xf numFmtId="0" fontId="10" fillId="0" borderId="24" xfId="0" applyFont="1" applyBorder="1"/>
    <xf numFmtId="167" fontId="3" fillId="6" borderId="34" xfId="0" applyNumberFormat="1" applyFont="1" applyFill="1" applyBorder="1"/>
    <xf numFmtId="167" fontId="3" fillId="6" borderId="35" xfId="0" applyNumberFormat="1" applyFont="1" applyFill="1" applyBorder="1"/>
    <xf numFmtId="167" fontId="3" fillId="6" borderId="36" xfId="0" applyNumberFormat="1" applyFont="1" applyFill="1" applyBorder="1"/>
    <xf numFmtId="167" fontId="3" fillId="11" borderId="37" xfId="0" applyNumberFormat="1" applyFont="1" applyFill="1" applyBorder="1"/>
    <xf numFmtId="167" fontId="3" fillId="11" borderId="38" xfId="0" applyNumberFormat="1" applyFont="1" applyFill="1" applyBorder="1"/>
    <xf numFmtId="0" fontId="3" fillId="0" borderId="66" xfId="0" applyFont="1" applyBorder="1"/>
    <xf numFmtId="167" fontId="4" fillId="6" borderId="25" xfId="0" applyNumberFormat="1" applyFont="1" applyFill="1" applyBorder="1"/>
    <xf numFmtId="167" fontId="4" fillId="6" borderId="26" xfId="0" applyNumberFormat="1" applyFont="1" applyFill="1" applyBorder="1"/>
    <xf numFmtId="167" fontId="4" fillId="6" borderId="27" xfId="0" applyNumberFormat="1" applyFont="1" applyFill="1" applyBorder="1"/>
    <xf numFmtId="167" fontId="4" fillId="11" borderId="28" xfId="0" applyNumberFormat="1" applyFont="1" applyFill="1" applyBorder="1"/>
    <xf numFmtId="167" fontId="4" fillId="11" borderId="29" xfId="0" applyNumberFormat="1" applyFont="1" applyFill="1" applyBorder="1"/>
    <xf numFmtId="0" fontId="3" fillId="0" borderId="33" xfId="0" applyFont="1" applyBorder="1"/>
    <xf numFmtId="0" fontId="37" fillId="0" borderId="0" xfId="0" applyFont="1"/>
    <xf numFmtId="0" fontId="38" fillId="0" borderId="0" xfId="0" applyFont="1"/>
    <xf numFmtId="179" fontId="7" fillId="6" borderId="43" xfId="0" applyNumberFormat="1" applyFont="1" applyFill="1" applyBorder="1"/>
    <xf numFmtId="0" fontId="39" fillId="0" borderId="39" xfId="0" applyFont="1" applyBorder="1"/>
    <xf numFmtId="164" fontId="3" fillId="0" borderId="39" xfId="0" applyNumberFormat="1" applyFont="1" applyBorder="1"/>
    <xf numFmtId="179" fontId="7" fillId="6" borderId="132" xfId="0" applyNumberFormat="1" applyFont="1" applyFill="1" applyBorder="1"/>
    <xf numFmtId="0" fontId="4" fillId="4" borderId="47" xfId="0" applyFont="1" applyFill="1" applyBorder="1"/>
    <xf numFmtId="1" fontId="4" fillId="4" borderId="54" xfId="0" applyNumberFormat="1" applyFont="1" applyFill="1" applyBorder="1"/>
    <xf numFmtId="164" fontId="4" fillId="11" borderId="135" xfId="0" applyNumberFormat="1" applyFont="1" applyFill="1" applyBorder="1"/>
    <xf numFmtId="179" fontId="7" fillId="6" borderId="136" xfId="0" applyNumberFormat="1" applyFont="1" applyFill="1" applyBorder="1"/>
    <xf numFmtId="179" fontId="3" fillId="0" borderId="1" xfId="0" applyNumberFormat="1" applyFont="1" applyBorder="1"/>
    <xf numFmtId="0" fontId="42" fillId="9" borderId="24" xfId="0" applyFont="1" applyFill="1" applyBorder="1"/>
    <xf numFmtId="0" fontId="39" fillId="0" borderId="24" xfId="0" applyFont="1" applyBorder="1"/>
    <xf numFmtId="10" fontId="3" fillId="13" borderId="79" xfId="0" applyNumberFormat="1" applyFont="1" applyFill="1" applyBorder="1" applyAlignment="1">
      <alignment horizontal="right"/>
    </xf>
    <xf numFmtId="10" fontId="3" fillId="13" borderId="62" xfId="0" applyNumberFormat="1" applyFont="1" applyFill="1" applyBorder="1" applyAlignment="1">
      <alignment horizontal="right"/>
    </xf>
    <xf numFmtId="2" fontId="3" fillId="13" borderId="1" xfId="0" applyNumberFormat="1" applyFont="1" applyFill="1" applyBorder="1" applyAlignment="1">
      <alignment horizontal="right"/>
    </xf>
    <xf numFmtId="2" fontId="4" fillId="0" borderId="41" xfId="0" applyNumberFormat="1" applyFont="1" applyBorder="1" applyAlignment="1">
      <alignment horizontal="right"/>
    </xf>
    <xf numFmtId="2" fontId="40" fillId="13" borderId="80" xfId="0" applyNumberFormat="1" applyFont="1" applyFill="1" applyBorder="1" applyAlignment="1">
      <alignment horizontal="right"/>
    </xf>
    <xf numFmtId="0" fontId="3" fillId="0" borderId="5" xfId="0" applyFont="1" applyBorder="1"/>
    <xf numFmtId="10" fontId="3" fillId="0" borderId="3" xfId="0" applyNumberFormat="1" applyFont="1" applyBorder="1"/>
    <xf numFmtId="0" fontId="11" fillId="0" borderId="137" xfId="0" applyFont="1" applyBorder="1"/>
    <xf numFmtId="167" fontId="3" fillId="6" borderId="138" xfId="0" applyNumberFormat="1" applyFont="1" applyFill="1" applyBorder="1"/>
    <xf numFmtId="167" fontId="3" fillId="6" borderId="139" xfId="0" applyNumberFormat="1" applyFont="1" applyFill="1" applyBorder="1"/>
    <xf numFmtId="167" fontId="3" fillId="6" borderId="140" xfId="0" applyNumberFormat="1" applyFont="1" applyFill="1" applyBorder="1"/>
    <xf numFmtId="167" fontId="3" fillId="11" borderId="141" xfId="0" applyNumberFormat="1" applyFont="1" applyFill="1" applyBorder="1"/>
    <xf numFmtId="167" fontId="3" fillId="11" borderId="142" xfId="0" applyNumberFormat="1" applyFont="1" applyFill="1" applyBorder="1"/>
    <xf numFmtId="180" fontId="30" fillId="6" borderId="25" xfId="0" applyNumberFormat="1" applyFont="1" applyFill="1" applyBorder="1"/>
    <xf numFmtId="180" fontId="30" fillId="6" borderId="26" xfId="0" applyNumberFormat="1" applyFont="1" applyFill="1" applyBorder="1"/>
    <xf numFmtId="180" fontId="30" fillId="6" borderId="27" xfId="0" applyNumberFormat="1" applyFont="1" applyFill="1" applyBorder="1"/>
    <xf numFmtId="180" fontId="30" fillId="11" borderId="28" xfId="0" applyNumberFormat="1" applyFont="1" applyFill="1" applyBorder="1"/>
    <xf numFmtId="180" fontId="30" fillId="11" borderId="29" xfId="0" applyNumberFormat="1" applyFont="1" applyFill="1" applyBorder="1"/>
    <xf numFmtId="180" fontId="27" fillId="6" borderId="25" xfId="0" applyNumberFormat="1" applyFont="1" applyFill="1" applyBorder="1"/>
    <xf numFmtId="180" fontId="27" fillId="6" borderId="26" xfId="0" applyNumberFormat="1" applyFont="1" applyFill="1" applyBorder="1"/>
    <xf numFmtId="180" fontId="27" fillId="6" borderId="27" xfId="0" applyNumberFormat="1" applyFont="1" applyFill="1" applyBorder="1"/>
    <xf numFmtId="180" fontId="27" fillId="11" borderId="28" xfId="0" applyNumberFormat="1" applyFont="1" applyFill="1" applyBorder="1"/>
    <xf numFmtId="180" fontId="27" fillId="11" borderId="29" xfId="0" applyNumberFormat="1" applyFont="1" applyFill="1" applyBorder="1"/>
    <xf numFmtId="180" fontId="32" fillId="11" borderId="28" xfId="0" applyNumberFormat="1" applyFont="1" applyFill="1" applyBorder="1"/>
    <xf numFmtId="180" fontId="30" fillId="6" borderId="34" xfId="0" applyNumberFormat="1" applyFont="1" applyFill="1" applyBorder="1"/>
    <xf numFmtId="180" fontId="30" fillId="6" borderId="35" xfId="0" applyNumberFormat="1" applyFont="1" applyFill="1" applyBorder="1"/>
    <xf numFmtId="180" fontId="30" fillId="6" borderId="36" xfId="0" applyNumberFormat="1" applyFont="1" applyFill="1" applyBorder="1"/>
    <xf numFmtId="180" fontId="30" fillId="11" borderId="37" xfId="0" applyNumberFormat="1" applyFont="1" applyFill="1" applyBorder="1"/>
    <xf numFmtId="180" fontId="30" fillId="11" borderId="38" xfId="0" applyNumberFormat="1" applyFont="1" applyFill="1" applyBorder="1"/>
    <xf numFmtId="180" fontId="4" fillId="6" borderId="19" xfId="0" applyNumberFormat="1" applyFont="1" applyFill="1" applyBorder="1"/>
    <xf numFmtId="180" fontId="4" fillId="6" borderId="20" xfId="0" applyNumberFormat="1" applyFont="1" applyFill="1" applyBorder="1"/>
    <xf numFmtId="180" fontId="4" fillId="6" borderId="21" xfId="0" applyNumberFormat="1" applyFont="1" applyFill="1" applyBorder="1"/>
    <xf numFmtId="180" fontId="4" fillId="11" borderId="22" xfId="0" applyNumberFormat="1" applyFont="1" applyFill="1" applyBorder="1"/>
    <xf numFmtId="180" fontId="4" fillId="11" borderId="23" xfId="0" applyNumberFormat="1" applyFont="1" applyFill="1" applyBorder="1"/>
    <xf numFmtId="180" fontId="3" fillId="6" borderId="25" xfId="0" applyNumberFormat="1" applyFont="1" applyFill="1" applyBorder="1"/>
    <xf numFmtId="180" fontId="3" fillId="6" borderId="26" xfId="0" applyNumberFormat="1" applyFont="1" applyFill="1" applyBorder="1"/>
    <xf numFmtId="180" fontId="3" fillId="6" borderId="27" xfId="0" applyNumberFormat="1" applyFont="1" applyFill="1" applyBorder="1"/>
    <xf numFmtId="180" fontId="3" fillId="11" borderId="28" xfId="0" applyNumberFormat="1" applyFont="1" applyFill="1" applyBorder="1"/>
    <xf numFmtId="180" fontId="3" fillId="11" borderId="29" xfId="0" applyNumberFormat="1" applyFont="1" applyFill="1" applyBorder="1"/>
    <xf numFmtId="180" fontId="4" fillId="6" borderId="25" xfId="0" applyNumberFormat="1" applyFont="1" applyFill="1" applyBorder="1"/>
    <xf numFmtId="180" fontId="4" fillId="6" borderId="26" xfId="0" applyNumberFormat="1" applyFont="1" applyFill="1" applyBorder="1"/>
    <xf numFmtId="180" fontId="4" fillId="6" borderId="27" xfId="0" applyNumberFormat="1" applyFont="1" applyFill="1" applyBorder="1"/>
    <xf numFmtId="180" fontId="4" fillId="11" borderId="28" xfId="0" applyNumberFormat="1" applyFont="1" applyFill="1" applyBorder="1"/>
    <xf numFmtId="180" fontId="4" fillId="11" borderId="29" xfId="0" applyNumberFormat="1" applyFont="1" applyFill="1" applyBorder="1"/>
    <xf numFmtId="180" fontId="11" fillId="6" borderId="25" xfId="0" applyNumberFormat="1" applyFont="1" applyFill="1" applyBorder="1" applyAlignment="1">
      <alignment horizontal="right"/>
    </xf>
    <xf numFmtId="180" fontId="11" fillId="6" borderId="26" xfId="0" applyNumberFormat="1" applyFont="1" applyFill="1" applyBorder="1" applyAlignment="1">
      <alignment horizontal="right"/>
    </xf>
    <xf numFmtId="180" fontId="11" fillId="6" borderId="27" xfId="0" applyNumberFormat="1" applyFont="1" applyFill="1" applyBorder="1" applyAlignment="1">
      <alignment horizontal="right"/>
    </xf>
    <xf numFmtId="180" fontId="11" fillId="11" borderId="28" xfId="0" applyNumberFormat="1" applyFont="1" applyFill="1" applyBorder="1" applyAlignment="1">
      <alignment horizontal="right"/>
    </xf>
    <xf numFmtId="180" fontId="11" fillId="11" borderId="29" xfId="0" applyNumberFormat="1" applyFont="1" applyFill="1" applyBorder="1" applyAlignment="1">
      <alignment horizontal="right"/>
    </xf>
    <xf numFmtId="180" fontId="11" fillId="6" borderId="25" xfId="0" applyNumberFormat="1" applyFont="1" applyFill="1" applyBorder="1"/>
    <xf numFmtId="180" fontId="11" fillId="6" borderId="26" xfId="0" applyNumberFormat="1" applyFont="1" applyFill="1" applyBorder="1"/>
    <xf numFmtId="180" fontId="11" fillId="6" borderId="27" xfId="0" applyNumberFormat="1" applyFont="1" applyFill="1" applyBorder="1"/>
    <xf numFmtId="180" fontId="11" fillId="11" borderId="28" xfId="0" applyNumberFormat="1" applyFont="1" applyFill="1" applyBorder="1"/>
    <xf numFmtId="180" fontId="11" fillId="11" borderId="29" xfId="0" applyNumberFormat="1" applyFont="1" applyFill="1" applyBorder="1"/>
    <xf numFmtId="180" fontId="11" fillId="6" borderId="34" xfId="0" applyNumberFormat="1" applyFont="1" applyFill="1" applyBorder="1" applyAlignment="1">
      <alignment horizontal="right"/>
    </xf>
    <xf numFmtId="180" fontId="11" fillId="6" borderId="35" xfId="0" applyNumberFormat="1" applyFont="1" applyFill="1" applyBorder="1" applyAlignment="1">
      <alignment horizontal="right"/>
    </xf>
    <xf numFmtId="180" fontId="11" fillId="6" borderId="36" xfId="0" applyNumberFormat="1" applyFont="1" applyFill="1" applyBorder="1" applyAlignment="1">
      <alignment horizontal="right"/>
    </xf>
    <xf numFmtId="180" fontId="11" fillId="11" borderId="37" xfId="0" applyNumberFormat="1" applyFont="1" applyFill="1" applyBorder="1" applyAlignment="1">
      <alignment horizontal="right"/>
    </xf>
    <xf numFmtId="180" fontId="11" fillId="11" borderId="38" xfId="0" applyNumberFormat="1" applyFont="1" applyFill="1" applyBorder="1" applyAlignment="1">
      <alignment horizontal="right"/>
    </xf>
    <xf numFmtId="1" fontId="41" fillId="9" borderId="24" xfId="0" applyNumberFormat="1" applyFont="1" applyFill="1" applyBorder="1"/>
    <xf numFmtId="0" fontId="42" fillId="0" borderId="89" xfId="2" applyFont="1" applyBorder="1" applyAlignment="1">
      <alignment vertical="center"/>
    </xf>
    <xf numFmtId="0" fontId="46" fillId="11" borderId="93" xfId="2" applyFont="1" applyFill="1" applyBorder="1" applyAlignment="1">
      <alignment horizontal="center" vertical="center"/>
    </xf>
    <xf numFmtId="0" fontId="46" fillId="16" borderId="93" xfId="2" applyFont="1" applyFill="1" applyBorder="1" applyAlignment="1">
      <alignment horizontal="center" vertical="center"/>
    </xf>
    <xf numFmtId="0" fontId="46" fillId="16" borderId="93" xfId="2" applyFont="1" applyFill="1" applyBorder="1" applyAlignment="1">
      <alignment horizontal="center" vertical="center" wrapText="1"/>
    </xf>
    <xf numFmtId="0" fontId="46" fillId="11" borderId="93" xfId="2" applyFont="1" applyFill="1" applyBorder="1" applyAlignment="1">
      <alignment horizontal="center" vertical="center" wrapText="1"/>
    </xf>
    <xf numFmtId="0" fontId="42" fillId="16" borderId="97" xfId="2" applyFont="1" applyFill="1" applyBorder="1" applyAlignment="1">
      <alignment horizontal="center" vertical="center"/>
    </xf>
    <xf numFmtId="0" fontId="42" fillId="0" borderId="49" xfId="2" applyFont="1" applyBorder="1" applyAlignment="1">
      <alignment horizontal="center" vertical="center"/>
    </xf>
    <xf numFmtId="0" fontId="42" fillId="0" borderId="101" xfId="2" applyFont="1" applyBorder="1" applyAlignment="1">
      <alignment horizontal="center" vertical="center"/>
    </xf>
    <xf numFmtId="0" fontId="46" fillId="13" borderId="105" xfId="2" applyFont="1" applyFill="1" applyBorder="1" applyAlignment="1">
      <alignment horizontal="center" vertical="center" wrapText="1"/>
    </xf>
    <xf numFmtId="0" fontId="46" fillId="17" borderId="105" xfId="2" applyFont="1" applyFill="1" applyBorder="1" applyAlignment="1">
      <alignment horizontal="center" vertical="center" wrapText="1"/>
    </xf>
    <xf numFmtId="0" fontId="46" fillId="17" borderId="105" xfId="2" applyFont="1" applyFill="1" applyBorder="1" applyAlignment="1">
      <alignment horizontal="center" vertical="center"/>
    </xf>
    <xf numFmtId="0" fontId="46" fillId="13" borderId="105" xfId="2" applyFont="1" applyFill="1" applyBorder="1" applyAlignment="1">
      <alignment horizontal="center" vertical="center"/>
    </xf>
    <xf numFmtId="0" fontId="46" fillId="13" borderId="111" xfId="2" applyFont="1" applyFill="1" applyBorder="1" applyAlignment="1">
      <alignment horizontal="center" vertical="center" wrapText="1"/>
    </xf>
    <xf numFmtId="9" fontId="3" fillId="4" borderId="1" xfId="1" applyFont="1" applyFill="1" applyBorder="1"/>
    <xf numFmtId="9" fontId="3" fillId="4" borderId="57" xfId="1" applyFont="1" applyFill="1" applyBorder="1"/>
    <xf numFmtId="0" fontId="46" fillId="0" borderId="49" xfId="2" applyFont="1" applyBorder="1" applyAlignment="1">
      <alignment horizontal="center" vertical="top"/>
    </xf>
    <xf numFmtId="0" fontId="42" fillId="17" borderId="109" xfId="2" applyFont="1" applyFill="1" applyBorder="1" applyAlignment="1">
      <alignment vertical="top" wrapText="1"/>
    </xf>
    <xf numFmtId="0" fontId="42" fillId="17" borderId="110" xfId="2" applyFont="1" applyFill="1" applyBorder="1" applyAlignment="1">
      <alignment vertical="top" wrapText="1"/>
    </xf>
    <xf numFmtId="0" fontId="42" fillId="17" borderId="109" xfId="2" applyFont="1" applyFill="1" applyBorder="1" applyAlignment="1">
      <alignment vertical="top"/>
    </xf>
    <xf numFmtId="0" fontId="42" fillId="17" borderId="110" xfId="2" applyFont="1" applyFill="1" applyBorder="1" applyAlignment="1">
      <alignment vertical="top"/>
    </xf>
    <xf numFmtId="167" fontId="3" fillId="11" borderId="135" xfId="0" applyNumberFormat="1" applyFont="1" applyFill="1" applyBorder="1"/>
    <xf numFmtId="0" fontId="41" fillId="9" borderId="24" xfId="0" applyFont="1" applyFill="1" applyBorder="1"/>
    <xf numFmtId="180" fontId="44" fillId="3" borderId="1" xfId="0" applyNumberFormat="1" applyFont="1" applyFill="1" applyBorder="1" applyAlignment="1">
      <alignment vertical="center"/>
    </xf>
    <xf numFmtId="180" fontId="1" fillId="3" borderId="1" xfId="0" applyNumberFormat="1" applyFont="1" applyFill="1" applyBorder="1" applyAlignment="1">
      <alignment vertical="center"/>
    </xf>
    <xf numFmtId="180" fontId="40" fillId="6" borderId="1" xfId="0" applyNumberFormat="1" applyFont="1" applyFill="1" applyBorder="1"/>
    <xf numFmtId="180" fontId="4" fillId="6" borderId="1" xfId="0" applyNumberFormat="1" applyFont="1" applyFill="1" applyBorder="1"/>
    <xf numFmtId="180" fontId="40" fillId="0" borderId="1" xfId="0" applyNumberFormat="1" applyFont="1" applyBorder="1"/>
    <xf numFmtId="180" fontId="4" fillId="0" borderId="1" xfId="0" applyNumberFormat="1" applyFont="1" applyBorder="1"/>
    <xf numFmtId="180" fontId="39" fillId="0" borderId="1" xfId="0" applyNumberFormat="1" applyFont="1" applyBorder="1"/>
    <xf numFmtId="180" fontId="3" fillId="0" borderId="1" xfId="0" applyNumberFormat="1" applyFont="1" applyBorder="1"/>
    <xf numFmtId="180" fontId="39" fillId="0" borderId="1" xfId="0" quotePrefix="1" applyNumberFormat="1" applyFont="1" applyBorder="1"/>
    <xf numFmtId="0" fontId="44" fillId="3" borderId="1" xfId="0" applyFont="1" applyFill="1" applyBorder="1" applyAlignment="1">
      <alignment vertical="center"/>
    </xf>
    <xf numFmtId="0" fontId="40" fillId="0" borderId="1" xfId="0" applyFont="1" applyBorder="1"/>
    <xf numFmtId="0" fontId="39" fillId="0" borderId="1" xfId="0" applyFont="1" applyBorder="1"/>
    <xf numFmtId="0" fontId="39" fillId="0" borderId="1" xfId="0" quotePrefix="1" applyFont="1" applyBorder="1"/>
    <xf numFmtId="0" fontId="40" fillId="6" borderId="1" xfId="0" applyFont="1" applyFill="1" applyBorder="1"/>
    <xf numFmtId="2" fontId="40" fillId="13" borderId="76" xfId="0" applyNumberFormat="1" applyFont="1" applyFill="1" applyBorder="1" applyAlignment="1">
      <alignment horizontal="right"/>
    </xf>
    <xf numFmtId="168" fontId="39" fillId="0" borderId="39" xfId="0" applyNumberFormat="1" applyFont="1" applyBorder="1" applyAlignment="1">
      <alignment horizontal="left"/>
    </xf>
    <xf numFmtId="168" fontId="39" fillId="0" borderId="1" xfId="0" applyNumberFormat="1" applyFont="1" applyBorder="1" applyAlignment="1">
      <alignment horizontal="left"/>
    </xf>
    <xf numFmtId="168" fontId="39" fillId="0" borderId="41" xfId="0" applyNumberFormat="1" applyFont="1" applyBorder="1" applyAlignment="1">
      <alignment horizontal="left"/>
    </xf>
    <xf numFmtId="0" fontId="40" fillId="0" borderId="61" xfId="0" applyFont="1" applyBorder="1" applyAlignment="1">
      <alignment horizontal="left"/>
    </xf>
    <xf numFmtId="0" fontId="41" fillId="0" borderId="54" xfId="0" applyFont="1" applyBorder="1" applyAlignment="1">
      <alignment horizontal="left"/>
    </xf>
    <xf numFmtId="0" fontId="41" fillId="0" borderId="56" xfId="0" applyFont="1" applyBorder="1" applyAlignment="1">
      <alignment horizontal="left"/>
    </xf>
    <xf numFmtId="0" fontId="39" fillId="0" borderId="24" xfId="0" applyFont="1" applyBorder="1" applyAlignment="1">
      <alignment horizontal="left"/>
    </xf>
    <xf numFmtId="0" fontId="6" fillId="4" borderId="41" xfId="0" applyFont="1" applyFill="1" applyBorder="1"/>
    <xf numFmtId="0" fontId="3" fillId="4" borderId="146" xfId="0" applyFont="1" applyFill="1" applyBorder="1"/>
    <xf numFmtId="0" fontId="4" fillId="4" borderId="146" xfId="0" applyFont="1" applyFill="1" applyBorder="1"/>
    <xf numFmtId="1" fontId="3" fillId="4" borderId="147" xfId="0" applyNumberFormat="1" applyFont="1" applyFill="1" applyBorder="1"/>
    <xf numFmtId="0" fontId="3" fillId="4" borderId="147" xfId="0" applyFont="1" applyFill="1" applyBorder="1"/>
    <xf numFmtId="38" fontId="3" fillId="4" borderId="146" xfId="0" applyNumberFormat="1" applyFont="1" applyFill="1" applyBorder="1" applyAlignment="1">
      <alignment horizontal="left"/>
    </xf>
    <xf numFmtId="4" fontId="3" fillId="4" borderId="147" xfId="0" applyNumberFormat="1" applyFont="1" applyFill="1" applyBorder="1"/>
    <xf numFmtId="0" fontId="3" fillId="4" borderId="148" xfId="0" applyFont="1" applyFill="1" applyBorder="1"/>
    <xf numFmtId="0" fontId="4" fillId="4" borderId="149" xfId="0" applyFont="1" applyFill="1" applyBorder="1"/>
    <xf numFmtId="1" fontId="4" fillId="4" borderId="149" xfId="0" applyNumberFormat="1" applyFont="1" applyFill="1" applyBorder="1"/>
    <xf numFmtId="1" fontId="4" fillId="4" borderId="150" xfId="0" applyNumberFormat="1" applyFont="1" applyFill="1" applyBorder="1"/>
    <xf numFmtId="0" fontId="4" fillId="4" borderId="152" xfId="0" applyFont="1" applyFill="1" applyBorder="1"/>
    <xf numFmtId="0" fontId="4" fillId="4" borderId="152" xfId="0" applyFont="1" applyFill="1" applyBorder="1" applyAlignment="1">
      <alignment horizontal="right"/>
    </xf>
    <xf numFmtId="0" fontId="4" fillId="4" borderId="153" xfId="0" applyFont="1" applyFill="1" applyBorder="1" applyAlignment="1">
      <alignment horizontal="right"/>
    </xf>
    <xf numFmtId="0" fontId="39" fillId="4" borderId="151" xfId="0" applyFont="1" applyFill="1" applyBorder="1"/>
    <xf numFmtId="0" fontId="51" fillId="0" borderId="0" xfId="0" applyFont="1"/>
    <xf numFmtId="0" fontId="50" fillId="0" borderId="41" xfId="0" applyFont="1" applyBorder="1"/>
    <xf numFmtId="0" fontId="50" fillId="19" borderId="41" xfId="0" applyFont="1" applyFill="1" applyBorder="1"/>
    <xf numFmtId="0" fontId="51" fillId="20" borderId="0" xfId="0" applyFont="1" applyFill="1"/>
    <xf numFmtId="181" fontId="3" fillId="18" borderId="133" xfId="0" applyNumberFormat="1" applyFont="1" applyFill="1" applyBorder="1"/>
    <xf numFmtId="181" fontId="3" fillId="18" borderId="99" xfId="0" applyNumberFormat="1" applyFont="1" applyFill="1" applyBorder="1"/>
    <xf numFmtId="181" fontId="3" fillId="18" borderId="134" xfId="0" applyNumberFormat="1" applyFont="1" applyFill="1" applyBorder="1"/>
    <xf numFmtId="175" fontId="39" fillId="0" borderId="56" xfId="0" applyNumberFormat="1" applyFont="1" applyBorder="1"/>
    <xf numFmtId="0" fontId="52" fillId="3" borderId="42" xfId="0" applyFont="1" applyFill="1" applyBorder="1" applyAlignment="1">
      <alignment horizontal="center"/>
    </xf>
    <xf numFmtId="0" fontId="3" fillId="3" borderId="2" xfId="0" applyFont="1" applyFill="1" applyBorder="1" applyAlignment="1">
      <alignment vertical="center"/>
    </xf>
    <xf numFmtId="0" fontId="5" fillId="0" borderId="3" xfId="0" applyFont="1" applyBorder="1"/>
    <xf numFmtId="0" fontId="5" fillId="0" borderId="4" xfId="0" applyFont="1" applyBorder="1"/>
    <xf numFmtId="0" fontId="6" fillId="3" borderId="2" xfId="0" applyFont="1" applyFill="1" applyBorder="1"/>
    <xf numFmtId="0" fontId="9" fillId="3" borderId="6" xfId="0" applyFont="1" applyFill="1" applyBorder="1" applyAlignment="1">
      <alignment horizontal="center" vertical="center"/>
    </xf>
    <xf numFmtId="0" fontId="5" fillId="0" borderId="12" xfId="0" applyFont="1" applyBorder="1"/>
    <xf numFmtId="0" fontId="1" fillId="3" borderId="7" xfId="0" applyFont="1" applyFill="1" applyBorder="1" applyAlignment="1">
      <alignment horizontal="center" vertical="center"/>
    </xf>
    <xf numFmtId="0" fontId="5" fillId="0" borderId="8" xfId="0" applyFont="1" applyBorder="1"/>
    <xf numFmtId="0" fontId="5" fillId="0" borderId="9" xfId="0" applyFont="1" applyBorder="1"/>
    <xf numFmtId="0" fontId="5" fillId="0" borderId="13" xfId="0" applyFont="1" applyBorder="1"/>
    <xf numFmtId="0" fontId="5" fillId="0" borderId="14" xfId="0" applyFont="1" applyBorder="1"/>
    <xf numFmtId="0" fontId="5" fillId="0" borderId="15" xfId="0" applyFont="1" applyBorder="1"/>
    <xf numFmtId="0" fontId="1" fillId="10" borderId="10" xfId="0" applyFont="1" applyFill="1" applyBorder="1" applyAlignment="1">
      <alignment horizontal="center" vertical="center"/>
    </xf>
    <xf numFmtId="0" fontId="5" fillId="0" borderId="11" xfId="0" applyFont="1" applyBorder="1"/>
    <xf numFmtId="0" fontId="5" fillId="0" borderId="16" xfId="0" applyFont="1" applyBorder="1"/>
    <xf numFmtId="0" fontId="5" fillId="0" borderId="17" xfId="0" applyFont="1" applyBorder="1"/>
    <xf numFmtId="180" fontId="11" fillId="3" borderId="31" xfId="0" applyNumberFormat="1" applyFont="1" applyFill="1" applyBorder="1"/>
    <xf numFmtId="180" fontId="0" fillId="0" borderId="0" xfId="0" applyNumberFormat="1"/>
    <xf numFmtId="180" fontId="5" fillId="0" borderId="32" xfId="0" applyNumberFormat="1" applyFont="1" applyBorder="1"/>
    <xf numFmtId="0" fontId="53" fillId="3" borderId="7" xfId="0" applyFont="1" applyFill="1" applyBorder="1" applyAlignment="1">
      <alignment horizontal="center" vertical="center"/>
    </xf>
    <xf numFmtId="0" fontId="3" fillId="6" borderId="45" xfId="0" applyFont="1" applyFill="1" applyBorder="1"/>
    <xf numFmtId="0" fontId="5" fillId="0" borderId="46" xfId="0" applyFont="1" applyBorder="1"/>
    <xf numFmtId="0" fontId="5" fillId="0" borderId="47" xfId="0" applyFont="1" applyBorder="1"/>
    <xf numFmtId="0" fontId="16" fillId="3" borderId="88" xfId="0" applyFont="1" applyFill="1" applyBorder="1" applyAlignment="1">
      <alignment horizontal="center" vertical="center"/>
    </xf>
    <xf numFmtId="0" fontId="24" fillId="3" borderId="7" xfId="0" applyFont="1" applyFill="1" applyBorder="1" applyAlignment="1">
      <alignment horizontal="center" vertical="center"/>
    </xf>
    <xf numFmtId="0" fontId="24" fillId="10" borderId="10" xfId="0" applyFont="1" applyFill="1" applyBorder="1" applyAlignment="1">
      <alignment horizontal="center" vertical="center"/>
    </xf>
    <xf numFmtId="0" fontId="8" fillId="3" borderId="50" xfId="0" applyFont="1" applyFill="1" applyBorder="1"/>
    <xf numFmtId="0" fontId="5" fillId="0" borderId="51" xfId="0" applyFont="1" applyBorder="1"/>
    <xf numFmtId="0" fontId="8" fillId="3" borderId="52" xfId="0" applyFont="1" applyFill="1" applyBorder="1"/>
    <xf numFmtId="0" fontId="5" fillId="0" borderId="53" xfId="0" applyFont="1" applyBorder="1"/>
    <xf numFmtId="0" fontId="3" fillId="4" borderId="2" xfId="0" applyFont="1" applyFill="1" applyBorder="1" applyAlignment="1">
      <alignment horizontal="left"/>
    </xf>
    <xf numFmtId="0" fontId="4" fillId="13" borderId="60" xfId="0" applyFont="1" applyFill="1" applyBorder="1" applyAlignment="1">
      <alignment horizontal="left"/>
    </xf>
    <xf numFmtId="0" fontId="4" fillId="5" borderId="50" xfId="0" applyFont="1" applyFill="1" applyBorder="1" applyAlignment="1">
      <alignment horizontal="center"/>
    </xf>
    <xf numFmtId="0" fontId="5" fillId="0" borderId="65" xfId="0" applyFont="1" applyBorder="1"/>
    <xf numFmtId="0" fontId="11" fillId="0" borderId="66" xfId="0" applyFont="1" applyBorder="1" applyAlignment="1">
      <alignment horizontal="left"/>
    </xf>
    <xf numFmtId="0" fontId="5" fillId="0" borderId="67" xfId="0" applyFont="1" applyBorder="1"/>
    <xf numFmtId="0" fontId="4" fillId="5" borderId="50" xfId="0" applyFont="1" applyFill="1" applyBorder="1"/>
    <xf numFmtId="0" fontId="4" fillId="13" borderId="6" xfId="0" applyFont="1" applyFill="1" applyBorder="1" applyAlignment="1">
      <alignment horizontal="center" vertical="center"/>
    </xf>
    <xf numFmtId="0" fontId="5" fillId="0" borderId="30" xfId="0" applyFont="1" applyBorder="1"/>
    <xf numFmtId="0" fontId="22" fillId="13" borderId="50" xfId="0" applyFont="1" applyFill="1" applyBorder="1" applyAlignment="1">
      <alignment horizontal="center"/>
    </xf>
    <xf numFmtId="0" fontId="11" fillId="0" borderId="60" xfId="0" applyFont="1" applyBorder="1" applyAlignment="1">
      <alignment horizontal="left"/>
    </xf>
    <xf numFmtId="0" fontId="10" fillId="0" borderId="60" xfId="0" applyFont="1" applyBorder="1" applyAlignment="1">
      <alignment horizontal="left"/>
    </xf>
    <xf numFmtId="0" fontId="10" fillId="13" borderId="68" xfId="0" applyFont="1" applyFill="1" applyBorder="1" applyAlignment="1">
      <alignment horizontal="left"/>
    </xf>
    <xf numFmtId="0" fontId="5" fillId="0" borderId="69" xfId="0" applyFont="1" applyBorder="1"/>
    <xf numFmtId="0" fontId="3" fillId="14" borderId="31" xfId="0" applyFont="1" applyFill="1" applyBorder="1"/>
    <xf numFmtId="0" fontId="0" fillId="0" borderId="0" xfId="0"/>
    <xf numFmtId="0" fontId="5" fillId="0" borderId="32" xfId="0" applyFont="1" applyBorder="1"/>
    <xf numFmtId="0" fontId="23" fillId="3" borderId="6" xfId="0" applyFont="1" applyFill="1" applyBorder="1" applyAlignment="1">
      <alignment horizontal="center"/>
    </xf>
    <xf numFmtId="0" fontId="23" fillId="3" borderId="50" xfId="0" applyFont="1" applyFill="1" applyBorder="1" applyAlignment="1">
      <alignment horizontal="left" vertical="center"/>
    </xf>
    <xf numFmtId="0" fontId="47" fillId="10" borderId="90" xfId="2" applyFont="1" applyFill="1" applyBorder="1" applyAlignment="1">
      <alignment horizontal="center"/>
    </xf>
    <xf numFmtId="0" fontId="45" fillId="0" borderId="91" xfId="2" applyFont="1" applyBorder="1"/>
    <xf numFmtId="0" fontId="45" fillId="0" borderId="92" xfId="2" applyFont="1" applyBorder="1"/>
    <xf numFmtId="0" fontId="42" fillId="0" borderId="94" xfId="2" applyFont="1" applyBorder="1" applyAlignment="1">
      <alignment horizontal="left" vertical="top" wrapText="1"/>
    </xf>
    <xf numFmtId="0" fontId="42" fillId="0" borderId="95" xfId="2" applyFont="1" applyBorder="1" applyAlignment="1">
      <alignment horizontal="left" vertical="top" wrapText="1"/>
    </xf>
    <xf numFmtId="0" fontId="42" fillId="0" borderId="96" xfId="2" applyFont="1" applyBorder="1" applyAlignment="1">
      <alignment horizontal="left" vertical="top" wrapText="1"/>
    </xf>
    <xf numFmtId="0" fontId="42" fillId="16" borderId="94" xfId="2" applyFont="1" applyFill="1" applyBorder="1" applyAlignment="1">
      <alignment vertical="top" wrapText="1"/>
    </xf>
    <xf numFmtId="0" fontId="45" fillId="0" borderId="95" xfId="2" applyFont="1" applyBorder="1" applyAlignment="1">
      <alignment vertical="top"/>
    </xf>
    <xf numFmtId="0" fontId="45" fillId="0" borderId="96" xfId="2" applyFont="1" applyBorder="1" applyAlignment="1">
      <alignment vertical="top"/>
    </xf>
    <xf numFmtId="0" fontId="42" fillId="0" borderId="106" xfId="2" applyFont="1" applyBorder="1" applyAlignment="1">
      <alignment vertical="top"/>
    </xf>
    <xf numFmtId="0" fontId="45" fillId="0" borderId="107" xfId="2" applyFont="1" applyBorder="1" applyAlignment="1">
      <alignment vertical="top"/>
    </xf>
    <xf numFmtId="0" fontId="45" fillId="0" borderId="108" xfId="2" applyFont="1" applyBorder="1" applyAlignment="1">
      <alignment vertical="top"/>
    </xf>
    <xf numFmtId="0" fontId="42" fillId="0" borderId="143" xfId="2" applyFont="1" applyBorder="1" applyAlignment="1">
      <alignment horizontal="left" vertical="top"/>
    </xf>
    <xf numFmtId="0" fontId="42" fillId="0" borderId="144" xfId="2" applyFont="1" applyBorder="1" applyAlignment="1">
      <alignment horizontal="left" vertical="top"/>
    </xf>
    <xf numFmtId="0" fontId="42" fillId="0" borderId="145" xfId="2" applyFont="1" applyBorder="1" applyAlignment="1">
      <alignment horizontal="left" vertical="top"/>
    </xf>
    <xf numFmtId="0" fontId="42" fillId="0" borderId="106" xfId="2" applyFont="1" applyBorder="1" applyAlignment="1">
      <alignment horizontal="left" vertical="top" wrapText="1"/>
    </xf>
    <xf numFmtId="0" fontId="42" fillId="0" borderId="107" xfId="2" applyFont="1" applyBorder="1" applyAlignment="1">
      <alignment horizontal="left" vertical="top" wrapText="1"/>
    </xf>
    <xf numFmtId="0" fontId="42" fillId="0" borderId="108" xfId="2" applyFont="1" applyBorder="1" applyAlignment="1">
      <alignment horizontal="left" vertical="top" wrapText="1"/>
    </xf>
    <xf numFmtId="0" fontId="46" fillId="16" borderId="98" xfId="2" applyFont="1" applyFill="1" applyBorder="1" applyAlignment="1">
      <alignment horizontal="center" vertical="top"/>
    </xf>
    <xf numFmtId="0" fontId="45" fillId="0" borderId="99" xfId="2" applyFont="1" applyBorder="1" applyAlignment="1">
      <alignment vertical="top"/>
    </xf>
    <xf numFmtId="0" fontId="45" fillId="0" borderId="100" xfId="2" applyFont="1" applyBorder="1" applyAlignment="1">
      <alignment vertical="top"/>
    </xf>
    <xf numFmtId="0" fontId="48" fillId="5" borderId="102" xfId="2" applyFont="1" applyFill="1" applyBorder="1" applyAlignment="1">
      <alignment horizontal="center" vertical="top"/>
    </xf>
    <xf numFmtId="0" fontId="45" fillId="0" borderId="103" xfId="2" applyFont="1" applyBorder="1" applyAlignment="1">
      <alignment vertical="top"/>
    </xf>
    <xf numFmtId="0" fontId="45" fillId="0" borderId="104" xfId="2" applyFont="1" applyBorder="1" applyAlignment="1">
      <alignment vertical="top"/>
    </xf>
    <xf numFmtId="0" fontId="4" fillId="5" borderId="87" xfId="0" applyFont="1" applyFill="1" applyBorder="1" applyAlignment="1">
      <alignment horizontal="center" vertical="center" wrapText="1"/>
    </xf>
    <xf numFmtId="0" fontId="5" fillId="0" borderId="86" xfId="0" applyFont="1" applyBorder="1"/>
    <xf numFmtId="0" fontId="36" fillId="3" borderId="87" xfId="0" applyFont="1" applyFill="1" applyBorder="1" applyAlignment="1">
      <alignment horizontal="center" vertical="center"/>
    </xf>
    <xf numFmtId="0" fontId="16" fillId="3" borderId="50" xfId="0" applyFont="1" applyFill="1" applyBorder="1" applyAlignment="1">
      <alignment horizontal="center" vertical="center"/>
    </xf>
    <xf numFmtId="0" fontId="3" fillId="13" borderId="87" xfId="0" applyFont="1" applyFill="1" applyBorder="1" applyAlignment="1">
      <alignment horizontal="center" vertical="center" wrapText="1"/>
    </xf>
    <xf numFmtId="0" fontId="3" fillId="13" borderId="87" xfId="0" applyFont="1" applyFill="1" applyBorder="1" applyAlignment="1">
      <alignment horizontal="center" vertical="center"/>
    </xf>
    <xf numFmtId="0" fontId="4" fillId="0" borderId="0" xfId="0" applyFont="1" applyAlignment="1">
      <alignment horizontal="left"/>
    </xf>
    <xf numFmtId="0" fontId="5" fillId="0" borderId="117" xfId="0" applyFont="1" applyBorder="1"/>
    <xf numFmtId="0" fontId="4" fillId="0" borderId="60" xfId="0" applyFont="1" applyBorder="1" applyAlignment="1">
      <alignment horizontal="left"/>
    </xf>
    <xf numFmtId="0" fontId="5" fillId="0" borderId="123" xfId="0" applyFont="1" applyBorder="1"/>
    <xf numFmtId="4" fontId="4" fillId="0" borderId="60" xfId="0" applyNumberFormat="1" applyFont="1" applyBorder="1" applyAlignment="1">
      <alignment horizontal="left"/>
    </xf>
    <xf numFmtId="0" fontId="23" fillId="3" borderId="6" xfId="0" applyFont="1" applyFill="1" applyBorder="1" applyAlignment="1">
      <alignment horizontal="center" vertical="center" wrapText="1"/>
    </xf>
    <xf numFmtId="0" fontId="24" fillId="3" borderId="88" xfId="0" applyFont="1" applyFill="1" applyBorder="1" applyAlignment="1">
      <alignment horizontal="center" vertical="center"/>
    </xf>
    <xf numFmtId="0" fontId="5" fillId="0" borderId="66" xfId="0" applyFont="1" applyBorder="1"/>
    <xf numFmtId="0" fontId="5" fillId="0" borderId="130" xfId="0" applyFont="1" applyBorder="1"/>
    <xf numFmtId="0" fontId="24" fillId="10" borderId="45" xfId="0" applyFont="1" applyFill="1" applyBorder="1" applyAlignment="1">
      <alignment horizontal="center" vertical="center"/>
    </xf>
    <xf numFmtId="0" fontId="5" fillId="0" borderId="129" xfId="0" applyFont="1" applyBorder="1"/>
    <xf numFmtId="0" fontId="5" fillId="0" borderId="40" xfId="0" applyFont="1" applyBorder="1"/>
    <xf numFmtId="0" fontId="5" fillId="0" borderId="131" xfId="0" applyFont="1" applyBorder="1"/>
  </cellXfs>
  <cellStyles count="5">
    <cellStyle name="Normal" xfId="0" builtinId="0"/>
    <cellStyle name="Normal 2" xfId="4" xr:uid="{364EB6D9-74C3-4409-A234-E96CDA16E24A}"/>
    <cellStyle name="Normal 3" xfId="2" xr:uid="{3802077C-4CC5-4BAC-8D27-90BD0D7630E2}"/>
    <cellStyle name="Percent" xfId="1" builtinId="5"/>
    <cellStyle name="Percent 2" xfId="3" xr:uid="{E48C4FB4-0EE8-4F7A-ABB2-37BEC86925FE}"/>
  </cellStyles>
  <dxfs count="27">
    <dxf>
      <fill>
        <patternFill patternType="solid">
          <fgColor rgb="FFB7E1CD"/>
          <bgColor rgb="FFB7E1CD"/>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EEF7E3"/>
          <bgColor rgb="FFEEF7E3"/>
        </patternFill>
      </fill>
    </dxf>
    <dxf>
      <fill>
        <patternFill patternType="solid">
          <fgColor rgb="FFFFFFFF"/>
          <bgColor rgb="FFFFFFFF"/>
        </patternFill>
      </fill>
    </dxf>
    <dxf>
      <fill>
        <patternFill patternType="solid">
          <fgColor rgb="FF8BC34A"/>
          <bgColor rgb="FF8BC34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DDF2F0"/>
          <bgColor rgb="FFDDF2F0"/>
        </patternFill>
      </fill>
    </dxf>
    <dxf>
      <fill>
        <patternFill patternType="solid">
          <fgColor rgb="FFFFFFFF"/>
          <bgColor rgb="FFFFFFFF"/>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F8F2EB"/>
          <bgColor rgb="FFF8F2EB"/>
        </patternFill>
      </fill>
    </dxf>
    <dxf>
      <fill>
        <patternFill patternType="solid">
          <fgColor rgb="FFFFFFFF"/>
          <bgColor rgb="FFFFFFFF"/>
        </patternFill>
      </fill>
    </dxf>
    <dxf>
      <fill>
        <patternFill patternType="solid">
          <fgColor rgb="FFCCA677"/>
          <bgColor rgb="FFCCA677"/>
        </patternFill>
      </fill>
    </dxf>
    <dxf>
      <fill>
        <patternFill patternType="solid">
          <fgColor rgb="FFEEF7E3"/>
          <bgColor rgb="FFEEF7E3"/>
        </patternFill>
      </fill>
    </dxf>
    <dxf>
      <fill>
        <patternFill patternType="solid">
          <fgColor rgb="FFFFFFFF"/>
          <bgColor rgb="FFFFFFFF"/>
        </patternFill>
      </fill>
    </dxf>
    <dxf>
      <fill>
        <patternFill patternType="solid">
          <fgColor rgb="FFE7F9EF"/>
          <bgColor rgb="FFE7F9EF"/>
        </patternFill>
      </fill>
    </dxf>
  </dxfs>
  <tableStyles count="9">
    <tableStyle name="CF-style" pivot="0" count="3" xr9:uid="{00000000-0011-0000-FFFF-FFFF00000000}">
      <tableStyleElement type="headerRow" dxfId="26"/>
      <tableStyleElement type="firstRowStripe" dxfId="25"/>
      <tableStyleElement type="secondRowStripe" dxfId="24"/>
    </tableStyle>
    <tableStyle name="CF-style 2" pivot="0" count="3" xr9:uid="{00000000-0011-0000-FFFF-FFFF01000000}">
      <tableStyleElement type="headerRow" dxfId="23"/>
      <tableStyleElement type="firstRowStripe" dxfId="22"/>
      <tableStyleElement type="secondRowStripe" dxfId="21"/>
    </tableStyle>
    <tableStyle name="Forecast-style" pivot="0" count="3" xr9:uid="{00000000-0011-0000-FFFF-FFFF02000000}">
      <tableStyleElement type="headerRow" dxfId="20"/>
      <tableStyleElement type="firstRowStripe" dxfId="19"/>
      <tableStyleElement type="secondRowStripe" dxfId="18"/>
    </tableStyle>
    <tableStyle name="Forecast-style 2" pivot="0" count="3" xr9:uid="{00000000-0011-0000-FFFF-FFFF03000000}">
      <tableStyleElement type="headerRow" dxfId="17"/>
      <tableStyleElement type="firstRowStripe" dxfId="16"/>
      <tableStyleElement type="secondRowStripe" dxfId="15"/>
    </tableStyle>
    <tableStyle name="Forecast-style 3" pivot="0" count="2" xr9:uid="{00000000-0011-0000-FFFF-FFFF04000000}">
      <tableStyleElement type="firstRowStripe" dxfId="14"/>
      <tableStyleElement type="secondRowStripe" dxfId="13"/>
    </tableStyle>
    <tableStyle name="Forecast-style 4" pivot="0" count="3" xr9:uid="{00000000-0011-0000-FFFF-FFFF05000000}">
      <tableStyleElement type="headerRow" dxfId="12"/>
      <tableStyleElement type="firstRowStripe" dxfId="11"/>
      <tableStyleElement type="secondRowStripe" dxfId="10"/>
    </tableStyle>
    <tableStyle name="Forecast-style 5" pivot="0" count="3" xr9:uid="{00000000-0011-0000-FFFF-FFFF06000000}">
      <tableStyleElement type="headerRow" dxfId="9"/>
      <tableStyleElement type="firstRowStripe" dxfId="8"/>
      <tableStyleElement type="secondRowStripe" dxfId="7"/>
    </tableStyle>
    <tableStyle name="Forecast-style 6" pivot="0" count="3" xr9:uid="{00000000-0011-0000-FFFF-FFFF07000000}">
      <tableStyleElement type="headerRow" dxfId="6"/>
      <tableStyleElement type="firstRowStripe" dxfId="5"/>
      <tableStyleElement type="secondRowStripe" dxfId="4"/>
    </tableStyle>
    <tableStyle name="Financial ratios-style" pivot="0" count="3" xr9:uid="{00000000-0011-0000-FFFF-FFFF08000000}">
      <tableStyleElement type="headerRow" dxfId="3"/>
      <tableStyleElement type="firstRowStripe" dxfId="2"/>
      <tableStyleElement type="secondRowStripe" dxfId="1"/>
    </tableStyle>
  </tableStyles>
  <colors>
    <mruColors>
      <color rgb="FF0ABB38"/>
      <color rgb="FFF4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A20">
  <tableColumns count="1">
    <tableColumn id="1" xr3:uid="{00000000-0010-0000-0000-000001000000}" name="Total profit before tax"/>
  </tableColumns>
  <tableStyleInfo name="CF-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3:A29" headerRowCount="0">
  <tableColumns count="1">
    <tableColumn id="1" xr3:uid="{00000000-0010-0000-0100-000001000000}" name="Column1"/>
  </tableColumns>
  <tableStyleInfo name="CF-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S32:Y34" headerRowCount="0">
  <tableColumns count="7">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s>
  <tableStyleInfo name="Forecast-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R27:V29" headerRowCount="0">
  <tableColumns count="5">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s>
  <tableStyleInfo name="Forecast-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K128" headerRowCount="0">
  <tableColumns count="11">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s>
  <tableStyleInfo name="Forecast-style 4"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R41:S51" headerRowCount="0">
  <tableColumns count="2">
    <tableColumn id="1" xr3:uid="{00000000-0010-0000-0700-000001000000}" name="Column1"/>
    <tableColumn id="2" xr3:uid="{00000000-0010-0000-0700-000002000000}" name="Column2"/>
  </tableColumns>
  <tableStyleInfo name="Forecast-style 6"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B1:K1" headerRowCount="0">
  <tableColumns count="10">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s>
  <tableStyleInfo name="Financial ratio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vmlDrawing" Target="../drawings/vmlDrawing2.vml"/><Relationship Id="rId6" Type="http://schemas.openxmlformats.org/officeDocument/2006/relationships/comments" Target="../comments2.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00"/>
  <sheetViews>
    <sheetView tabSelected="1" topLeftCell="B83" zoomScaleNormal="100" workbookViewId="0">
      <selection activeCell="B98" sqref="B98"/>
    </sheetView>
  </sheetViews>
  <sheetFormatPr defaultColWidth="11.19921875" defaultRowHeight="15" customHeight="1"/>
  <cols>
    <col min="1" max="1" width="2.19921875" hidden="1" customWidth="1"/>
    <col min="2" max="2" width="67" bestFit="1" customWidth="1"/>
    <col min="3" max="3" width="9.3984375" customWidth="1"/>
    <col min="4" max="6" width="8.59765625" customWidth="1"/>
    <col min="7" max="7" width="9.296875" customWidth="1"/>
    <col min="8" max="8" width="9.3984375" customWidth="1"/>
    <col min="9" max="9" width="9.796875" customWidth="1"/>
    <col min="10" max="10" width="10.3984375" customWidth="1"/>
    <col min="19" max="35" width="8.59765625" customWidth="1"/>
  </cols>
  <sheetData>
    <row r="1" spans="1:35" ht="33" customHeight="1">
      <c r="A1" s="1"/>
      <c r="B1" s="717" t="s">
        <v>110</v>
      </c>
      <c r="C1" s="718">
        <v>2013</v>
      </c>
      <c r="D1" s="718">
        <v>2014</v>
      </c>
      <c r="E1" s="718">
        <v>2015</v>
      </c>
      <c r="F1" s="718">
        <v>2016</v>
      </c>
      <c r="G1" s="718">
        <v>2017</v>
      </c>
      <c r="H1" s="718">
        <v>2018</v>
      </c>
      <c r="I1" s="718">
        <v>2019</v>
      </c>
      <c r="J1" s="718">
        <v>2020</v>
      </c>
      <c r="K1" s="2"/>
      <c r="L1" s="2"/>
      <c r="M1" s="2"/>
      <c r="N1" s="2"/>
      <c r="O1" s="2"/>
      <c r="P1" s="2"/>
      <c r="Q1" s="2"/>
      <c r="R1" s="2"/>
      <c r="S1" s="3"/>
      <c r="T1" s="3"/>
      <c r="U1" s="3"/>
      <c r="V1" s="3"/>
      <c r="W1" s="3"/>
      <c r="X1" s="3"/>
      <c r="Y1" s="3"/>
      <c r="Z1" s="3"/>
      <c r="AA1" s="3"/>
      <c r="AB1" s="3"/>
      <c r="AC1" s="3"/>
      <c r="AD1" s="3"/>
      <c r="AE1" s="3"/>
      <c r="AF1" s="3"/>
      <c r="AG1" s="3"/>
      <c r="AH1" s="3"/>
      <c r="AI1" s="3"/>
    </row>
    <row r="2" spans="1:35" ht="15.6">
      <c r="A2" s="4"/>
      <c r="B2" s="719" t="s">
        <v>502</v>
      </c>
      <c r="C2" s="720">
        <v>405.1</v>
      </c>
      <c r="D2" s="720">
        <v>435.1</v>
      </c>
      <c r="E2" s="720">
        <v>484.5</v>
      </c>
      <c r="F2" s="720">
        <v>341.9</v>
      </c>
      <c r="G2" s="720">
        <v>485.8</v>
      </c>
      <c r="H2" s="720">
        <v>1229.9000000000001</v>
      </c>
      <c r="I2" s="720">
        <v>1190.4000000000001</v>
      </c>
      <c r="J2" s="720">
        <v>1779.3</v>
      </c>
      <c r="K2" s="6"/>
      <c r="L2" s="6"/>
      <c r="M2" s="6"/>
      <c r="N2" s="6"/>
      <c r="O2" s="6"/>
      <c r="P2" s="6"/>
      <c r="Q2" s="6"/>
      <c r="R2" s="6"/>
      <c r="S2" s="7"/>
      <c r="T2" s="7"/>
      <c r="U2" s="7"/>
      <c r="V2" s="7"/>
      <c r="W2" s="7"/>
      <c r="X2" s="7"/>
      <c r="Y2" s="7"/>
      <c r="Z2" s="7"/>
      <c r="AA2" s="7"/>
      <c r="AB2" s="7"/>
      <c r="AC2" s="7"/>
      <c r="AD2" s="7"/>
      <c r="AE2" s="7"/>
      <c r="AF2" s="7"/>
      <c r="AG2" s="7"/>
      <c r="AH2" s="7"/>
      <c r="AI2" s="7"/>
    </row>
    <row r="3" spans="1:35" ht="15.6">
      <c r="A3" s="7"/>
      <c r="B3" s="721" t="s">
        <v>466</v>
      </c>
      <c r="C3" s="722">
        <v>30.1</v>
      </c>
      <c r="D3" s="722">
        <v>97.8</v>
      </c>
      <c r="E3" s="722">
        <v>88.7</v>
      </c>
      <c r="F3" s="722">
        <v>68</v>
      </c>
      <c r="G3" s="722">
        <v>223</v>
      </c>
      <c r="H3" s="722">
        <v>609.4</v>
      </c>
      <c r="I3" s="722">
        <v>105.4</v>
      </c>
      <c r="J3" s="722">
        <v>135.4</v>
      </c>
      <c r="K3" s="6"/>
      <c r="L3" s="6"/>
      <c r="M3" s="6"/>
      <c r="N3" s="6"/>
      <c r="O3" s="6"/>
      <c r="P3" s="6"/>
      <c r="Q3" s="6"/>
      <c r="R3" s="6"/>
      <c r="S3" s="7"/>
      <c r="T3" s="7"/>
      <c r="U3" s="7"/>
      <c r="V3" s="7"/>
      <c r="W3" s="7"/>
      <c r="X3" s="7"/>
      <c r="Y3" s="7"/>
      <c r="Z3" s="7"/>
      <c r="AA3" s="7"/>
      <c r="AB3" s="7"/>
      <c r="AC3" s="7"/>
      <c r="AD3" s="7"/>
      <c r="AE3" s="7"/>
      <c r="AF3" s="7"/>
      <c r="AG3" s="7"/>
      <c r="AH3" s="7"/>
      <c r="AI3" s="7"/>
    </row>
    <row r="4" spans="1:35" ht="15.6">
      <c r="A4" s="6"/>
      <c r="B4" s="723" t="s">
        <v>467</v>
      </c>
      <c r="C4" s="724">
        <v>26.4</v>
      </c>
      <c r="D4" s="724">
        <v>80.599999999999994</v>
      </c>
      <c r="E4" s="724">
        <v>17.2</v>
      </c>
      <c r="F4" s="724">
        <v>15.1</v>
      </c>
      <c r="G4" s="724">
        <v>79.5</v>
      </c>
      <c r="H4" s="724">
        <v>48.7</v>
      </c>
      <c r="I4" s="724">
        <v>41.4</v>
      </c>
      <c r="J4" s="724">
        <v>69.7</v>
      </c>
      <c r="K4" s="6"/>
      <c r="L4" s="6"/>
      <c r="M4" s="6"/>
      <c r="N4" s="6"/>
      <c r="O4" s="6"/>
      <c r="P4" s="6"/>
      <c r="Q4" s="6"/>
      <c r="R4" s="6"/>
      <c r="S4" s="6"/>
      <c r="T4" s="6"/>
      <c r="U4" s="6"/>
      <c r="V4" s="6"/>
      <c r="W4" s="6"/>
      <c r="X4" s="6"/>
      <c r="Y4" s="6"/>
      <c r="Z4" s="6"/>
      <c r="AA4" s="6"/>
      <c r="AB4" s="6"/>
      <c r="AC4" s="6"/>
      <c r="AD4" s="6"/>
      <c r="AE4" s="6"/>
      <c r="AF4" s="6"/>
      <c r="AG4" s="6"/>
      <c r="AH4" s="6"/>
      <c r="AI4" s="6"/>
    </row>
    <row r="5" spans="1:35" ht="15.6">
      <c r="A5" s="6"/>
      <c r="B5" s="723" t="s">
        <v>470</v>
      </c>
      <c r="C5" s="724">
        <v>3.7</v>
      </c>
      <c r="D5" s="724">
        <v>17.2</v>
      </c>
      <c r="E5" s="724">
        <v>71.5</v>
      </c>
      <c r="F5" s="724">
        <v>52.9</v>
      </c>
      <c r="G5" s="724">
        <v>143.5</v>
      </c>
      <c r="H5" s="724">
        <v>560.70000000000005</v>
      </c>
      <c r="I5" s="724">
        <v>64</v>
      </c>
      <c r="J5" s="724">
        <v>65.7</v>
      </c>
      <c r="K5" s="6"/>
      <c r="L5" s="6"/>
      <c r="M5" s="6"/>
      <c r="N5" s="6"/>
      <c r="O5" s="6"/>
      <c r="P5" s="6"/>
      <c r="Q5" s="6"/>
      <c r="R5" s="6"/>
      <c r="S5" s="6"/>
      <c r="T5" s="6"/>
      <c r="U5" s="6"/>
      <c r="V5" s="6"/>
      <c r="W5" s="6"/>
      <c r="X5" s="6"/>
      <c r="Y5" s="6"/>
      <c r="Z5" s="6"/>
      <c r="AA5" s="6"/>
      <c r="AB5" s="6"/>
      <c r="AC5" s="6"/>
      <c r="AD5" s="6"/>
      <c r="AE5" s="6"/>
      <c r="AF5" s="6"/>
      <c r="AG5" s="6"/>
      <c r="AH5" s="6"/>
      <c r="AI5" s="6"/>
    </row>
    <row r="6" spans="1:35" ht="15.6">
      <c r="A6" s="7"/>
      <c r="B6" s="721" t="s">
        <v>468</v>
      </c>
      <c r="C6" s="722">
        <v>255.4</v>
      </c>
      <c r="D6" s="722">
        <v>219</v>
      </c>
      <c r="E6" s="722">
        <v>0</v>
      </c>
      <c r="F6" s="722">
        <v>0</v>
      </c>
      <c r="G6" s="722">
        <v>8.1999999999999993</v>
      </c>
      <c r="H6" s="722">
        <v>252</v>
      </c>
      <c r="I6" s="722">
        <v>12</v>
      </c>
      <c r="J6" s="722">
        <v>0</v>
      </c>
      <c r="K6" s="6"/>
      <c r="L6" s="6"/>
      <c r="M6" s="6"/>
      <c r="N6" s="6"/>
      <c r="O6" s="6"/>
      <c r="P6" s="6"/>
      <c r="Q6" s="6"/>
      <c r="R6" s="6"/>
      <c r="S6" s="7"/>
      <c r="T6" s="7"/>
      <c r="U6" s="7"/>
      <c r="V6" s="7"/>
      <c r="W6" s="7"/>
      <c r="X6" s="7"/>
      <c r="Y6" s="7"/>
      <c r="Z6" s="7"/>
      <c r="AA6" s="7"/>
      <c r="AB6" s="7"/>
      <c r="AC6" s="7"/>
      <c r="AD6" s="7"/>
      <c r="AE6" s="7"/>
      <c r="AF6" s="7"/>
      <c r="AG6" s="7"/>
      <c r="AH6" s="7"/>
      <c r="AI6" s="7"/>
    </row>
    <row r="7" spans="1:35" ht="15.6">
      <c r="A7" s="6"/>
      <c r="B7" s="723" t="s">
        <v>469</v>
      </c>
      <c r="C7" s="724">
        <v>0</v>
      </c>
      <c r="D7" s="724">
        <v>0</v>
      </c>
      <c r="E7" s="724">
        <v>0</v>
      </c>
      <c r="F7" s="724">
        <v>0</v>
      </c>
      <c r="G7" s="724">
        <v>0</v>
      </c>
      <c r="H7" s="724">
        <v>0</v>
      </c>
      <c r="I7" s="724">
        <v>0</v>
      </c>
      <c r="J7" s="724">
        <v>0</v>
      </c>
      <c r="K7" s="6"/>
      <c r="L7" s="6"/>
      <c r="M7" s="6"/>
      <c r="N7" s="6"/>
      <c r="O7" s="6"/>
      <c r="P7" s="6"/>
      <c r="Q7" s="6"/>
      <c r="R7" s="6"/>
      <c r="S7" s="6"/>
      <c r="T7" s="6"/>
      <c r="U7" s="6"/>
      <c r="V7" s="6"/>
      <c r="W7" s="6"/>
      <c r="X7" s="6"/>
      <c r="Y7" s="6"/>
      <c r="Z7" s="6"/>
      <c r="AA7" s="6"/>
      <c r="AB7" s="6"/>
      <c r="AC7" s="6"/>
      <c r="AD7" s="6"/>
      <c r="AE7" s="6"/>
      <c r="AF7" s="6"/>
      <c r="AG7" s="6"/>
      <c r="AH7" s="6"/>
      <c r="AI7" s="6"/>
    </row>
    <row r="8" spans="1:35" ht="15.6">
      <c r="A8" s="6"/>
      <c r="B8" s="723" t="s">
        <v>480</v>
      </c>
      <c r="C8" s="724">
        <v>-21.9</v>
      </c>
      <c r="D8" s="724">
        <v>-0.3</v>
      </c>
      <c r="E8" s="724">
        <v>0</v>
      </c>
      <c r="F8" s="724">
        <v>0</v>
      </c>
      <c r="G8" s="724">
        <v>0</v>
      </c>
      <c r="H8" s="724">
        <v>0</v>
      </c>
      <c r="I8" s="724">
        <v>0</v>
      </c>
      <c r="J8" s="724">
        <v>0</v>
      </c>
      <c r="K8" s="6"/>
      <c r="L8" s="6"/>
      <c r="M8" s="6"/>
      <c r="N8" s="6"/>
      <c r="O8" s="6"/>
      <c r="P8" s="6"/>
      <c r="Q8" s="6"/>
      <c r="R8" s="6"/>
      <c r="S8" s="6"/>
      <c r="T8" s="6"/>
      <c r="U8" s="6"/>
      <c r="V8" s="6"/>
      <c r="W8" s="6"/>
      <c r="X8" s="6"/>
      <c r="Y8" s="6"/>
      <c r="Z8" s="6"/>
      <c r="AA8" s="6"/>
      <c r="AB8" s="6"/>
      <c r="AC8" s="6"/>
      <c r="AD8" s="6"/>
      <c r="AE8" s="6"/>
      <c r="AF8" s="6"/>
      <c r="AG8" s="6"/>
      <c r="AH8" s="6"/>
      <c r="AI8" s="6"/>
    </row>
    <row r="9" spans="1:35" ht="15.6">
      <c r="A9" s="6"/>
      <c r="B9" s="723" t="s">
        <v>471</v>
      </c>
      <c r="C9" s="724">
        <v>277.3</v>
      </c>
      <c r="D9" s="724">
        <v>219.3</v>
      </c>
      <c r="E9" s="724">
        <v>0</v>
      </c>
      <c r="F9" s="724">
        <v>0</v>
      </c>
      <c r="G9" s="724">
        <v>8.1999999999999993</v>
      </c>
      <c r="H9" s="724">
        <v>252</v>
      </c>
      <c r="I9" s="724">
        <v>12</v>
      </c>
      <c r="J9" s="724">
        <v>0</v>
      </c>
      <c r="K9" s="6"/>
      <c r="L9" s="6"/>
      <c r="M9" s="6"/>
      <c r="N9" s="6"/>
      <c r="O9" s="6"/>
      <c r="P9" s="6"/>
      <c r="Q9" s="6"/>
      <c r="R9" s="6"/>
      <c r="S9" s="6"/>
      <c r="T9" s="6"/>
      <c r="U9" s="6"/>
      <c r="V9" s="6"/>
      <c r="W9" s="6"/>
      <c r="X9" s="6"/>
      <c r="Y9" s="6"/>
      <c r="Z9" s="6"/>
      <c r="AA9" s="6"/>
      <c r="AB9" s="6"/>
      <c r="AC9" s="6"/>
      <c r="AD9" s="6"/>
      <c r="AE9" s="6"/>
      <c r="AF9" s="6"/>
      <c r="AG9" s="6"/>
      <c r="AH9" s="6"/>
      <c r="AI9" s="6"/>
    </row>
    <row r="10" spans="1:35" ht="15.6">
      <c r="A10" s="7"/>
      <c r="B10" s="721" t="s">
        <v>472</v>
      </c>
      <c r="C10" s="722">
        <v>93.3</v>
      </c>
      <c r="D10" s="722">
        <v>94.5</v>
      </c>
      <c r="E10" s="722">
        <v>381</v>
      </c>
      <c r="F10" s="722">
        <v>257</v>
      </c>
      <c r="G10" s="722">
        <v>227.4</v>
      </c>
      <c r="H10" s="722">
        <v>245.5</v>
      </c>
      <c r="I10" s="722">
        <v>688.2</v>
      </c>
      <c r="J10" s="722">
        <v>1434.3</v>
      </c>
      <c r="K10" s="6"/>
      <c r="L10" s="6"/>
      <c r="M10" s="6"/>
      <c r="N10" s="6"/>
      <c r="O10" s="6"/>
      <c r="P10" s="6"/>
      <c r="Q10" s="6"/>
      <c r="R10" s="6"/>
      <c r="S10" s="7"/>
      <c r="T10" s="7"/>
      <c r="U10" s="7"/>
      <c r="V10" s="7"/>
      <c r="W10" s="7"/>
      <c r="X10" s="7"/>
      <c r="Y10" s="7"/>
      <c r="Z10" s="7"/>
      <c r="AA10" s="7"/>
      <c r="AB10" s="7"/>
      <c r="AC10" s="7"/>
      <c r="AD10" s="7"/>
      <c r="AE10" s="7"/>
      <c r="AF10" s="7"/>
      <c r="AG10" s="7"/>
      <c r="AH10" s="7"/>
      <c r="AI10" s="7"/>
    </row>
    <row r="11" spans="1:35" ht="15.6">
      <c r="A11" s="6"/>
      <c r="B11" s="723" t="s">
        <v>473</v>
      </c>
      <c r="C11" s="724">
        <v>46.3</v>
      </c>
      <c r="D11" s="724">
        <v>38.1</v>
      </c>
      <c r="E11" s="724">
        <v>107.6</v>
      </c>
      <c r="F11" s="724">
        <v>121.4</v>
      </c>
      <c r="G11" s="724">
        <v>74.7</v>
      </c>
      <c r="H11" s="724">
        <v>109.6</v>
      </c>
      <c r="I11" s="724">
        <v>213.5</v>
      </c>
      <c r="J11" s="724">
        <v>321.10000000000002</v>
      </c>
      <c r="K11" s="6"/>
      <c r="L11" s="6"/>
      <c r="M11" s="6"/>
      <c r="N11" s="6"/>
      <c r="O11" s="6"/>
      <c r="P11" s="6"/>
      <c r="Q11" s="6"/>
      <c r="R11" s="6"/>
      <c r="S11" s="6"/>
      <c r="T11" s="6"/>
      <c r="U11" s="6"/>
      <c r="V11" s="6"/>
      <c r="W11" s="6"/>
      <c r="X11" s="6"/>
      <c r="Y11" s="6"/>
      <c r="Z11" s="6"/>
      <c r="AA11" s="6"/>
      <c r="AB11" s="6"/>
      <c r="AC11" s="6"/>
      <c r="AD11" s="6"/>
      <c r="AE11" s="6"/>
      <c r="AF11" s="6"/>
      <c r="AG11" s="6"/>
      <c r="AH11" s="6"/>
      <c r="AI11" s="6"/>
    </row>
    <row r="12" spans="1:35" ht="15.6">
      <c r="A12" s="6"/>
      <c r="B12" s="723" t="s">
        <v>474</v>
      </c>
      <c r="C12" s="724">
        <v>42.1</v>
      </c>
      <c r="D12" s="724">
        <v>52.4</v>
      </c>
      <c r="E12" s="724">
        <v>96</v>
      </c>
      <c r="F12" s="724">
        <v>3.2</v>
      </c>
      <c r="G12" s="724">
        <v>50.1</v>
      </c>
      <c r="H12" s="724">
        <v>103.3</v>
      </c>
      <c r="I12" s="724">
        <v>74.3</v>
      </c>
      <c r="J12" s="724">
        <v>466.2</v>
      </c>
      <c r="K12" s="6"/>
      <c r="L12" s="6"/>
      <c r="M12" s="6"/>
      <c r="N12" s="6"/>
      <c r="O12" s="6"/>
      <c r="P12" s="6"/>
      <c r="Q12" s="6"/>
      <c r="R12" s="6"/>
      <c r="S12" s="6"/>
      <c r="T12" s="6"/>
      <c r="U12" s="6"/>
      <c r="V12" s="6"/>
      <c r="W12" s="6"/>
      <c r="X12" s="6"/>
      <c r="Y12" s="6"/>
      <c r="Z12" s="6"/>
      <c r="AA12" s="6"/>
      <c r="AB12" s="6"/>
      <c r="AC12" s="6"/>
      <c r="AD12" s="6"/>
      <c r="AE12" s="6"/>
      <c r="AF12" s="6"/>
      <c r="AG12" s="6"/>
      <c r="AH12" s="6"/>
      <c r="AI12" s="6"/>
    </row>
    <row r="13" spans="1:35" ht="15.6">
      <c r="A13" s="6"/>
      <c r="B13" s="723" t="s">
        <v>475</v>
      </c>
      <c r="C13" s="724">
        <v>0</v>
      </c>
      <c r="D13" s="724">
        <v>0</v>
      </c>
      <c r="E13" s="724">
        <v>0</v>
      </c>
      <c r="F13" s="724">
        <v>0</v>
      </c>
      <c r="G13" s="724">
        <v>0</v>
      </c>
      <c r="H13" s="724">
        <v>0</v>
      </c>
      <c r="I13" s="724">
        <v>0</v>
      </c>
      <c r="J13" s="724">
        <v>0</v>
      </c>
      <c r="K13" s="6"/>
      <c r="L13" s="6"/>
      <c r="M13" s="6"/>
      <c r="N13" s="6"/>
      <c r="O13" s="6"/>
      <c r="P13" s="6"/>
      <c r="Q13" s="6"/>
      <c r="R13" s="6"/>
      <c r="S13" s="6"/>
      <c r="T13" s="6"/>
      <c r="U13" s="6"/>
      <c r="V13" s="6"/>
      <c r="W13" s="6"/>
      <c r="X13" s="6"/>
      <c r="Y13" s="6"/>
      <c r="Z13" s="6"/>
      <c r="AA13" s="6"/>
      <c r="AB13" s="6"/>
      <c r="AC13" s="6"/>
      <c r="AD13" s="6"/>
      <c r="AE13" s="6"/>
      <c r="AF13" s="6"/>
      <c r="AG13" s="6"/>
      <c r="AH13" s="6"/>
      <c r="AI13" s="6"/>
    </row>
    <row r="14" spans="1:35" ht="15.6">
      <c r="A14" s="6"/>
      <c r="B14" s="723" t="s">
        <v>476</v>
      </c>
      <c r="C14" s="724">
        <v>0</v>
      </c>
      <c r="D14" s="724">
        <v>0</v>
      </c>
      <c r="E14" s="724">
        <v>0</v>
      </c>
      <c r="F14" s="724">
        <v>0</v>
      </c>
      <c r="G14" s="724">
        <v>0</v>
      </c>
      <c r="H14" s="724">
        <v>0</v>
      </c>
      <c r="I14" s="724">
        <v>0</v>
      </c>
      <c r="J14" s="724">
        <v>0</v>
      </c>
      <c r="K14" s="6"/>
      <c r="L14" s="6"/>
      <c r="M14" s="6"/>
      <c r="N14" s="6"/>
      <c r="O14" s="6"/>
      <c r="P14" s="6"/>
      <c r="Q14" s="6"/>
      <c r="R14" s="6"/>
      <c r="S14" s="6"/>
      <c r="T14" s="6"/>
      <c r="U14" s="6"/>
      <c r="V14" s="6"/>
      <c r="W14" s="6"/>
      <c r="X14" s="6"/>
      <c r="Y14" s="6"/>
      <c r="Z14" s="6"/>
      <c r="AA14" s="6"/>
      <c r="AB14" s="6"/>
      <c r="AC14" s="6"/>
      <c r="AD14" s="6"/>
      <c r="AE14" s="6"/>
      <c r="AF14" s="6"/>
      <c r="AG14" s="6"/>
      <c r="AH14" s="6"/>
      <c r="AI14" s="6"/>
    </row>
    <row r="15" spans="1:35" ht="15.6">
      <c r="A15" s="6"/>
      <c r="B15" s="723" t="s">
        <v>477</v>
      </c>
      <c r="C15" s="724">
        <v>0</v>
      </c>
      <c r="D15" s="724">
        <v>0</v>
      </c>
      <c r="E15" s="724">
        <v>171.3</v>
      </c>
      <c r="F15" s="724">
        <v>74.3</v>
      </c>
      <c r="G15" s="724">
        <v>93.8</v>
      </c>
      <c r="H15" s="724">
        <v>0</v>
      </c>
      <c r="I15" s="724">
        <v>157.9</v>
      </c>
      <c r="J15" s="724">
        <v>144.19999999999999</v>
      </c>
      <c r="K15" s="6"/>
      <c r="L15" s="6"/>
      <c r="M15" s="6"/>
      <c r="N15" s="6"/>
      <c r="O15" s="6"/>
      <c r="P15" s="6"/>
      <c r="Q15" s="6"/>
      <c r="R15" s="6"/>
      <c r="S15" s="6"/>
      <c r="T15" s="6"/>
      <c r="U15" s="6"/>
      <c r="V15" s="6"/>
      <c r="W15" s="6"/>
      <c r="X15" s="6"/>
      <c r="Y15" s="6"/>
      <c r="Z15" s="6"/>
      <c r="AA15" s="6"/>
      <c r="AB15" s="6"/>
      <c r="AC15" s="6"/>
      <c r="AD15" s="6"/>
      <c r="AE15" s="6"/>
      <c r="AF15" s="6"/>
      <c r="AG15" s="6"/>
      <c r="AH15" s="6"/>
      <c r="AI15" s="6"/>
    </row>
    <row r="16" spans="1:35" ht="15.6">
      <c r="A16" s="6"/>
      <c r="B16" s="723" t="s">
        <v>478</v>
      </c>
      <c r="C16" s="724">
        <v>5.2</v>
      </c>
      <c r="D16" s="724">
        <v>4.4000000000000004</v>
      </c>
      <c r="E16" s="724">
        <v>6.6</v>
      </c>
      <c r="F16" s="724">
        <v>58.4</v>
      </c>
      <c r="G16" s="724">
        <v>9.6</v>
      </c>
      <c r="H16" s="724">
        <v>32.799999999999997</v>
      </c>
      <c r="I16" s="724">
        <v>243.1</v>
      </c>
      <c r="J16" s="724">
        <v>503.1</v>
      </c>
      <c r="K16" s="6"/>
      <c r="L16" s="6"/>
      <c r="M16" s="6"/>
      <c r="N16" s="6"/>
      <c r="O16" s="6"/>
      <c r="P16" s="6"/>
      <c r="Q16" s="6"/>
      <c r="R16" s="6"/>
      <c r="S16" s="6"/>
      <c r="T16" s="6"/>
      <c r="U16" s="6"/>
      <c r="V16" s="6"/>
      <c r="W16" s="6"/>
      <c r="X16" s="6"/>
      <c r="Y16" s="6"/>
      <c r="Z16" s="6"/>
      <c r="AA16" s="6"/>
      <c r="AB16" s="6"/>
      <c r="AC16" s="6"/>
      <c r="AD16" s="6"/>
      <c r="AE16" s="6"/>
      <c r="AF16" s="6"/>
      <c r="AG16" s="6"/>
      <c r="AH16" s="6"/>
      <c r="AI16" s="6"/>
    </row>
    <row r="17" spans="1:35" ht="15.6">
      <c r="A17" s="6"/>
      <c r="B17" s="723" t="s">
        <v>479</v>
      </c>
      <c r="C17" s="724">
        <v>-0.3</v>
      </c>
      <c r="D17" s="724">
        <v>-0.5</v>
      </c>
      <c r="E17" s="724">
        <v>-0.4</v>
      </c>
      <c r="F17" s="724">
        <v>-0.4</v>
      </c>
      <c r="G17" s="724">
        <v>-0.8</v>
      </c>
      <c r="H17" s="724">
        <v>-0.2</v>
      </c>
      <c r="I17" s="724">
        <v>-0.5</v>
      </c>
      <c r="J17" s="724">
        <v>-0.3</v>
      </c>
      <c r="K17" s="6"/>
      <c r="L17" s="6"/>
      <c r="M17" s="6"/>
      <c r="N17" s="6"/>
      <c r="O17" s="6"/>
      <c r="P17" s="6"/>
      <c r="Q17" s="6"/>
      <c r="R17" s="6"/>
      <c r="S17" s="6"/>
      <c r="T17" s="6"/>
      <c r="U17" s="6"/>
      <c r="V17" s="6"/>
      <c r="W17" s="6"/>
      <c r="X17" s="6"/>
      <c r="Y17" s="6"/>
      <c r="Z17" s="6"/>
      <c r="AA17" s="6"/>
      <c r="AB17" s="6"/>
      <c r="AC17" s="6"/>
      <c r="AD17" s="6"/>
      <c r="AE17" s="6"/>
      <c r="AF17" s="6"/>
      <c r="AG17" s="6"/>
      <c r="AH17" s="6"/>
      <c r="AI17" s="6"/>
    </row>
    <row r="18" spans="1:35" ht="15.6">
      <c r="A18" s="6"/>
      <c r="B18" s="723" t="s">
        <v>481</v>
      </c>
      <c r="C18" s="724">
        <v>0</v>
      </c>
      <c r="D18" s="724">
        <v>0</v>
      </c>
      <c r="E18" s="724">
        <v>0</v>
      </c>
      <c r="F18" s="724">
        <v>0</v>
      </c>
      <c r="G18" s="724">
        <v>0</v>
      </c>
      <c r="H18" s="724">
        <v>0</v>
      </c>
      <c r="I18" s="724">
        <v>0</v>
      </c>
      <c r="J18" s="724">
        <v>0</v>
      </c>
      <c r="K18" s="6"/>
      <c r="L18" s="6"/>
      <c r="M18" s="6"/>
      <c r="N18" s="6"/>
      <c r="O18" s="6"/>
      <c r="P18" s="6"/>
      <c r="Q18" s="6"/>
      <c r="R18" s="6"/>
      <c r="S18" s="6"/>
      <c r="T18" s="6"/>
      <c r="U18" s="6"/>
      <c r="V18" s="6"/>
      <c r="W18" s="6"/>
      <c r="X18" s="6"/>
      <c r="Y18" s="6"/>
      <c r="Z18" s="6"/>
      <c r="AA18" s="6"/>
      <c r="AB18" s="6"/>
      <c r="AC18" s="6"/>
      <c r="AD18" s="6"/>
      <c r="AE18" s="6"/>
      <c r="AF18" s="6"/>
      <c r="AG18" s="6"/>
      <c r="AH18" s="6"/>
      <c r="AI18" s="6"/>
    </row>
    <row r="19" spans="1:35" ht="15.6">
      <c r="A19" s="7"/>
      <c r="B19" s="721" t="s">
        <v>482</v>
      </c>
      <c r="C19" s="722">
        <v>15.5</v>
      </c>
      <c r="D19" s="722">
        <v>14.3</v>
      </c>
      <c r="E19" s="722">
        <v>9.6</v>
      </c>
      <c r="F19" s="722">
        <v>16.2</v>
      </c>
      <c r="G19" s="722">
        <v>26.2</v>
      </c>
      <c r="H19" s="722">
        <v>24.7</v>
      </c>
      <c r="I19" s="722">
        <v>314.3</v>
      </c>
      <c r="J19" s="722">
        <v>152</v>
      </c>
      <c r="K19" s="6"/>
      <c r="L19" s="6"/>
      <c r="M19" s="6"/>
      <c r="N19" s="6"/>
      <c r="O19" s="6"/>
      <c r="P19" s="6"/>
      <c r="Q19" s="6"/>
      <c r="R19" s="6"/>
      <c r="S19" s="7"/>
      <c r="T19" s="7"/>
      <c r="U19" s="7"/>
      <c r="V19" s="7"/>
      <c r="W19" s="7"/>
      <c r="X19" s="7"/>
      <c r="Y19" s="7"/>
      <c r="Z19" s="7"/>
      <c r="AA19" s="7"/>
      <c r="AB19" s="7"/>
      <c r="AC19" s="7"/>
      <c r="AD19" s="7"/>
      <c r="AE19" s="7"/>
      <c r="AF19" s="7"/>
      <c r="AG19" s="7"/>
      <c r="AH19" s="7"/>
      <c r="AI19" s="7"/>
    </row>
    <row r="20" spans="1:35" ht="15.6">
      <c r="A20" s="6"/>
      <c r="B20" s="723" t="s">
        <v>483</v>
      </c>
      <c r="C20" s="724">
        <v>15.5</v>
      </c>
      <c r="D20" s="724">
        <v>14.3</v>
      </c>
      <c r="E20" s="724">
        <v>9.6</v>
      </c>
      <c r="F20" s="724">
        <v>16.2</v>
      </c>
      <c r="G20" s="724">
        <v>26.2</v>
      </c>
      <c r="H20" s="724">
        <v>24.7</v>
      </c>
      <c r="I20" s="724">
        <v>314.3</v>
      </c>
      <c r="J20" s="724">
        <v>152</v>
      </c>
      <c r="K20" s="6"/>
      <c r="L20" s="6"/>
      <c r="M20" s="6"/>
      <c r="N20" s="6"/>
      <c r="O20" s="6"/>
      <c r="P20" s="6"/>
      <c r="Q20" s="6"/>
      <c r="R20" s="6"/>
      <c r="S20" s="6"/>
      <c r="T20" s="6"/>
      <c r="U20" s="6"/>
      <c r="V20" s="6"/>
      <c r="W20" s="6"/>
      <c r="X20" s="6"/>
      <c r="Y20" s="6"/>
      <c r="Z20" s="6"/>
      <c r="AA20" s="6"/>
      <c r="AB20" s="6"/>
      <c r="AC20" s="6"/>
      <c r="AD20" s="6"/>
      <c r="AE20" s="6"/>
      <c r="AF20" s="6"/>
      <c r="AG20" s="6"/>
      <c r="AH20" s="6"/>
      <c r="AI20" s="6"/>
    </row>
    <row r="21" spans="1:35" ht="15.6">
      <c r="A21" s="6"/>
      <c r="B21" s="723" t="s">
        <v>484</v>
      </c>
      <c r="C21" s="724">
        <v>0</v>
      </c>
      <c r="D21" s="724">
        <v>0</v>
      </c>
      <c r="E21" s="724">
        <v>0</v>
      </c>
      <c r="F21" s="724">
        <v>0</v>
      </c>
      <c r="G21" s="724">
        <v>0</v>
      </c>
      <c r="H21" s="724">
        <v>0</v>
      </c>
      <c r="I21" s="724">
        <v>0</v>
      </c>
      <c r="J21" s="724">
        <v>0</v>
      </c>
      <c r="K21" s="6"/>
      <c r="L21" s="6"/>
      <c r="M21" s="6"/>
      <c r="N21" s="6"/>
      <c r="O21" s="6"/>
      <c r="P21" s="6"/>
      <c r="Q21" s="6"/>
      <c r="R21" s="6"/>
      <c r="S21" s="6"/>
      <c r="T21" s="6"/>
      <c r="U21" s="6"/>
      <c r="V21" s="6"/>
      <c r="W21" s="6"/>
      <c r="X21" s="6"/>
      <c r="Y21" s="6"/>
      <c r="Z21" s="6"/>
      <c r="AA21" s="6"/>
      <c r="AB21" s="6"/>
      <c r="AC21" s="6"/>
      <c r="AD21" s="6"/>
      <c r="AE21" s="6"/>
      <c r="AF21" s="6"/>
      <c r="AG21" s="6"/>
      <c r="AH21" s="6"/>
      <c r="AI21" s="6"/>
    </row>
    <row r="22" spans="1:35" ht="15.6">
      <c r="A22" s="7"/>
      <c r="B22" s="721" t="s">
        <v>485</v>
      </c>
      <c r="C22" s="722">
        <v>10.9</v>
      </c>
      <c r="D22" s="722">
        <v>9.5</v>
      </c>
      <c r="E22" s="722">
        <v>5.0999999999999996</v>
      </c>
      <c r="F22" s="722">
        <v>0.7</v>
      </c>
      <c r="G22" s="722">
        <v>1.1000000000000001</v>
      </c>
      <c r="H22" s="722">
        <v>98.2</v>
      </c>
      <c r="I22" s="722">
        <v>70.5</v>
      </c>
      <c r="J22" s="722">
        <v>57.6</v>
      </c>
      <c r="K22" s="6"/>
      <c r="L22" s="6"/>
      <c r="M22" s="6"/>
      <c r="N22" s="6"/>
      <c r="O22" s="6"/>
      <c r="P22" s="6"/>
      <c r="Q22" s="6"/>
      <c r="R22" s="6"/>
      <c r="S22" s="7"/>
      <c r="T22" s="7"/>
      <c r="U22" s="7"/>
      <c r="V22" s="7"/>
      <c r="W22" s="7"/>
      <c r="X22" s="7"/>
      <c r="Y22" s="7"/>
      <c r="Z22" s="7"/>
      <c r="AA22" s="7"/>
      <c r="AB22" s="7"/>
      <c r="AC22" s="7"/>
      <c r="AD22" s="7"/>
      <c r="AE22" s="7"/>
      <c r="AF22" s="7"/>
      <c r="AG22" s="7"/>
      <c r="AH22" s="7"/>
      <c r="AI22" s="7"/>
    </row>
    <row r="23" spans="1:35" ht="15.6">
      <c r="A23" s="6"/>
      <c r="B23" s="723" t="s">
        <v>486</v>
      </c>
      <c r="C23" s="724">
        <v>1.8</v>
      </c>
      <c r="D23" s="724">
        <v>0.8</v>
      </c>
      <c r="E23" s="724">
        <v>0.4</v>
      </c>
      <c r="F23" s="724">
        <v>0.6</v>
      </c>
      <c r="G23" s="724">
        <v>0.8</v>
      </c>
      <c r="H23" s="724">
        <v>3.8</v>
      </c>
      <c r="I23" s="724">
        <v>4</v>
      </c>
      <c r="J23" s="724">
        <v>7.1</v>
      </c>
      <c r="K23" s="6"/>
      <c r="L23" s="6"/>
      <c r="M23" s="6"/>
      <c r="N23" s="6"/>
      <c r="O23" s="6"/>
      <c r="P23" s="6"/>
      <c r="Q23" s="6"/>
      <c r="R23" s="6"/>
      <c r="S23" s="6"/>
      <c r="T23" s="6"/>
      <c r="U23" s="6"/>
      <c r="V23" s="6"/>
      <c r="W23" s="6"/>
      <c r="X23" s="6"/>
      <c r="Y23" s="6"/>
      <c r="Z23" s="6"/>
      <c r="AA23" s="6"/>
      <c r="AB23" s="6"/>
      <c r="AC23" s="6"/>
      <c r="AD23" s="6"/>
      <c r="AE23" s="6"/>
      <c r="AF23" s="6"/>
      <c r="AG23" s="6"/>
      <c r="AH23" s="6"/>
      <c r="AI23" s="6"/>
    </row>
    <row r="24" spans="1:35" ht="15.6">
      <c r="A24" s="6"/>
      <c r="B24" s="723" t="s">
        <v>487</v>
      </c>
      <c r="C24" s="724">
        <v>1.5</v>
      </c>
      <c r="D24" s="724">
        <v>5.4</v>
      </c>
      <c r="E24" s="724">
        <v>4.5999999999999996</v>
      </c>
      <c r="F24" s="724">
        <v>0</v>
      </c>
      <c r="G24" s="724">
        <v>0</v>
      </c>
      <c r="H24" s="724">
        <v>94.4</v>
      </c>
      <c r="I24" s="724">
        <v>65.900000000000006</v>
      </c>
      <c r="J24" s="724">
        <v>49.8</v>
      </c>
      <c r="K24" s="6"/>
      <c r="L24" s="6"/>
      <c r="M24" s="6"/>
      <c r="N24" s="6"/>
      <c r="O24" s="6"/>
      <c r="P24" s="6"/>
      <c r="Q24" s="6"/>
      <c r="R24" s="6"/>
      <c r="S24" s="6"/>
      <c r="T24" s="6"/>
      <c r="U24" s="6"/>
      <c r="V24" s="6"/>
      <c r="W24" s="6"/>
      <c r="X24" s="6"/>
      <c r="Y24" s="6"/>
      <c r="Z24" s="6"/>
      <c r="AA24" s="6"/>
      <c r="AB24" s="6"/>
      <c r="AC24" s="6"/>
      <c r="AD24" s="6"/>
      <c r="AE24" s="6"/>
      <c r="AF24" s="6"/>
      <c r="AG24" s="6"/>
      <c r="AH24" s="6"/>
      <c r="AI24" s="6"/>
    </row>
    <row r="25" spans="1:35" ht="15.6">
      <c r="A25" s="6"/>
      <c r="B25" s="723" t="s">
        <v>488</v>
      </c>
      <c r="C25" s="724">
        <v>0.4</v>
      </c>
      <c r="D25" s="724">
        <v>0.2</v>
      </c>
      <c r="E25" s="724">
        <v>0.1</v>
      </c>
      <c r="F25" s="724">
        <v>0.1</v>
      </c>
      <c r="G25" s="724">
        <v>0.3</v>
      </c>
      <c r="H25" s="724">
        <v>0</v>
      </c>
      <c r="I25" s="724">
        <v>0.6</v>
      </c>
      <c r="J25" s="724">
        <v>0.6</v>
      </c>
      <c r="K25" s="6"/>
      <c r="L25" s="6"/>
      <c r="M25" s="6"/>
      <c r="N25" s="6"/>
      <c r="O25" s="6"/>
      <c r="P25" s="6"/>
      <c r="Q25" s="6"/>
      <c r="R25" s="6"/>
      <c r="S25" s="6"/>
      <c r="T25" s="6"/>
      <c r="U25" s="6"/>
      <c r="V25" s="6"/>
      <c r="W25" s="6"/>
      <c r="X25" s="6"/>
      <c r="Y25" s="6"/>
      <c r="Z25" s="6"/>
      <c r="AA25" s="6"/>
      <c r="AB25" s="6"/>
      <c r="AC25" s="6"/>
      <c r="AD25" s="6"/>
      <c r="AE25" s="6"/>
      <c r="AF25" s="6"/>
      <c r="AG25" s="6"/>
      <c r="AH25" s="6"/>
      <c r="AI25" s="6"/>
    </row>
    <row r="26" spans="1:35" ht="15.6">
      <c r="A26" s="6"/>
      <c r="B26" s="723" t="s">
        <v>489</v>
      </c>
      <c r="C26" s="724">
        <v>0</v>
      </c>
      <c r="D26" s="724">
        <v>0</v>
      </c>
      <c r="E26" s="724">
        <v>0</v>
      </c>
      <c r="F26" s="724">
        <v>0</v>
      </c>
      <c r="G26" s="724">
        <v>0</v>
      </c>
      <c r="H26" s="724">
        <v>0</v>
      </c>
      <c r="I26" s="724">
        <v>0</v>
      </c>
      <c r="J26" s="724">
        <v>0</v>
      </c>
      <c r="K26" s="6"/>
      <c r="L26" s="6"/>
      <c r="M26" s="6"/>
      <c r="N26" s="6"/>
      <c r="O26" s="6"/>
      <c r="P26" s="6"/>
      <c r="Q26" s="6"/>
      <c r="R26" s="6"/>
      <c r="S26" s="6"/>
      <c r="T26" s="6"/>
      <c r="U26" s="6"/>
      <c r="V26" s="6"/>
      <c r="W26" s="6"/>
      <c r="X26" s="6"/>
      <c r="Y26" s="6"/>
      <c r="Z26" s="6"/>
      <c r="AA26" s="6"/>
      <c r="AB26" s="6"/>
      <c r="AC26" s="6"/>
      <c r="AD26" s="6"/>
      <c r="AE26" s="6"/>
      <c r="AF26" s="6"/>
      <c r="AG26" s="6"/>
      <c r="AH26" s="6"/>
      <c r="AI26" s="6"/>
    </row>
    <row r="27" spans="1:35" ht="15.6">
      <c r="A27" s="6"/>
      <c r="B27" s="723" t="s">
        <v>490</v>
      </c>
      <c r="C27" s="724">
        <v>7.2</v>
      </c>
      <c r="D27" s="724">
        <v>3.1</v>
      </c>
      <c r="E27" s="724">
        <v>0</v>
      </c>
      <c r="F27" s="724">
        <v>0</v>
      </c>
      <c r="G27" s="724">
        <v>0</v>
      </c>
      <c r="H27" s="724">
        <v>0</v>
      </c>
      <c r="I27" s="724">
        <v>0</v>
      </c>
      <c r="J27" s="724">
        <v>0</v>
      </c>
      <c r="K27" s="6"/>
      <c r="L27" s="6"/>
      <c r="M27" s="6"/>
      <c r="N27" s="6"/>
      <c r="O27" s="6"/>
      <c r="P27" s="6"/>
      <c r="Q27" s="6"/>
      <c r="R27" s="6"/>
      <c r="S27" s="6"/>
      <c r="T27" s="6"/>
      <c r="U27" s="6"/>
      <c r="V27" s="6"/>
      <c r="W27" s="6"/>
      <c r="X27" s="6"/>
      <c r="Y27" s="6"/>
      <c r="Z27" s="6"/>
      <c r="AA27" s="6"/>
      <c r="AB27" s="6"/>
      <c r="AC27" s="6"/>
      <c r="AD27" s="6"/>
      <c r="AE27" s="6"/>
      <c r="AF27" s="6"/>
      <c r="AG27" s="6"/>
      <c r="AH27" s="6"/>
      <c r="AI27" s="6"/>
    </row>
    <row r="28" spans="1:35" ht="15.6">
      <c r="A28" s="4"/>
      <c r="B28" s="719" t="s">
        <v>501</v>
      </c>
      <c r="C28" s="720">
        <v>1320.1</v>
      </c>
      <c r="D28" s="720">
        <v>1275.3</v>
      </c>
      <c r="E28" s="720">
        <v>1400.7</v>
      </c>
      <c r="F28" s="720">
        <v>1209.8</v>
      </c>
      <c r="G28" s="720">
        <v>1172.8</v>
      </c>
      <c r="H28" s="720">
        <v>3130.7</v>
      </c>
      <c r="I28" s="720">
        <v>5572.8</v>
      </c>
      <c r="J28" s="720">
        <v>5993.8</v>
      </c>
      <c r="K28" s="6"/>
      <c r="L28" s="6"/>
      <c r="M28" s="6"/>
      <c r="N28" s="6"/>
      <c r="O28" s="6"/>
      <c r="P28" s="6"/>
      <c r="Q28" s="6"/>
      <c r="R28" s="6"/>
      <c r="S28" s="7"/>
      <c r="T28" s="7"/>
      <c r="U28" s="7"/>
      <c r="V28" s="7"/>
      <c r="W28" s="7"/>
      <c r="X28" s="7"/>
      <c r="Y28" s="7"/>
      <c r="Z28" s="7"/>
      <c r="AA28" s="7"/>
      <c r="AB28" s="7"/>
      <c r="AC28" s="7"/>
      <c r="AD28" s="7"/>
      <c r="AE28" s="7"/>
      <c r="AF28" s="7"/>
      <c r="AG28" s="7"/>
      <c r="AH28" s="7"/>
      <c r="AI28" s="7"/>
    </row>
    <row r="29" spans="1:35" ht="15.6">
      <c r="A29" s="6"/>
      <c r="B29" s="721" t="s">
        <v>491</v>
      </c>
      <c r="C29" s="724">
        <v>0</v>
      </c>
      <c r="D29" s="724">
        <v>0</v>
      </c>
      <c r="E29" s="724">
        <v>0</v>
      </c>
      <c r="F29" s="724">
        <v>0.7</v>
      </c>
      <c r="G29" s="724">
        <v>11</v>
      </c>
      <c r="H29" s="724">
        <v>0.8</v>
      </c>
      <c r="I29" s="724">
        <v>0.6</v>
      </c>
      <c r="J29" s="724">
        <v>25.8</v>
      </c>
      <c r="K29" s="6"/>
      <c r="L29" s="6"/>
      <c r="M29" s="6"/>
      <c r="N29" s="6"/>
      <c r="O29" s="6"/>
      <c r="P29" s="6"/>
      <c r="Q29" s="6"/>
      <c r="R29" s="6"/>
      <c r="S29" s="6"/>
      <c r="T29" s="6"/>
      <c r="U29" s="6"/>
      <c r="V29" s="6"/>
      <c r="W29" s="6"/>
      <c r="X29" s="6"/>
      <c r="Y29" s="6"/>
      <c r="Z29" s="6"/>
      <c r="AA29" s="6"/>
      <c r="AB29" s="6"/>
      <c r="AC29" s="6"/>
      <c r="AD29" s="6"/>
      <c r="AE29" s="6"/>
      <c r="AF29" s="6"/>
      <c r="AG29" s="6"/>
      <c r="AH29" s="6"/>
      <c r="AI29" s="6"/>
    </row>
    <row r="30" spans="1:35" ht="15.6">
      <c r="A30" s="6"/>
      <c r="B30" s="724" t="s">
        <v>492</v>
      </c>
      <c r="C30" s="724">
        <v>0</v>
      </c>
      <c r="D30" s="724">
        <v>0</v>
      </c>
      <c r="E30" s="724">
        <v>0</v>
      </c>
      <c r="F30" s="724">
        <v>0</v>
      </c>
      <c r="G30" s="724">
        <v>0</v>
      </c>
      <c r="H30" s="724">
        <v>0</v>
      </c>
      <c r="I30" s="724">
        <v>0</v>
      </c>
      <c r="J30" s="724">
        <v>0</v>
      </c>
      <c r="K30" s="6"/>
      <c r="L30" s="6"/>
      <c r="M30" s="6"/>
      <c r="N30" s="6"/>
      <c r="O30" s="6"/>
      <c r="P30" s="6"/>
      <c r="Q30" s="6"/>
      <c r="R30" s="6"/>
      <c r="S30" s="6"/>
      <c r="T30" s="6"/>
      <c r="U30" s="6"/>
      <c r="V30" s="6"/>
      <c r="W30" s="6"/>
      <c r="X30" s="6"/>
      <c r="Y30" s="6"/>
      <c r="Z30" s="6"/>
      <c r="AA30" s="6"/>
      <c r="AB30" s="6"/>
      <c r="AC30" s="6"/>
      <c r="AD30" s="6"/>
      <c r="AE30" s="6"/>
      <c r="AF30" s="6"/>
      <c r="AG30" s="6"/>
      <c r="AH30" s="6"/>
      <c r="AI30" s="6"/>
    </row>
    <row r="31" spans="1:35" ht="15.6">
      <c r="A31" s="6"/>
      <c r="B31" s="724" t="s">
        <v>493</v>
      </c>
      <c r="C31" s="724">
        <v>0</v>
      </c>
      <c r="D31" s="724">
        <v>0</v>
      </c>
      <c r="E31" s="724">
        <v>0</v>
      </c>
      <c r="F31" s="724">
        <v>0</v>
      </c>
      <c r="G31" s="724">
        <v>0</v>
      </c>
      <c r="H31" s="724">
        <v>0</v>
      </c>
      <c r="I31" s="724">
        <v>0</v>
      </c>
      <c r="J31" s="724">
        <v>0</v>
      </c>
      <c r="K31" s="6"/>
      <c r="L31" s="6"/>
      <c r="M31" s="6"/>
      <c r="N31" s="6"/>
      <c r="O31" s="6"/>
      <c r="P31" s="6"/>
      <c r="Q31" s="6"/>
      <c r="R31" s="6"/>
      <c r="S31" s="6"/>
      <c r="T31" s="6"/>
      <c r="U31" s="6"/>
      <c r="V31" s="6"/>
      <c r="W31" s="6"/>
      <c r="X31" s="6"/>
      <c r="Y31" s="6"/>
      <c r="Z31" s="6"/>
      <c r="AA31" s="6"/>
      <c r="AB31" s="6"/>
      <c r="AC31" s="6"/>
      <c r="AD31" s="6"/>
      <c r="AE31" s="6"/>
      <c r="AF31" s="6"/>
      <c r="AG31" s="6"/>
      <c r="AH31" s="6"/>
      <c r="AI31" s="6"/>
    </row>
    <row r="32" spans="1:35" ht="15.6">
      <c r="A32" s="6"/>
      <c r="B32" s="724" t="s">
        <v>494</v>
      </c>
      <c r="C32" s="724">
        <v>0</v>
      </c>
      <c r="D32" s="724">
        <v>0</v>
      </c>
      <c r="E32" s="724">
        <v>0</v>
      </c>
      <c r="F32" s="724">
        <v>0</v>
      </c>
      <c r="G32" s="724">
        <v>0</v>
      </c>
      <c r="H32" s="724">
        <v>0</v>
      </c>
      <c r="I32" s="724">
        <v>0</v>
      </c>
      <c r="J32" s="724">
        <v>0</v>
      </c>
      <c r="K32" s="6"/>
      <c r="L32" s="6"/>
      <c r="M32" s="6"/>
      <c r="N32" s="6"/>
      <c r="O32" s="6"/>
      <c r="P32" s="6"/>
      <c r="Q32" s="6"/>
      <c r="R32" s="6"/>
      <c r="S32" s="6"/>
      <c r="T32" s="6"/>
      <c r="U32" s="6"/>
      <c r="V32" s="6"/>
      <c r="W32" s="6"/>
      <c r="X32" s="6"/>
      <c r="Y32" s="6"/>
      <c r="Z32" s="6"/>
      <c r="AA32" s="6"/>
      <c r="AB32" s="6"/>
      <c r="AC32" s="6"/>
      <c r="AD32" s="6"/>
      <c r="AE32" s="6"/>
      <c r="AF32" s="6"/>
      <c r="AG32" s="6"/>
      <c r="AH32" s="6"/>
      <c r="AI32" s="6"/>
    </row>
    <row r="33" spans="1:35" ht="15.6">
      <c r="A33" s="6"/>
      <c r="B33" s="724" t="s">
        <v>495</v>
      </c>
      <c r="C33" s="724">
        <v>0</v>
      </c>
      <c r="D33" s="724">
        <v>0</v>
      </c>
      <c r="E33" s="724">
        <v>0</v>
      </c>
      <c r="F33" s="724">
        <v>0</v>
      </c>
      <c r="G33" s="724">
        <v>0</v>
      </c>
      <c r="H33" s="724">
        <v>0</v>
      </c>
      <c r="I33" s="724">
        <v>0</v>
      </c>
      <c r="J33" s="724">
        <v>0</v>
      </c>
      <c r="K33" s="6"/>
      <c r="L33" s="6"/>
      <c r="M33" s="6"/>
      <c r="N33" s="6"/>
      <c r="O33" s="6"/>
      <c r="P33" s="6"/>
      <c r="Q33" s="6"/>
      <c r="R33" s="6"/>
      <c r="S33" s="6"/>
      <c r="T33" s="6"/>
      <c r="U33" s="6"/>
      <c r="V33" s="6"/>
      <c r="W33" s="6"/>
      <c r="X33" s="6"/>
      <c r="Y33" s="6"/>
      <c r="Z33" s="6"/>
      <c r="AA33" s="6"/>
      <c r="AB33" s="6"/>
      <c r="AC33" s="6"/>
      <c r="AD33" s="6"/>
      <c r="AE33" s="6"/>
      <c r="AF33" s="6"/>
      <c r="AG33" s="6"/>
      <c r="AH33" s="6"/>
      <c r="AI33" s="6"/>
    </row>
    <row r="34" spans="1:35" ht="15.6">
      <c r="A34" s="6"/>
      <c r="B34" s="724" t="s">
        <v>496</v>
      </c>
      <c r="C34" s="724">
        <v>0</v>
      </c>
      <c r="D34" s="724">
        <v>0</v>
      </c>
      <c r="E34" s="724">
        <v>0</v>
      </c>
      <c r="F34" s="724">
        <v>0</v>
      </c>
      <c r="G34" s="724">
        <v>0</v>
      </c>
      <c r="H34" s="724">
        <v>0</v>
      </c>
      <c r="I34" s="724">
        <v>0</v>
      </c>
      <c r="J34" s="724">
        <v>0</v>
      </c>
      <c r="K34" s="6"/>
      <c r="L34" s="6"/>
      <c r="M34" s="6"/>
      <c r="N34" s="6"/>
      <c r="O34" s="6"/>
      <c r="P34" s="6"/>
      <c r="Q34" s="6"/>
      <c r="R34" s="6"/>
      <c r="S34" s="6"/>
      <c r="T34" s="6"/>
      <c r="U34" s="6"/>
      <c r="V34" s="6"/>
      <c r="W34" s="6"/>
      <c r="X34" s="6"/>
      <c r="Y34" s="6"/>
      <c r="Z34" s="6"/>
      <c r="AA34" s="6"/>
      <c r="AB34" s="6"/>
      <c r="AC34" s="6"/>
      <c r="AD34" s="6"/>
      <c r="AE34" s="6"/>
      <c r="AF34" s="6"/>
      <c r="AG34" s="6"/>
      <c r="AH34" s="6"/>
      <c r="AI34" s="6"/>
    </row>
    <row r="35" spans="1:35" ht="15.6">
      <c r="A35" s="6"/>
      <c r="B35" s="724" t="s">
        <v>497</v>
      </c>
      <c r="C35" s="724">
        <v>0</v>
      </c>
      <c r="D35" s="724">
        <v>0</v>
      </c>
      <c r="E35" s="724">
        <v>0</v>
      </c>
      <c r="F35" s="724">
        <v>0.7</v>
      </c>
      <c r="G35" s="724">
        <v>11</v>
      </c>
      <c r="H35" s="724">
        <v>1.3</v>
      </c>
      <c r="I35" s="724">
        <v>1.3</v>
      </c>
      <c r="J35" s="724">
        <v>26.5</v>
      </c>
      <c r="K35" s="6"/>
      <c r="L35" s="6"/>
      <c r="M35" s="6"/>
      <c r="N35" s="6"/>
      <c r="O35" s="6"/>
      <c r="P35" s="6"/>
      <c r="Q35" s="6"/>
      <c r="R35" s="6"/>
      <c r="S35" s="6"/>
      <c r="T35" s="6"/>
      <c r="U35" s="6"/>
      <c r="V35" s="6"/>
      <c r="W35" s="6"/>
      <c r="X35" s="6"/>
      <c r="Y35" s="6"/>
      <c r="Z35" s="6"/>
      <c r="AA35" s="6"/>
      <c r="AB35" s="6"/>
      <c r="AC35" s="6"/>
      <c r="AD35" s="6"/>
      <c r="AE35" s="6"/>
      <c r="AF35" s="6"/>
      <c r="AG35" s="6"/>
      <c r="AH35" s="6"/>
      <c r="AI35" s="6"/>
    </row>
    <row r="36" spans="1:35" ht="15.6">
      <c r="A36" s="6"/>
      <c r="B36" s="724" t="s">
        <v>498</v>
      </c>
      <c r="C36" s="724">
        <v>0</v>
      </c>
      <c r="D36" s="724">
        <v>0</v>
      </c>
      <c r="E36" s="724">
        <v>0</v>
      </c>
      <c r="F36" s="724">
        <v>0</v>
      </c>
      <c r="G36" s="724">
        <v>0</v>
      </c>
      <c r="H36" s="724">
        <v>-0.5</v>
      </c>
      <c r="I36" s="724">
        <v>-0.7</v>
      </c>
      <c r="J36" s="724">
        <v>-0.7</v>
      </c>
      <c r="K36" s="6"/>
      <c r="L36" s="6"/>
      <c r="M36" s="6"/>
      <c r="N36" s="6"/>
      <c r="O36" s="6"/>
      <c r="P36" s="6"/>
      <c r="Q36" s="6"/>
      <c r="R36" s="6"/>
      <c r="S36" s="6"/>
      <c r="T36" s="6"/>
      <c r="U36" s="6"/>
      <c r="V36" s="6"/>
      <c r="W36" s="6"/>
      <c r="X36" s="6"/>
      <c r="Y36" s="6"/>
      <c r="Z36" s="6"/>
      <c r="AA36" s="6"/>
      <c r="AB36" s="6"/>
      <c r="AC36" s="6"/>
      <c r="AD36" s="6"/>
      <c r="AE36" s="6"/>
      <c r="AF36" s="6"/>
      <c r="AG36" s="6"/>
      <c r="AH36" s="6"/>
      <c r="AI36" s="6"/>
    </row>
    <row r="37" spans="1:35" ht="15.6">
      <c r="A37" s="7"/>
      <c r="B37" s="721" t="s">
        <v>500</v>
      </c>
      <c r="C37" s="722">
        <v>1072.2</v>
      </c>
      <c r="D37" s="722">
        <v>1108.4000000000001</v>
      </c>
      <c r="E37" s="722">
        <v>1223.7</v>
      </c>
      <c r="F37" s="722">
        <v>1169.3</v>
      </c>
      <c r="G37" s="722">
        <v>1114</v>
      </c>
      <c r="H37" s="722">
        <v>2877.7</v>
      </c>
      <c r="I37" s="722">
        <v>5258.9</v>
      </c>
      <c r="J37" s="722">
        <v>5374.8</v>
      </c>
      <c r="K37" s="6"/>
      <c r="L37" s="6"/>
      <c r="M37" s="6"/>
      <c r="N37" s="6"/>
      <c r="O37" s="6"/>
      <c r="P37" s="6"/>
      <c r="Q37" s="6"/>
      <c r="R37" s="6"/>
      <c r="S37" s="7"/>
      <c r="T37" s="7"/>
      <c r="U37" s="7"/>
      <c r="V37" s="7"/>
      <c r="W37" s="7"/>
      <c r="X37" s="7"/>
      <c r="Y37" s="7"/>
      <c r="Z37" s="7"/>
      <c r="AA37" s="7"/>
      <c r="AB37" s="7"/>
      <c r="AC37" s="7"/>
      <c r="AD37" s="7"/>
      <c r="AE37" s="7"/>
      <c r="AF37" s="7"/>
      <c r="AG37" s="7"/>
      <c r="AH37" s="7"/>
      <c r="AI37" s="7"/>
    </row>
    <row r="38" spans="1:35" ht="15.6">
      <c r="A38" s="6"/>
      <c r="B38" s="723" t="s">
        <v>499</v>
      </c>
      <c r="C38" s="724">
        <v>1070.5</v>
      </c>
      <c r="D38" s="724">
        <v>1106.7</v>
      </c>
      <c r="E38" s="724">
        <v>1218</v>
      </c>
      <c r="F38" s="724">
        <v>1163.7</v>
      </c>
      <c r="G38" s="724">
        <v>1107.4000000000001</v>
      </c>
      <c r="H38" s="724">
        <v>2871.2</v>
      </c>
      <c r="I38" s="724">
        <v>5239.7</v>
      </c>
      <c r="J38" s="724">
        <v>5330.2</v>
      </c>
      <c r="K38" s="6"/>
      <c r="L38" s="6"/>
      <c r="M38" s="6"/>
      <c r="N38" s="6"/>
      <c r="O38" s="6"/>
      <c r="P38" s="6"/>
      <c r="Q38" s="6"/>
      <c r="R38" s="6"/>
      <c r="S38" s="6"/>
      <c r="T38" s="6"/>
      <c r="U38" s="6"/>
      <c r="V38" s="6"/>
      <c r="W38" s="6"/>
      <c r="X38" s="6"/>
      <c r="Y38" s="6"/>
      <c r="Z38" s="6"/>
      <c r="AA38" s="6"/>
      <c r="AB38" s="6"/>
      <c r="AC38" s="6"/>
      <c r="AD38" s="6"/>
      <c r="AE38" s="6"/>
      <c r="AF38" s="6"/>
      <c r="AG38" s="6"/>
      <c r="AH38" s="6"/>
      <c r="AI38" s="6"/>
    </row>
    <row r="39" spans="1:35" ht="15.6">
      <c r="A39" s="6"/>
      <c r="B39" s="725" t="s">
        <v>503</v>
      </c>
      <c r="C39" s="724">
        <v>1310.0999999999999</v>
      </c>
      <c r="D39" s="724">
        <v>1412.9</v>
      </c>
      <c r="E39" s="724">
        <v>1595.6</v>
      </c>
      <c r="F39" s="724">
        <v>1617.2</v>
      </c>
      <c r="G39" s="724">
        <v>1634.9</v>
      </c>
      <c r="H39" s="724">
        <v>3494.1</v>
      </c>
      <c r="I39" s="724">
        <v>6139.9</v>
      </c>
      <c r="J39" s="724">
        <v>6564.4</v>
      </c>
      <c r="K39" s="6"/>
      <c r="L39" s="6"/>
      <c r="M39" s="6"/>
      <c r="N39" s="6"/>
      <c r="O39" s="6"/>
      <c r="P39" s="6"/>
      <c r="Q39" s="6"/>
      <c r="R39" s="6"/>
      <c r="S39" s="6"/>
      <c r="T39" s="6"/>
      <c r="U39" s="6"/>
      <c r="V39" s="6"/>
      <c r="W39" s="6"/>
      <c r="X39" s="6"/>
      <c r="Y39" s="6"/>
      <c r="Z39" s="6"/>
      <c r="AA39" s="6"/>
      <c r="AB39" s="6"/>
      <c r="AC39" s="6"/>
      <c r="AD39" s="6"/>
      <c r="AE39" s="6"/>
      <c r="AF39" s="6"/>
      <c r="AG39" s="6"/>
      <c r="AH39" s="6"/>
      <c r="AI39" s="6"/>
    </row>
    <row r="40" spans="1:35" ht="15.6">
      <c r="A40" s="6"/>
      <c r="B40" s="725" t="s">
        <v>504</v>
      </c>
      <c r="C40" s="724">
        <v>-239.6</v>
      </c>
      <c r="D40" s="724">
        <v>-306.2</v>
      </c>
      <c r="E40" s="724">
        <v>-377.6</v>
      </c>
      <c r="F40" s="724">
        <v>-453.5</v>
      </c>
      <c r="G40" s="724">
        <v>-527.5</v>
      </c>
      <c r="H40" s="724">
        <v>-622.9</v>
      </c>
      <c r="I40" s="724">
        <v>-900.2</v>
      </c>
      <c r="J40" s="724">
        <v>-1234.0999999999999</v>
      </c>
      <c r="K40" s="6"/>
      <c r="L40" s="6"/>
      <c r="M40" s="6"/>
      <c r="N40" s="6"/>
      <c r="O40" s="6"/>
      <c r="P40" s="6"/>
      <c r="Q40" s="6"/>
      <c r="R40" s="6"/>
      <c r="S40" s="6"/>
      <c r="T40" s="6"/>
      <c r="U40" s="6"/>
      <c r="V40" s="6"/>
      <c r="W40" s="6"/>
      <c r="X40" s="6"/>
      <c r="Y40" s="6"/>
      <c r="Z40" s="6"/>
      <c r="AA40" s="6"/>
      <c r="AB40" s="6"/>
      <c r="AC40" s="6"/>
      <c r="AD40" s="6"/>
      <c r="AE40" s="6"/>
      <c r="AF40" s="6"/>
      <c r="AG40" s="6"/>
      <c r="AH40" s="6"/>
      <c r="AI40" s="6"/>
    </row>
    <row r="41" spans="1:35" ht="15.6">
      <c r="A41" s="6"/>
      <c r="B41" s="723" t="s">
        <v>505</v>
      </c>
      <c r="C41" s="724">
        <v>0</v>
      </c>
      <c r="D41" s="724">
        <v>0</v>
      </c>
      <c r="E41" s="724">
        <v>0</v>
      </c>
      <c r="F41" s="724">
        <v>0</v>
      </c>
      <c r="G41" s="724">
        <v>0</v>
      </c>
      <c r="H41" s="724">
        <v>0</v>
      </c>
      <c r="I41" s="724">
        <v>0</v>
      </c>
      <c r="J41" s="724">
        <v>27.8</v>
      </c>
      <c r="K41" s="6"/>
      <c r="L41" s="6"/>
      <c r="M41" s="6"/>
      <c r="N41" s="6"/>
      <c r="O41" s="6"/>
      <c r="P41" s="6"/>
      <c r="Q41" s="6"/>
      <c r="R41" s="6"/>
      <c r="S41" s="7"/>
      <c r="T41" s="7"/>
      <c r="U41" s="7"/>
      <c r="V41" s="7"/>
      <c r="W41" s="7"/>
      <c r="X41" s="7"/>
      <c r="Y41" s="7"/>
      <c r="Z41" s="7"/>
      <c r="AA41" s="7"/>
      <c r="AB41" s="7"/>
      <c r="AC41" s="7"/>
      <c r="AD41" s="7"/>
      <c r="AE41" s="7"/>
      <c r="AF41" s="7"/>
      <c r="AG41" s="7"/>
      <c r="AH41" s="7"/>
      <c r="AI41" s="7"/>
    </row>
    <row r="42" spans="1:35" ht="15.6">
      <c r="A42" s="6"/>
      <c r="B42" s="725" t="s">
        <v>503</v>
      </c>
      <c r="C42" s="724">
        <v>0</v>
      </c>
      <c r="D42" s="724">
        <v>0</v>
      </c>
      <c r="E42" s="724">
        <v>0</v>
      </c>
      <c r="F42" s="724">
        <v>0</v>
      </c>
      <c r="G42" s="724">
        <v>0</v>
      </c>
      <c r="H42" s="724">
        <v>0</v>
      </c>
      <c r="I42" s="724">
        <v>0</v>
      </c>
      <c r="J42" s="724">
        <v>28.1</v>
      </c>
      <c r="K42" s="6"/>
      <c r="L42" s="6">
        <f>L390</f>
        <v>0</v>
      </c>
      <c r="M42" s="6"/>
      <c r="N42" s="6"/>
      <c r="O42" s="6"/>
      <c r="P42" s="6"/>
      <c r="Q42" s="6"/>
      <c r="R42" s="6"/>
      <c r="S42" s="6"/>
      <c r="T42" s="6"/>
      <c r="U42" s="6"/>
      <c r="V42" s="6"/>
      <c r="W42" s="6"/>
      <c r="X42" s="6"/>
      <c r="Y42" s="6"/>
      <c r="Z42" s="6"/>
      <c r="AA42" s="6"/>
      <c r="AB42" s="6"/>
      <c r="AC42" s="6"/>
      <c r="AD42" s="6"/>
      <c r="AE42" s="6"/>
      <c r="AF42" s="6"/>
      <c r="AG42" s="6"/>
      <c r="AH42" s="6"/>
      <c r="AI42" s="6"/>
    </row>
    <row r="43" spans="1:35" ht="15.6">
      <c r="A43" s="6"/>
      <c r="B43" s="725" t="s">
        <v>504</v>
      </c>
      <c r="C43" s="724">
        <v>0</v>
      </c>
      <c r="D43" s="724">
        <v>0</v>
      </c>
      <c r="E43" s="724">
        <v>0</v>
      </c>
      <c r="F43" s="724">
        <v>0</v>
      </c>
      <c r="G43" s="724">
        <v>0</v>
      </c>
      <c r="H43" s="724">
        <v>0</v>
      </c>
      <c r="I43" s="724">
        <v>0</v>
      </c>
      <c r="J43" s="724">
        <v>-0.3</v>
      </c>
      <c r="K43" s="6"/>
      <c r="L43" s="6"/>
      <c r="M43" s="6"/>
      <c r="N43" s="6"/>
      <c r="O43" s="6"/>
      <c r="P43" s="6"/>
      <c r="Q43" s="6"/>
      <c r="R43" s="6"/>
      <c r="S43" s="6"/>
      <c r="T43" s="6"/>
      <c r="U43" s="6"/>
      <c r="V43" s="6"/>
      <c r="W43" s="6"/>
      <c r="X43" s="6"/>
      <c r="Y43" s="6"/>
      <c r="Z43" s="6"/>
      <c r="AA43" s="6"/>
      <c r="AB43" s="6"/>
      <c r="AC43" s="6"/>
      <c r="AD43" s="6"/>
      <c r="AE43" s="6"/>
      <c r="AF43" s="6"/>
      <c r="AG43" s="6"/>
      <c r="AH43" s="6"/>
      <c r="AI43" s="6"/>
    </row>
    <row r="44" spans="1:35" ht="15.6">
      <c r="A44" s="6"/>
      <c r="B44" s="723" t="s">
        <v>506</v>
      </c>
      <c r="C44" s="724">
        <v>1.7</v>
      </c>
      <c r="D44" s="724">
        <v>1.7</v>
      </c>
      <c r="E44" s="724">
        <v>5.7</v>
      </c>
      <c r="F44" s="724">
        <v>5.6</v>
      </c>
      <c r="G44" s="724">
        <v>6.6</v>
      </c>
      <c r="H44" s="724">
        <v>6.4</v>
      </c>
      <c r="I44" s="724">
        <v>19.2</v>
      </c>
      <c r="J44" s="724">
        <v>16.7</v>
      </c>
      <c r="K44" s="6"/>
      <c r="L44" s="6"/>
      <c r="M44" s="6"/>
      <c r="N44" s="6"/>
      <c r="O44" s="6"/>
      <c r="P44" s="6"/>
      <c r="Q44" s="6"/>
      <c r="R44" s="6"/>
      <c r="S44" s="7"/>
      <c r="T44" s="7"/>
      <c r="U44" s="7"/>
      <c r="V44" s="7"/>
      <c r="W44" s="7"/>
      <c r="X44" s="7"/>
      <c r="Y44" s="7"/>
      <c r="Z44" s="7"/>
      <c r="AA44" s="7"/>
      <c r="AB44" s="7"/>
      <c r="AC44" s="7"/>
      <c r="AD44" s="7"/>
      <c r="AE44" s="7"/>
      <c r="AF44" s="7"/>
      <c r="AG44" s="7"/>
      <c r="AH44" s="7"/>
      <c r="AI44" s="7"/>
    </row>
    <row r="45" spans="1:35" ht="15.6">
      <c r="A45" s="6"/>
      <c r="B45" s="725" t="s">
        <v>503</v>
      </c>
      <c r="C45" s="724">
        <v>2</v>
      </c>
      <c r="D45" s="724">
        <v>2</v>
      </c>
      <c r="E45" s="724">
        <v>6.2</v>
      </c>
      <c r="F45" s="724">
        <v>6.4</v>
      </c>
      <c r="G45" s="724">
        <v>7.5</v>
      </c>
      <c r="H45" s="724">
        <v>7.4</v>
      </c>
      <c r="I45" s="724">
        <v>21.1</v>
      </c>
      <c r="J45" s="724">
        <v>21.3</v>
      </c>
      <c r="K45" s="6"/>
      <c r="L45" s="6"/>
      <c r="M45" s="6"/>
      <c r="N45" s="6"/>
      <c r="O45" s="6"/>
      <c r="P45" s="6"/>
      <c r="Q45" s="6"/>
      <c r="R45" s="6"/>
      <c r="S45" s="6"/>
      <c r="T45" s="6"/>
      <c r="U45" s="6"/>
      <c r="V45" s="6"/>
      <c r="W45" s="6"/>
      <c r="X45" s="6"/>
      <c r="Y45" s="6"/>
      <c r="Z45" s="6"/>
      <c r="AA45" s="6"/>
      <c r="AB45" s="6"/>
      <c r="AC45" s="6"/>
      <c r="AD45" s="6"/>
      <c r="AE45" s="6"/>
      <c r="AF45" s="6"/>
      <c r="AG45" s="6"/>
      <c r="AH45" s="6"/>
      <c r="AI45" s="6"/>
    </row>
    <row r="46" spans="1:35" ht="15.6">
      <c r="A46" s="6"/>
      <c r="B46" s="725" t="s">
        <v>504</v>
      </c>
      <c r="C46" s="724">
        <v>-0.3</v>
      </c>
      <c r="D46" s="724">
        <v>-0.3</v>
      </c>
      <c r="E46" s="724">
        <v>-0.5</v>
      </c>
      <c r="F46" s="724">
        <v>-0.7</v>
      </c>
      <c r="G46" s="724">
        <v>-0.9</v>
      </c>
      <c r="H46" s="724">
        <v>-1</v>
      </c>
      <c r="I46" s="724">
        <v>-1.9</v>
      </c>
      <c r="J46" s="724">
        <v>-4.5999999999999996</v>
      </c>
      <c r="K46" s="6"/>
      <c r="L46" s="6"/>
      <c r="M46" s="6"/>
      <c r="N46" s="6"/>
      <c r="O46" s="6"/>
      <c r="P46" s="6"/>
      <c r="Q46" s="6"/>
      <c r="R46" s="6"/>
      <c r="S46" s="6"/>
      <c r="T46" s="6"/>
      <c r="U46" s="6"/>
      <c r="V46" s="6"/>
      <c r="W46" s="6"/>
      <c r="X46" s="6"/>
      <c r="Y46" s="6"/>
      <c r="Z46" s="6"/>
      <c r="AA46" s="6"/>
      <c r="AB46" s="6"/>
      <c r="AC46" s="6"/>
      <c r="AD46" s="6"/>
      <c r="AE46" s="6"/>
      <c r="AF46" s="6"/>
      <c r="AG46" s="6"/>
      <c r="AH46" s="6"/>
      <c r="AI46" s="6"/>
    </row>
    <row r="47" spans="1:35" ht="15.75" customHeight="1">
      <c r="A47" s="7"/>
      <c r="B47" s="721" t="s">
        <v>507</v>
      </c>
      <c r="C47" s="722">
        <v>0</v>
      </c>
      <c r="D47" s="722">
        <v>0</v>
      </c>
      <c r="E47" s="722">
        <v>0</v>
      </c>
      <c r="F47" s="722">
        <v>0</v>
      </c>
      <c r="G47" s="722">
        <v>0</v>
      </c>
      <c r="H47" s="722">
        <v>0</v>
      </c>
      <c r="I47" s="722">
        <v>0</v>
      </c>
      <c r="J47" s="722">
        <v>0</v>
      </c>
      <c r="K47" s="6"/>
      <c r="L47" s="6"/>
      <c r="M47" s="6"/>
      <c r="N47" s="6"/>
      <c r="O47" s="6"/>
      <c r="P47" s="6"/>
      <c r="Q47" s="6"/>
      <c r="R47" s="6"/>
      <c r="S47" s="7"/>
      <c r="T47" s="7"/>
      <c r="U47" s="7"/>
      <c r="V47" s="7"/>
      <c r="W47" s="7"/>
      <c r="X47" s="7"/>
      <c r="Y47" s="7"/>
      <c r="Z47" s="7"/>
      <c r="AA47" s="7"/>
      <c r="AB47" s="7"/>
      <c r="AC47" s="7"/>
      <c r="AD47" s="7"/>
      <c r="AE47" s="7"/>
      <c r="AF47" s="7"/>
      <c r="AG47" s="7"/>
      <c r="AH47" s="7"/>
      <c r="AI47" s="7"/>
    </row>
    <row r="48" spans="1:35" ht="15.6">
      <c r="A48" s="6"/>
      <c r="B48" s="725" t="s">
        <v>508</v>
      </c>
      <c r="C48" s="724">
        <v>0</v>
      </c>
      <c r="D48" s="724">
        <v>0</v>
      </c>
      <c r="E48" s="724">
        <v>0</v>
      </c>
      <c r="F48" s="724">
        <v>0</v>
      </c>
      <c r="G48" s="724">
        <v>0</v>
      </c>
      <c r="H48" s="724">
        <v>0</v>
      </c>
      <c r="I48" s="724">
        <v>0</v>
      </c>
      <c r="J48" s="724">
        <v>0</v>
      </c>
      <c r="K48" s="6"/>
      <c r="L48" s="6"/>
      <c r="M48" s="6"/>
      <c r="N48" s="6"/>
      <c r="O48" s="6"/>
      <c r="P48" s="6"/>
      <c r="Q48" s="6"/>
      <c r="R48" s="6"/>
      <c r="S48" s="6"/>
      <c r="T48" s="6"/>
      <c r="U48" s="6"/>
      <c r="V48" s="6"/>
      <c r="W48" s="6"/>
      <c r="X48" s="6"/>
      <c r="Y48" s="6"/>
      <c r="Z48" s="6"/>
      <c r="AA48" s="6"/>
      <c r="AB48" s="6"/>
      <c r="AC48" s="6"/>
      <c r="AD48" s="6"/>
      <c r="AE48" s="6"/>
      <c r="AF48" s="6"/>
      <c r="AG48" s="6"/>
      <c r="AH48" s="6"/>
      <c r="AI48" s="6"/>
    </row>
    <row r="49" spans="1:35" ht="15.6">
      <c r="A49" s="6"/>
      <c r="B49" s="725" t="s">
        <v>509</v>
      </c>
      <c r="C49" s="724">
        <v>0</v>
      </c>
      <c r="D49" s="724">
        <v>0</v>
      </c>
      <c r="E49" s="724">
        <v>0</v>
      </c>
      <c r="F49" s="724">
        <v>0</v>
      </c>
      <c r="G49" s="724">
        <v>0</v>
      </c>
      <c r="H49" s="724">
        <v>0</v>
      </c>
      <c r="I49" s="724">
        <v>0</v>
      </c>
      <c r="J49" s="724">
        <v>0</v>
      </c>
      <c r="K49" s="6"/>
      <c r="L49" s="6"/>
      <c r="M49" s="6"/>
      <c r="N49" s="6"/>
      <c r="O49" s="6"/>
      <c r="P49" s="6"/>
      <c r="Q49" s="6"/>
      <c r="R49" s="6"/>
      <c r="S49" s="6"/>
      <c r="T49" s="6"/>
      <c r="U49" s="6"/>
      <c r="V49" s="6"/>
      <c r="W49" s="6"/>
      <c r="X49" s="6"/>
      <c r="Y49" s="6"/>
      <c r="Z49" s="6"/>
      <c r="AA49" s="6"/>
      <c r="AB49" s="6"/>
      <c r="AC49" s="6"/>
      <c r="AD49" s="6"/>
      <c r="AE49" s="6"/>
      <c r="AF49" s="6"/>
      <c r="AG49" s="6"/>
      <c r="AH49" s="6"/>
      <c r="AI49" s="6"/>
    </row>
    <row r="50" spans="1:35" ht="15.6">
      <c r="A50" s="7"/>
      <c r="B50" s="721" t="s">
        <v>510</v>
      </c>
      <c r="C50" s="722">
        <v>136.9</v>
      </c>
      <c r="D50" s="722">
        <v>119.6</v>
      </c>
      <c r="E50" s="722">
        <v>135.19999999999999</v>
      </c>
      <c r="F50" s="722">
        <v>5.6</v>
      </c>
      <c r="G50" s="722">
        <v>18</v>
      </c>
      <c r="H50" s="722">
        <v>215.8</v>
      </c>
      <c r="I50" s="722">
        <v>262.8</v>
      </c>
      <c r="J50" s="722">
        <v>541.4</v>
      </c>
      <c r="K50" s="6"/>
      <c r="L50" s="6"/>
      <c r="M50" s="6"/>
      <c r="N50" s="6"/>
      <c r="O50" s="6"/>
      <c r="P50" s="6"/>
      <c r="Q50" s="6"/>
      <c r="R50" s="6"/>
      <c r="S50" s="7"/>
      <c r="T50" s="7"/>
      <c r="U50" s="7"/>
      <c r="V50" s="7"/>
      <c r="W50" s="7"/>
      <c r="X50" s="7"/>
      <c r="Y50" s="7"/>
      <c r="Z50" s="7"/>
      <c r="AA50" s="7"/>
      <c r="AB50" s="7"/>
      <c r="AC50" s="7"/>
      <c r="AD50" s="7"/>
      <c r="AE50" s="7"/>
      <c r="AF50" s="7"/>
      <c r="AG50" s="7"/>
      <c r="AH50" s="7"/>
      <c r="AI50" s="7"/>
    </row>
    <row r="51" spans="1:35" ht="15.6">
      <c r="A51" s="6"/>
      <c r="B51" s="723" t="s">
        <v>511</v>
      </c>
      <c r="C51" s="724">
        <v>0</v>
      </c>
      <c r="D51" s="724">
        <v>0</v>
      </c>
      <c r="E51" s="724">
        <v>0</v>
      </c>
      <c r="F51" s="724">
        <v>0</v>
      </c>
      <c r="G51" s="724">
        <v>0</v>
      </c>
      <c r="H51" s="724">
        <v>0</v>
      </c>
      <c r="I51" s="724">
        <v>0</v>
      </c>
      <c r="J51" s="724">
        <v>0</v>
      </c>
      <c r="K51" s="6"/>
      <c r="L51" s="6"/>
      <c r="M51" s="6"/>
      <c r="N51" s="6"/>
      <c r="O51" s="6"/>
      <c r="P51" s="6"/>
      <c r="Q51" s="6"/>
      <c r="R51" s="6"/>
      <c r="S51" s="6"/>
      <c r="T51" s="6"/>
      <c r="U51" s="6"/>
      <c r="V51" s="6"/>
      <c r="W51" s="6"/>
      <c r="X51" s="6"/>
      <c r="Y51" s="6"/>
      <c r="Z51" s="6"/>
      <c r="AA51" s="6"/>
      <c r="AB51" s="6"/>
      <c r="AC51" s="6"/>
      <c r="AD51" s="6"/>
      <c r="AE51" s="6"/>
      <c r="AF51" s="6"/>
      <c r="AG51" s="6"/>
      <c r="AH51" s="6"/>
      <c r="AI51" s="6"/>
    </row>
    <row r="52" spans="1:35" ht="15.6">
      <c r="A52" s="6"/>
      <c r="B52" s="723" t="s">
        <v>512</v>
      </c>
      <c r="C52" s="724">
        <v>136.9</v>
      </c>
      <c r="D52" s="724">
        <v>119.6</v>
      </c>
      <c r="E52" s="724">
        <v>135.19999999999999</v>
      </c>
      <c r="F52" s="724">
        <v>5.6</v>
      </c>
      <c r="G52" s="724">
        <v>18</v>
      </c>
      <c r="H52" s="724">
        <v>215.8</v>
      </c>
      <c r="I52" s="724">
        <v>262.8</v>
      </c>
      <c r="J52" s="724">
        <v>541.4</v>
      </c>
      <c r="K52" s="6"/>
      <c r="L52" s="6"/>
      <c r="M52" s="6"/>
      <c r="N52" s="6"/>
      <c r="O52" s="6"/>
      <c r="P52" s="6"/>
      <c r="Q52" s="6"/>
      <c r="R52" s="6"/>
      <c r="S52" s="6"/>
      <c r="T52" s="6"/>
      <c r="U52" s="6"/>
      <c r="V52" s="6"/>
      <c r="W52" s="6"/>
      <c r="X52" s="6"/>
      <c r="Y52" s="6"/>
      <c r="Z52" s="6"/>
      <c r="AA52" s="6"/>
      <c r="AB52" s="6"/>
      <c r="AC52" s="6"/>
      <c r="AD52" s="6"/>
      <c r="AE52" s="6"/>
      <c r="AF52" s="6"/>
      <c r="AG52" s="6"/>
      <c r="AH52" s="6"/>
      <c r="AI52" s="6"/>
    </row>
    <row r="53" spans="1:35" ht="15.6">
      <c r="A53" s="7"/>
      <c r="B53" s="721" t="s">
        <v>513</v>
      </c>
      <c r="C53" s="722">
        <v>72.5</v>
      </c>
      <c r="D53" s="722">
        <v>0.7</v>
      </c>
      <c r="E53" s="722">
        <v>0.9</v>
      </c>
      <c r="F53" s="722">
        <v>0.2</v>
      </c>
      <c r="G53" s="722">
        <v>0</v>
      </c>
      <c r="H53" s="722">
        <v>0</v>
      </c>
      <c r="I53" s="722">
        <v>2.6</v>
      </c>
      <c r="J53" s="722">
        <v>0</v>
      </c>
      <c r="K53" s="6"/>
      <c r="L53" s="6"/>
      <c r="M53" s="6"/>
      <c r="N53" s="6"/>
      <c r="O53" s="6"/>
      <c r="P53" s="6"/>
      <c r="Q53" s="6"/>
      <c r="R53" s="6"/>
      <c r="S53" s="7"/>
      <c r="T53" s="7"/>
      <c r="U53" s="7"/>
      <c r="V53" s="7"/>
      <c r="W53" s="7"/>
      <c r="X53" s="7"/>
      <c r="Y53" s="7"/>
      <c r="Z53" s="7"/>
      <c r="AA53" s="7"/>
      <c r="AB53" s="7"/>
      <c r="AC53" s="7"/>
      <c r="AD53" s="7"/>
      <c r="AE53" s="7"/>
      <c r="AF53" s="7"/>
      <c r="AG53" s="7"/>
      <c r="AH53" s="7"/>
      <c r="AI53" s="7"/>
    </row>
    <row r="54" spans="1:35" ht="15.6">
      <c r="A54" s="6"/>
      <c r="B54" s="723" t="s">
        <v>514</v>
      </c>
      <c r="C54" s="724">
        <v>0</v>
      </c>
      <c r="D54" s="724">
        <v>0</v>
      </c>
      <c r="E54" s="724">
        <v>0</v>
      </c>
      <c r="F54" s="724">
        <v>0</v>
      </c>
      <c r="G54" s="724">
        <v>0</v>
      </c>
      <c r="H54" s="724">
        <v>0</v>
      </c>
      <c r="I54" s="724">
        <v>0</v>
      </c>
      <c r="J54" s="724">
        <v>0</v>
      </c>
      <c r="K54" s="6"/>
      <c r="L54" s="6"/>
      <c r="M54" s="6"/>
      <c r="N54" s="6"/>
      <c r="O54" s="6"/>
      <c r="P54" s="6"/>
      <c r="Q54" s="6"/>
      <c r="R54" s="6"/>
      <c r="S54" s="6"/>
      <c r="T54" s="6"/>
      <c r="U54" s="6"/>
      <c r="V54" s="6"/>
      <c r="W54" s="6"/>
      <c r="X54" s="6"/>
      <c r="Y54" s="6"/>
      <c r="Z54" s="6"/>
      <c r="AA54" s="6"/>
      <c r="AB54" s="6"/>
      <c r="AC54" s="6"/>
      <c r="AD54" s="6"/>
      <c r="AE54" s="6"/>
      <c r="AF54" s="6"/>
      <c r="AG54" s="6"/>
      <c r="AH54" s="6"/>
      <c r="AI54" s="6"/>
    </row>
    <row r="55" spans="1:35" ht="15.6">
      <c r="A55" s="6"/>
      <c r="B55" s="723" t="s">
        <v>515</v>
      </c>
      <c r="C55" s="724">
        <v>68.900000000000006</v>
      </c>
      <c r="D55" s="724">
        <v>0</v>
      </c>
      <c r="E55" s="724">
        <v>0</v>
      </c>
      <c r="F55" s="724">
        <v>0</v>
      </c>
      <c r="G55" s="724">
        <v>0</v>
      </c>
      <c r="H55" s="724">
        <v>0</v>
      </c>
      <c r="I55" s="724">
        <v>0</v>
      </c>
      <c r="J55" s="724">
        <v>0</v>
      </c>
      <c r="K55" s="6"/>
      <c r="L55" s="6"/>
      <c r="M55" s="6"/>
      <c r="N55" s="6"/>
      <c r="O55" s="6"/>
      <c r="P55" s="6"/>
      <c r="Q55" s="6"/>
      <c r="R55" s="6"/>
      <c r="S55" s="6"/>
      <c r="T55" s="6"/>
      <c r="U55" s="6"/>
      <c r="V55" s="6"/>
      <c r="W55" s="6"/>
      <c r="X55" s="6"/>
      <c r="Y55" s="6"/>
      <c r="Z55" s="6"/>
      <c r="AA55" s="6"/>
      <c r="AB55" s="6"/>
      <c r="AC55" s="6"/>
      <c r="AD55" s="6"/>
      <c r="AE55" s="6"/>
      <c r="AF55" s="6"/>
      <c r="AG55" s="6"/>
      <c r="AH55" s="6"/>
      <c r="AI55" s="6"/>
    </row>
    <row r="56" spans="1:35" ht="15.6">
      <c r="A56" s="6"/>
      <c r="B56" s="723" t="s">
        <v>516</v>
      </c>
      <c r="C56" s="724">
        <v>3.7</v>
      </c>
      <c r="D56" s="724">
        <v>0.7</v>
      </c>
      <c r="E56" s="724">
        <v>0.9</v>
      </c>
      <c r="F56" s="724">
        <v>0.2</v>
      </c>
      <c r="G56" s="724">
        <v>0</v>
      </c>
      <c r="H56" s="724">
        <v>0</v>
      </c>
      <c r="I56" s="724">
        <v>2.6</v>
      </c>
      <c r="J56" s="724">
        <v>0</v>
      </c>
      <c r="K56" s="6"/>
      <c r="L56" s="6"/>
      <c r="M56" s="6"/>
      <c r="N56" s="6"/>
      <c r="O56" s="6"/>
      <c r="P56" s="6"/>
      <c r="Q56" s="6"/>
      <c r="R56" s="6"/>
      <c r="S56" s="6"/>
      <c r="T56" s="6"/>
      <c r="U56" s="6"/>
      <c r="V56" s="6"/>
      <c r="W56" s="6"/>
      <c r="X56" s="6"/>
      <c r="Y56" s="6"/>
      <c r="Z56" s="6"/>
      <c r="AA56" s="6"/>
      <c r="AB56" s="6"/>
      <c r="AC56" s="6"/>
      <c r="AD56" s="6"/>
      <c r="AE56" s="6"/>
      <c r="AF56" s="6"/>
      <c r="AG56" s="6"/>
      <c r="AH56" s="6"/>
      <c r="AI56" s="6"/>
    </row>
    <row r="57" spans="1:35" ht="15.6">
      <c r="A57" s="6"/>
      <c r="B57" s="723" t="s">
        <v>517</v>
      </c>
      <c r="C57" s="724">
        <v>0</v>
      </c>
      <c r="D57" s="724">
        <v>0</v>
      </c>
      <c r="E57" s="724">
        <v>0</v>
      </c>
      <c r="F57" s="724">
        <v>0</v>
      </c>
      <c r="G57" s="724">
        <v>0</v>
      </c>
      <c r="H57" s="724">
        <v>0</v>
      </c>
      <c r="I57" s="724">
        <v>0</v>
      </c>
      <c r="J57" s="724">
        <v>0</v>
      </c>
      <c r="K57" s="6"/>
      <c r="L57" s="6"/>
      <c r="M57" s="6"/>
      <c r="N57" s="6"/>
      <c r="O57" s="6"/>
      <c r="P57" s="6"/>
      <c r="Q57" s="6"/>
      <c r="R57" s="6"/>
      <c r="S57" s="6"/>
      <c r="T57" s="6"/>
      <c r="U57" s="6"/>
      <c r="V57" s="6"/>
      <c r="W57" s="6"/>
      <c r="X57" s="6"/>
      <c r="Y57" s="6"/>
      <c r="Z57" s="6"/>
      <c r="AA57" s="6"/>
      <c r="AB57" s="6"/>
      <c r="AC57" s="6"/>
      <c r="AD57" s="6"/>
      <c r="AE57" s="6"/>
      <c r="AF57" s="6"/>
      <c r="AG57" s="6"/>
      <c r="AH57" s="6"/>
      <c r="AI57" s="6"/>
    </row>
    <row r="58" spans="1:35" ht="15.6">
      <c r="A58" s="6"/>
      <c r="B58" s="723" t="s">
        <v>518</v>
      </c>
      <c r="C58" s="724">
        <v>0</v>
      </c>
      <c r="D58" s="724">
        <v>0</v>
      </c>
      <c r="E58" s="724">
        <v>0</v>
      </c>
      <c r="F58" s="724">
        <v>0</v>
      </c>
      <c r="G58" s="724">
        <v>0</v>
      </c>
      <c r="H58" s="724">
        <v>0</v>
      </c>
      <c r="I58" s="724">
        <v>0</v>
      </c>
      <c r="J58" s="724">
        <v>0</v>
      </c>
      <c r="K58" s="6"/>
      <c r="L58" s="6"/>
      <c r="M58" s="6"/>
      <c r="N58" s="6"/>
      <c r="O58" s="6"/>
      <c r="P58" s="6"/>
      <c r="Q58" s="6"/>
      <c r="R58" s="6"/>
      <c r="S58" s="6"/>
      <c r="T58" s="6"/>
      <c r="U58" s="6"/>
      <c r="V58" s="6"/>
      <c r="W58" s="6"/>
      <c r="X58" s="6"/>
      <c r="Y58" s="6"/>
      <c r="Z58" s="6"/>
      <c r="AA58" s="6"/>
      <c r="AB58" s="6"/>
      <c r="AC58" s="6"/>
      <c r="AD58" s="6"/>
      <c r="AE58" s="6"/>
      <c r="AF58" s="6"/>
      <c r="AG58" s="6"/>
      <c r="AH58" s="6"/>
      <c r="AI58" s="6"/>
    </row>
    <row r="59" spans="1:35" ht="15.6">
      <c r="A59" s="7"/>
      <c r="B59" s="721" t="s">
        <v>519</v>
      </c>
      <c r="C59" s="722">
        <v>38.4</v>
      </c>
      <c r="D59" s="722">
        <v>46.7</v>
      </c>
      <c r="E59" s="722">
        <v>40.9</v>
      </c>
      <c r="F59" s="722">
        <v>34</v>
      </c>
      <c r="G59" s="722">
        <v>29.8</v>
      </c>
      <c r="H59" s="722">
        <v>36.5</v>
      </c>
      <c r="I59" s="722">
        <v>47.9</v>
      </c>
      <c r="J59" s="722">
        <v>51.8</v>
      </c>
      <c r="K59" s="6"/>
      <c r="L59" s="6"/>
      <c r="M59" s="6"/>
      <c r="N59" s="6"/>
      <c r="O59" s="6"/>
      <c r="P59" s="6"/>
      <c r="Q59" s="6"/>
      <c r="R59" s="6"/>
      <c r="S59" s="7"/>
      <c r="T59" s="7"/>
      <c r="U59" s="7"/>
      <c r="V59" s="7"/>
      <c r="W59" s="7"/>
      <c r="X59" s="7"/>
      <c r="Y59" s="7"/>
      <c r="Z59" s="7"/>
      <c r="AA59" s="7"/>
      <c r="AB59" s="7"/>
      <c r="AC59" s="7"/>
      <c r="AD59" s="7"/>
      <c r="AE59" s="7"/>
      <c r="AF59" s="7"/>
      <c r="AG59" s="7"/>
      <c r="AH59" s="7"/>
      <c r="AI59" s="7"/>
    </row>
    <row r="60" spans="1:35" ht="15.6">
      <c r="A60" s="6"/>
      <c r="B60" s="723" t="s">
        <v>520</v>
      </c>
      <c r="C60" s="724">
        <v>28.4</v>
      </c>
      <c r="D60" s="724">
        <v>21.4</v>
      </c>
      <c r="E60" s="724">
        <v>19.5</v>
      </c>
      <c r="F60" s="724">
        <v>16.7</v>
      </c>
      <c r="G60" s="724">
        <v>14.8</v>
      </c>
      <c r="H60" s="724">
        <v>22.3</v>
      </c>
      <c r="I60" s="724">
        <v>35.299999999999997</v>
      </c>
      <c r="J60" s="724">
        <v>40.5</v>
      </c>
      <c r="K60" s="6"/>
      <c r="L60" s="6"/>
      <c r="M60" s="6"/>
      <c r="N60" s="6"/>
      <c r="O60" s="6"/>
      <c r="P60" s="6"/>
      <c r="Q60" s="6"/>
      <c r="R60" s="6"/>
      <c r="S60" s="6"/>
      <c r="T60" s="6"/>
      <c r="U60" s="6"/>
      <c r="V60" s="6"/>
      <c r="W60" s="6"/>
      <c r="X60" s="6"/>
      <c r="Y60" s="6"/>
      <c r="Z60" s="6"/>
      <c r="AA60" s="6"/>
      <c r="AB60" s="6"/>
      <c r="AC60" s="6"/>
      <c r="AD60" s="6"/>
      <c r="AE60" s="6"/>
      <c r="AF60" s="6"/>
      <c r="AG60" s="6"/>
      <c r="AH60" s="6"/>
      <c r="AI60" s="6"/>
    </row>
    <row r="61" spans="1:35" ht="15.6">
      <c r="A61" s="6"/>
      <c r="B61" s="723" t="s">
        <v>521</v>
      </c>
      <c r="C61" s="724">
        <v>4.7</v>
      </c>
      <c r="D61" s="724">
        <v>6.5</v>
      </c>
      <c r="E61" s="724">
        <v>6.7</v>
      </c>
      <c r="F61" s="724">
        <v>5</v>
      </c>
      <c r="G61" s="724">
        <v>5.3</v>
      </c>
      <c r="H61" s="724">
        <v>6.2</v>
      </c>
      <c r="I61" s="724">
        <v>6.5</v>
      </c>
      <c r="J61" s="724">
        <v>7</v>
      </c>
      <c r="K61" s="6"/>
      <c r="L61" s="6"/>
      <c r="M61" s="6"/>
      <c r="N61" s="6"/>
      <c r="O61" s="6"/>
      <c r="P61" s="6"/>
      <c r="Q61" s="6"/>
      <c r="R61" s="6"/>
      <c r="S61" s="6"/>
      <c r="T61" s="6"/>
      <c r="U61" s="6"/>
      <c r="V61" s="6"/>
      <c r="W61" s="6"/>
      <c r="X61" s="6"/>
      <c r="Y61" s="6"/>
      <c r="Z61" s="6"/>
      <c r="AA61" s="6"/>
      <c r="AB61" s="6"/>
      <c r="AC61" s="6"/>
      <c r="AD61" s="6"/>
      <c r="AE61" s="6"/>
      <c r="AF61" s="6"/>
      <c r="AG61" s="6"/>
      <c r="AH61" s="6"/>
      <c r="AI61" s="6"/>
    </row>
    <row r="62" spans="1:35" ht="15.6">
      <c r="A62" s="6"/>
      <c r="B62" s="723" t="s">
        <v>522</v>
      </c>
      <c r="C62" s="724">
        <v>0</v>
      </c>
      <c r="D62" s="724">
        <v>0</v>
      </c>
      <c r="E62" s="724">
        <v>0</v>
      </c>
      <c r="F62" s="724">
        <v>0</v>
      </c>
      <c r="G62" s="724">
        <v>0</v>
      </c>
      <c r="H62" s="724">
        <v>0</v>
      </c>
      <c r="I62" s="724">
        <v>0</v>
      </c>
      <c r="J62" s="724">
        <v>0</v>
      </c>
      <c r="K62" s="6"/>
      <c r="L62" s="6"/>
      <c r="M62" s="6"/>
      <c r="N62" s="6"/>
      <c r="O62" s="6"/>
      <c r="P62" s="6"/>
      <c r="Q62" s="6"/>
      <c r="R62" s="6"/>
      <c r="S62" s="6"/>
      <c r="T62" s="6"/>
      <c r="U62" s="6"/>
      <c r="V62" s="6"/>
      <c r="W62" s="6"/>
      <c r="X62" s="6"/>
      <c r="Y62" s="6"/>
      <c r="Z62" s="6"/>
      <c r="AA62" s="6"/>
      <c r="AB62" s="6"/>
      <c r="AC62" s="6"/>
      <c r="AD62" s="6"/>
      <c r="AE62" s="6"/>
      <c r="AF62" s="6"/>
      <c r="AG62" s="6"/>
      <c r="AH62" s="6"/>
      <c r="AI62" s="6"/>
    </row>
    <row r="63" spans="1:35" ht="15.6">
      <c r="A63" s="6"/>
      <c r="B63" s="723" t="s">
        <v>523</v>
      </c>
      <c r="C63" s="724">
        <v>1.8</v>
      </c>
      <c r="D63" s="724">
        <v>1.8</v>
      </c>
      <c r="E63" s="724">
        <v>0</v>
      </c>
      <c r="F63" s="724">
        <v>0</v>
      </c>
      <c r="G63" s="724">
        <v>0</v>
      </c>
      <c r="H63" s="724">
        <v>0</v>
      </c>
      <c r="I63" s="724">
        <v>0</v>
      </c>
      <c r="J63" s="724">
        <v>0</v>
      </c>
      <c r="K63" s="6"/>
      <c r="L63" s="6"/>
      <c r="M63" s="6"/>
      <c r="N63" s="6"/>
      <c r="O63" s="6"/>
      <c r="P63" s="6"/>
      <c r="Q63" s="6"/>
      <c r="R63" s="6"/>
      <c r="S63" s="6"/>
      <c r="T63" s="6"/>
      <c r="U63" s="6"/>
      <c r="V63" s="6"/>
      <c r="W63" s="6"/>
      <c r="X63" s="6"/>
      <c r="Y63" s="6"/>
      <c r="Z63" s="6"/>
      <c r="AA63" s="6"/>
      <c r="AB63" s="6"/>
      <c r="AC63" s="6"/>
      <c r="AD63" s="6"/>
      <c r="AE63" s="6"/>
      <c r="AF63" s="6"/>
      <c r="AG63" s="6"/>
      <c r="AH63" s="6"/>
      <c r="AI63" s="6"/>
    </row>
    <row r="64" spans="1:35" ht="15.6">
      <c r="A64" s="6"/>
      <c r="B64" s="723" t="s">
        <v>524</v>
      </c>
      <c r="C64" s="724">
        <v>3.5</v>
      </c>
      <c r="D64" s="724">
        <v>16.899999999999999</v>
      </c>
      <c r="E64" s="724">
        <v>14.6</v>
      </c>
      <c r="F64" s="724">
        <v>12.3</v>
      </c>
      <c r="G64" s="724">
        <v>9.6999999999999993</v>
      </c>
      <c r="H64" s="724">
        <v>7.9</v>
      </c>
      <c r="I64" s="724">
        <v>6.1</v>
      </c>
      <c r="J64" s="724">
        <v>4.3</v>
      </c>
      <c r="K64" s="6"/>
      <c r="L64" s="6"/>
      <c r="M64" s="6"/>
      <c r="N64" s="6"/>
      <c r="O64" s="6"/>
      <c r="P64" s="6"/>
      <c r="Q64" s="6"/>
      <c r="R64" s="6"/>
      <c r="S64" s="6"/>
      <c r="T64" s="6"/>
      <c r="U64" s="6"/>
      <c r="V64" s="6"/>
      <c r="W64" s="6"/>
      <c r="X64" s="6"/>
      <c r="Y64" s="6"/>
      <c r="Z64" s="6"/>
      <c r="AA64" s="6"/>
      <c r="AB64" s="6"/>
      <c r="AC64" s="6"/>
      <c r="AD64" s="6"/>
      <c r="AE64" s="6"/>
      <c r="AF64" s="6"/>
      <c r="AG64" s="6"/>
      <c r="AH64" s="6"/>
      <c r="AI64" s="6"/>
    </row>
    <row r="65" spans="1:35" ht="15.6">
      <c r="A65" s="8"/>
      <c r="B65" s="719" t="s">
        <v>525</v>
      </c>
      <c r="C65" s="720">
        <v>1725.2</v>
      </c>
      <c r="D65" s="720">
        <v>1710.3</v>
      </c>
      <c r="E65" s="720">
        <v>1885.2</v>
      </c>
      <c r="F65" s="720">
        <v>1551.7</v>
      </c>
      <c r="G65" s="720">
        <v>1658.6</v>
      </c>
      <c r="H65" s="720">
        <v>4360.6000000000004</v>
      </c>
      <c r="I65" s="720">
        <v>6763.2</v>
      </c>
      <c r="J65" s="720">
        <v>7773.1</v>
      </c>
      <c r="K65" s="6"/>
      <c r="L65" s="6"/>
      <c r="M65" s="6"/>
      <c r="N65" s="6"/>
      <c r="O65" s="6"/>
      <c r="P65" s="6"/>
      <c r="Q65" s="6"/>
      <c r="R65" s="6"/>
      <c r="S65" s="6"/>
      <c r="T65" s="6"/>
      <c r="U65" s="6"/>
      <c r="V65" s="6"/>
      <c r="W65" s="6"/>
      <c r="X65" s="6"/>
      <c r="Y65" s="6"/>
      <c r="Z65" s="6"/>
      <c r="AA65" s="6"/>
      <c r="AB65" s="6"/>
      <c r="AC65" s="6"/>
      <c r="AD65" s="6"/>
      <c r="AE65" s="6"/>
      <c r="AF65" s="6"/>
      <c r="AG65" s="6"/>
      <c r="AH65" s="6"/>
      <c r="AI65" s="6"/>
    </row>
    <row r="66" spans="1:35" ht="15.6">
      <c r="A66" s="4"/>
      <c r="B66" s="719" t="s">
        <v>526</v>
      </c>
      <c r="C66" s="720">
        <v>801.9</v>
      </c>
      <c r="D66" s="720">
        <v>639.5</v>
      </c>
      <c r="E66" s="720">
        <v>723.2</v>
      </c>
      <c r="F66" s="720">
        <v>401</v>
      </c>
      <c r="G66" s="720">
        <v>340.6</v>
      </c>
      <c r="H66" s="720">
        <v>1952.6</v>
      </c>
      <c r="I66" s="720">
        <v>4183.6000000000004</v>
      </c>
      <c r="J66" s="720">
        <v>4305.2</v>
      </c>
      <c r="K66" s="6"/>
      <c r="L66" s="6"/>
      <c r="M66" s="6"/>
      <c r="N66" s="6"/>
      <c r="O66" s="6"/>
      <c r="P66" s="6"/>
      <c r="Q66" s="6"/>
      <c r="R66" s="6"/>
      <c r="S66" s="7"/>
      <c r="T66" s="7"/>
      <c r="U66" s="7"/>
      <c r="V66" s="7"/>
      <c r="W66" s="7"/>
      <c r="X66" s="7"/>
      <c r="Y66" s="7"/>
      <c r="Z66" s="7"/>
      <c r="AA66" s="7"/>
      <c r="AB66" s="7"/>
      <c r="AC66" s="7"/>
      <c r="AD66" s="7"/>
      <c r="AE66" s="7"/>
      <c r="AF66" s="7"/>
      <c r="AG66" s="7"/>
      <c r="AH66" s="7"/>
      <c r="AI66" s="7"/>
    </row>
    <row r="67" spans="1:35" ht="15.6">
      <c r="A67" s="7"/>
      <c r="B67" s="722" t="s">
        <v>527</v>
      </c>
      <c r="C67" s="722">
        <v>293.2</v>
      </c>
      <c r="D67" s="722">
        <v>174.8</v>
      </c>
      <c r="E67" s="722">
        <v>205.2</v>
      </c>
      <c r="F67" s="722">
        <v>135.1</v>
      </c>
      <c r="G67" s="722">
        <v>103.4</v>
      </c>
      <c r="H67" s="722">
        <v>528.20000000000005</v>
      </c>
      <c r="I67" s="722">
        <v>836.4</v>
      </c>
      <c r="J67" s="722">
        <v>1101.0999999999999</v>
      </c>
      <c r="K67" s="6"/>
      <c r="L67" s="6"/>
      <c r="M67" s="6"/>
      <c r="N67" s="6"/>
      <c r="O67" s="6"/>
      <c r="P67" s="6"/>
      <c r="Q67" s="6"/>
      <c r="R67" s="6"/>
      <c r="S67" s="7"/>
      <c r="T67" s="7"/>
      <c r="U67" s="7"/>
      <c r="V67" s="7"/>
      <c r="W67" s="7"/>
      <c r="X67" s="7"/>
      <c r="Y67" s="7"/>
      <c r="Z67" s="7"/>
      <c r="AA67" s="7"/>
      <c r="AB67" s="7"/>
      <c r="AC67" s="7"/>
      <c r="AD67" s="7"/>
      <c r="AE67" s="7"/>
      <c r="AF67" s="7"/>
      <c r="AG67" s="7"/>
      <c r="AH67" s="7"/>
      <c r="AI67" s="7"/>
    </row>
    <row r="68" spans="1:35" ht="15.6">
      <c r="A68" s="6"/>
      <c r="B68" s="723" t="s">
        <v>528</v>
      </c>
      <c r="C68" s="724">
        <v>11.5</v>
      </c>
      <c r="D68" s="724">
        <v>12.6</v>
      </c>
      <c r="E68" s="724">
        <v>15.4</v>
      </c>
      <c r="F68" s="724">
        <v>8.6</v>
      </c>
      <c r="G68" s="724">
        <v>15.9</v>
      </c>
      <c r="H68" s="724">
        <v>368.2</v>
      </c>
      <c r="I68" s="724">
        <v>80.7</v>
      </c>
      <c r="J68" s="724">
        <v>375.7</v>
      </c>
      <c r="K68" s="6"/>
      <c r="L68" s="6"/>
      <c r="M68" s="6"/>
      <c r="N68" s="6"/>
      <c r="O68" s="6"/>
      <c r="P68" s="6"/>
      <c r="Q68" s="6"/>
      <c r="R68" s="6"/>
      <c r="S68" s="6"/>
      <c r="T68" s="6"/>
      <c r="U68" s="6"/>
      <c r="V68" s="6"/>
      <c r="W68" s="6"/>
      <c r="X68" s="6"/>
      <c r="Y68" s="6"/>
      <c r="Z68" s="6"/>
      <c r="AA68" s="6"/>
      <c r="AB68" s="6"/>
      <c r="AC68" s="6"/>
      <c r="AD68" s="6"/>
      <c r="AE68" s="6"/>
      <c r="AF68" s="6"/>
      <c r="AG68" s="6"/>
      <c r="AH68" s="6"/>
      <c r="AI68" s="6"/>
    </row>
    <row r="69" spans="1:35" ht="15.6">
      <c r="A69" s="6"/>
      <c r="B69" s="723" t="s">
        <v>529</v>
      </c>
      <c r="C69" s="724">
        <v>2.4</v>
      </c>
      <c r="D69" s="724">
        <v>0.4</v>
      </c>
      <c r="E69" s="724">
        <v>0.7</v>
      </c>
      <c r="F69" s="724">
        <v>1.7</v>
      </c>
      <c r="G69" s="724">
        <v>3.4</v>
      </c>
      <c r="H69" s="724">
        <v>1.3</v>
      </c>
      <c r="I69" s="724">
        <v>11.8</v>
      </c>
      <c r="J69" s="724">
        <v>3.4</v>
      </c>
      <c r="K69" s="6"/>
      <c r="L69" s="6"/>
      <c r="M69" s="6"/>
      <c r="N69" s="6"/>
      <c r="O69" s="6"/>
      <c r="P69" s="6"/>
      <c r="Q69" s="6"/>
      <c r="R69" s="6"/>
      <c r="S69" s="6"/>
      <c r="T69" s="6"/>
      <c r="U69" s="6"/>
      <c r="V69" s="6"/>
      <c r="W69" s="6"/>
      <c r="X69" s="6"/>
      <c r="Y69" s="6"/>
      <c r="Z69" s="6"/>
      <c r="AA69" s="6"/>
      <c r="AB69" s="6"/>
      <c r="AC69" s="6"/>
      <c r="AD69" s="6"/>
      <c r="AE69" s="6"/>
      <c r="AF69" s="6"/>
      <c r="AG69" s="6"/>
      <c r="AH69" s="6"/>
      <c r="AI69" s="6"/>
    </row>
    <row r="70" spans="1:35" ht="15.6">
      <c r="A70" s="6"/>
      <c r="B70" s="724" t="s">
        <v>530</v>
      </c>
      <c r="C70" s="724">
        <v>12.2</v>
      </c>
      <c r="D70" s="724">
        <v>13.3</v>
      </c>
      <c r="E70" s="724">
        <v>21.5</v>
      </c>
      <c r="F70" s="724">
        <v>19.399999999999999</v>
      </c>
      <c r="G70" s="724">
        <v>21.8</v>
      </c>
      <c r="H70" s="724">
        <v>15.7</v>
      </c>
      <c r="I70" s="724">
        <v>15.9</v>
      </c>
      <c r="J70" s="724">
        <v>37.700000000000003</v>
      </c>
      <c r="K70" s="6"/>
      <c r="L70" s="6"/>
      <c r="M70" s="6"/>
      <c r="N70" s="6"/>
      <c r="O70" s="6"/>
      <c r="P70" s="6"/>
      <c r="Q70" s="6"/>
      <c r="R70" s="6"/>
      <c r="S70" s="6"/>
      <c r="T70" s="6"/>
      <c r="U70" s="6"/>
      <c r="V70" s="6"/>
      <c r="W70" s="6"/>
      <c r="X70" s="6"/>
      <c r="Y70" s="6"/>
      <c r="Z70" s="6"/>
      <c r="AA70" s="6"/>
      <c r="AB70" s="6"/>
      <c r="AC70" s="6"/>
      <c r="AD70" s="6"/>
      <c r="AE70" s="6"/>
      <c r="AF70" s="6"/>
      <c r="AG70" s="6"/>
      <c r="AH70" s="6"/>
      <c r="AI70" s="6"/>
    </row>
    <row r="71" spans="1:35" ht="15.6">
      <c r="A71" s="6"/>
      <c r="B71" s="724" t="s">
        <v>531</v>
      </c>
      <c r="C71" s="724">
        <v>7.3</v>
      </c>
      <c r="D71" s="724">
        <v>7.8</v>
      </c>
      <c r="E71" s="724">
        <v>7.3</v>
      </c>
      <c r="F71" s="724">
        <v>7.5</v>
      </c>
      <c r="G71" s="724">
        <v>1.5</v>
      </c>
      <c r="H71" s="724">
        <v>1.6</v>
      </c>
      <c r="I71" s="724">
        <v>1.5</v>
      </c>
      <c r="J71" s="724">
        <v>0.9</v>
      </c>
      <c r="K71" s="6"/>
      <c r="L71" s="6"/>
      <c r="M71" s="6"/>
      <c r="N71" s="6"/>
      <c r="O71" s="6"/>
      <c r="P71" s="6"/>
      <c r="Q71" s="6"/>
      <c r="R71" s="6"/>
      <c r="S71" s="6"/>
      <c r="T71" s="6"/>
      <c r="U71" s="6"/>
      <c r="V71" s="6"/>
      <c r="W71" s="6"/>
      <c r="X71" s="6"/>
      <c r="Y71" s="6"/>
      <c r="Z71" s="6"/>
      <c r="AA71" s="6"/>
      <c r="AB71" s="6"/>
      <c r="AC71" s="6"/>
      <c r="AD71" s="6"/>
      <c r="AE71" s="6"/>
      <c r="AF71" s="6"/>
      <c r="AG71" s="6"/>
      <c r="AH71" s="6"/>
      <c r="AI71" s="6"/>
    </row>
    <row r="72" spans="1:35" ht="15.6">
      <c r="A72" s="6"/>
      <c r="B72" s="723" t="s">
        <v>533</v>
      </c>
      <c r="C72" s="724">
        <v>8.6999999999999993</v>
      </c>
      <c r="D72" s="724">
        <v>0.6</v>
      </c>
      <c r="E72" s="724">
        <v>3.1</v>
      </c>
      <c r="F72" s="724">
        <v>0.9</v>
      </c>
      <c r="G72" s="724">
        <v>2.2999999999999998</v>
      </c>
      <c r="H72" s="724">
        <v>4.3</v>
      </c>
      <c r="I72" s="724">
        <v>13.7</v>
      </c>
      <c r="J72" s="724">
        <v>34.299999999999997</v>
      </c>
      <c r="K72" s="6"/>
      <c r="L72" s="6"/>
      <c r="M72" s="6"/>
      <c r="N72" s="6"/>
      <c r="O72" s="6"/>
      <c r="P72" s="6"/>
      <c r="Q72" s="6"/>
      <c r="R72" s="6"/>
      <c r="S72" s="6"/>
      <c r="T72" s="6"/>
      <c r="U72" s="6"/>
      <c r="V72" s="6"/>
      <c r="W72" s="6"/>
      <c r="X72" s="6"/>
      <c r="Y72" s="6"/>
      <c r="Z72" s="6"/>
      <c r="AA72" s="6"/>
      <c r="AB72" s="6"/>
      <c r="AC72" s="6"/>
      <c r="AD72" s="6"/>
      <c r="AE72" s="6"/>
      <c r="AF72" s="6"/>
      <c r="AG72" s="6"/>
      <c r="AH72" s="6"/>
      <c r="AI72" s="6"/>
    </row>
    <row r="73" spans="1:35" ht="15.6">
      <c r="A73" s="6"/>
      <c r="B73" s="723" t="s">
        <v>532</v>
      </c>
      <c r="C73" s="724">
        <v>0</v>
      </c>
      <c r="D73" s="724">
        <v>0</v>
      </c>
      <c r="E73" s="724">
        <v>0</v>
      </c>
      <c r="F73" s="724">
        <v>0</v>
      </c>
      <c r="G73" s="724">
        <v>0</v>
      </c>
      <c r="H73" s="724">
        <v>0</v>
      </c>
      <c r="I73" s="724">
        <v>0</v>
      </c>
      <c r="J73" s="724">
        <v>0</v>
      </c>
      <c r="K73" s="6"/>
      <c r="L73" s="6"/>
      <c r="M73" s="6"/>
      <c r="N73" s="6"/>
      <c r="O73" s="6"/>
      <c r="P73" s="6"/>
      <c r="Q73" s="6"/>
      <c r="R73" s="6"/>
      <c r="S73" s="6"/>
      <c r="T73" s="6"/>
      <c r="U73" s="6"/>
      <c r="V73" s="6"/>
      <c r="W73" s="6"/>
      <c r="X73" s="6"/>
      <c r="Y73" s="6"/>
      <c r="Z73" s="6"/>
      <c r="AA73" s="6"/>
      <c r="AB73" s="6"/>
      <c r="AC73" s="6"/>
      <c r="AD73" s="6"/>
      <c r="AE73" s="6"/>
      <c r="AF73" s="6"/>
      <c r="AG73" s="6"/>
      <c r="AH73" s="6"/>
      <c r="AI73" s="6"/>
    </row>
    <row r="74" spans="1:35" ht="15.6">
      <c r="A74" s="6"/>
      <c r="B74" s="723" t="s">
        <v>534</v>
      </c>
      <c r="C74" s="724">
        <v>0</v>
      </c>
      <c r="D74" s="724">
        <v>0</v>
      </c>
      <c r="E74" s="724">
        <v>0</v>
      </c>
      <c r="F74" s="724">
        <v>0</v>
      </c>
      <c r="G74" s="724">
        <v>0</v>
      </c>
      <c r="H74" s="724">
        <v>0</v>
      </c>
      <c r="I74" s="724">
        <v>0</v>
      </c>
      <c r="J74" s="724">
        <v>0</v>
      </c>
      <c r="K74" s="6"/>
      <c r="L74" s="6"/>
      <c r="M74" s="6"/>
      <c r="N74" s="6"/>
      <c r="O74" s="6"/>
      <c r="P74" s="6"/>
      <c r="Q74" s="6"/>
      <c r="R74" s="6"/>
      <c r="S74" s="6"/>
      <c r="T74" s="6"/>
      <c r="U74" s="6"/>
      <c r="V74" s="6"/>
      <c r="W74" s="6"/>
      <c r="X74" s="6"/>
      <c r="Y74" s="6"/>
      <c r="Z74" s="6"/>
      <c r="AA74" s="6"/>
      <c r="AB74" s="6"/>
      <c r="AC74" s="6"/>
      <c r="AD74" s="6"/>
      <c r="AE74" s="6"/>
      <c r="AF74" s="6"/>
      <c r="AG74" s="6"/>
      <c r="AH74" s="6"/>
      <c r="AI74" s="6"/>
    </row>
    <row r="75" spans="1:35" ht="15.6">
      <c r="A75" s="6"/>
      <c r="B75" s="723" t="s">
        <v>535</v>
      </c>
      <c r="C75" s="724">
        <v>0</v>
      </c>
      <c r="D75" s="724">
        <v>0</v>
      </c>
      <c r="E75" s="724">
        <v>0</v>
      </c>
      <c r="F75" s="724">
        <v>0.8</v>
      </c>
      <c r="G75" s="724">
        <v>0</v>
      </c>
      <c r="H75" s="724">
        <v>0</v>
      </c>
      <c r="I75" s="724">
        <v>0</v>
      </c>
      <c r="J75" s="724">
        <v>0.2</v>
      </c>
      <c r="K75" s="6"/>
      <c r="L75" s="6"/>
      <c r="M75" s="6"/>
      <c r="N75" s="6"/>
      <c r="O75" s="6"/>
      <c r="P75" s="6"/>
      <c r="Q75" s="6"/>
      <c r="R75" s="6"/>
      <c r="S75" s="6"/>
      <c r="T75" s="6"/>
      <c r="U75" s="6"/>
      <c r="V75" s="6"/>
      <c r="W75" s="6"/>
      <c r="X75" s="6"/>
      <c r="Y75" s="6"/>
      <c r="Z75" s="6"/>
      <c r="AA75" s="6"/>
      <c r="AB75" s="6"/>
      <c r="AC75" s="6"/>
      <c r="AD75" s="6"/>
      <c r="AE75" s="6"/>
      <c r="AF75" s="6"/>
      <c r="AG75" s="6"/>
      <c r="AH75" s="6"/>
      <c r="AI75" s="6"/>
    </row>
    <row r="76" spans="1:35" ht="15.6">
      <c r="A76" s="6"/>
      <c r="B76" s="723" t="s">
        <v>536</v>
      </c>
      <c r="C76" s="724">
        <v>43</v>
      </c>
      <c r="D76" s="724">
        <v>49.5</v>
      </c>
      <c r="E76" s="724">
        <v>45</v>
      </c>
      <c r="F76" s="724">
        <v>37.5</v>
      </c>
      <c r="G76" s="724">
        <v>35.4</v>
      </c>
      <c r="H76" s="724">
        <v>9.9</v>
      </c>
      <c r="I76" s="724">
        <v>127.5</v>
      </c>
      <c r="J76" s="724">
        <v>12.2</v>
      </c>
      <c r="K76" s="6"/>
      <c r="L76" s="6"/>
      <c r="M76" s="6"/>
      <c r="N76" s="6"/>
      <c r="O76" s="6"/>
      <c r="P76" s="6"/>
      <c r="Q76" s="6"/>
      <c r="R76" s="6"/>
      <c r="S76" s="6"/>
      <c r="T76" s="6"/>
      <c r="U76" s="6"/>
      <c r="V76" s="6"/>
      <c r="W76" s="6"/>
      <c r="X76" s="6"/>
      <c r="Y76" s="6"/>
      <c r="Z76" s="6"/>
      <c r="AA76" s="6"/>
      <c r="AB76" s="6"/>
      <c r="AC76" s="6"/>
      <c r="AD76" s="6"/>
      <c r="AE76" s="6"/>
      <c r="AF76" s="6"/>
      <c r="AG76" s="6"/>
      <c r="AH76" s="6"/>
      <c r="AI76" s="6"/>
    </row>
    <row r="77" spans="1:35" ht="15.6">
      <c r="A77" s="9"/>
      <c r="B77" s="723" t="s">
        <v>537</v>
      </c>
      <c r="C77" s="724">
        <v>196.1</v>
      </c>
      <c r="D77" s="724">
        <v>78.5</v>
      </c>
      <c r="E77" s="724">
        <v>102.5</v>
      </c>
      <c r="F77" s="724">
        <v>45.2</v>
      </c>
      <c r="G77" s="724">
        <v>5.9</v>
      </c>
      <c r="H77" s="724">
        <v>106.4</v>
      </c>
      <c r="I77" s="724">
        <v>553.6</v>
      </c>
      <c r="J77" s="724">
        <v>600.9</v>
      </c>
      <c r="K77" s="6"/>
      <c r="L77" s="6"/>
      <c r="M77" s="6"/>
      <c r="N77" s="6"/>
      <c r="O77" s="6"/>
      <c r="P77" s="6"/>
      <c r="Q77" s="6"/>
      <c r="R77" s="6"/>
      <c r="S77" s="6"/>
      <c r="T77" s="6"/>
      <c r="U77" s="6"/>
      <c r="V77" s="6"/>
      <c r="W77" s="6"/>
      <c r="X77" s="6"/>
      <c r="Y77" s="6"/>
      <c r="Z77" s="6"/>
      <c r="AA77" s="6"/>
      <c r="AB77" s="6"/>
      <c r="AC77" s="6"/>
      <c r="AD77" s="6"/>
      <c r="AE77" s="6"/>
      <c r="AF77" s="6"/>
      <c r="AG77" s="6"/>
      <c r="AH77" s="6"/>
      <c r="AI77" s="6"/>
    </row>
    <row r="78" spans="1:35" ht="15.6">
      <c r="A78" s="6"/>
      <c r="B78" s="723" t="s">
        <v>538</v>
      </c>
      <c r="C78" s="724">
        <v>0</v>
      </c>
      <c r="D78" s="724">
        <v>0</v>
      </c>
      <c r="E78" s="724">
        <v>0</v>
      </c>
      <c r="F78" s="724">
        <v>0</v>
      </c>
      <c r="G78" s="724">
        <v>0</v>
      </c>
      <c r="H78" s="724">
        <v>0</v>
      </c>
      <c r="I78" s="724">
        <v>0</v>
      </c>
      <c r="J78" s="724">
        <v>0</v>
      </c>
      <c r="K78" s="6"/>
      <c r="L78" s="6"/>
      <c r="M78" s="6"/>
      <c r="N78" s="6"/>
      <c r="O78" s="6"/>
      <c r="P78" s="6"/>
      <c r="Q78" s="6"/>
      <c r="R78" s="6"/>
      <c r="S78" s="6"/>
      <c r="T78" s="6"/>
      <c r="U78" s="6"/>
      <c r="V78" s="6"/>
      <c r="W78" s="6"/>
      <c r="X78" s="6"/>
      <c r="Y78" s="6"/>
      <c r="Z78" s="6"/>
      <c r="AA78" s="6"/>
      <c r="AB78" s="6"/>
      <c r="AC78" s="6"/>
      <c r="AD78" s="6"/>
      <c r="AE78" s="6"/>
      <c r="AF78" s="6"/>
      <c r="AG78" s="6"/>
      <c r="AH78" s="6"/>
      <c r="AI78" s="6"/>
    </row>
    <row r="79" spans="1:35" ht="15.6">
      <c r="A79" s="6"/>
      <c r="B79" s="723" t="s">
        <v>539</v>
      </c>
      <c r="C79" s="724">
        <v>12</v>
      </c>
      <c r="D79" s="724">
        <v>12</v>
      </c>
      <c r="E79" s="724">
        <v>9.6</v>
      </c>
      <c r="F79" s="724">
        <v>13.6</v>
      </c>
      <c r="G79" s="724">
        <v>17.3</v>
      </c>
      <c r="H79" s="724">
        <v>20.8</v>
      </c>
      <c r="I79" s="724">
        <v>31.6</v>
      </c>
      <c r="J79" s="724">
        <v>35.700000000000003</v>
      </c>
      <c r="K79" s="6"/>
      <c r="L79" s="6"/>
      <c r="M79" s="6"/>
      <c r="N79" s="6"/>
      <c r="O79" s="6"/>
      <c r="P79" s="6"/>
      <c r="Q79" s="6"/>
      <c r="R79" s="6"/>
      <c r="S79" s="6"/>
      <c r="T79" s="6"/>
      <c r="U79" s="6"/>
      <c r="V79" s="6"/>
      <c r="W79" s="6"/>
      <c r="X79" s="6"/>
      <c r="Y79" s="6"/>
      <c r="Z79" s="6"/>
      <c r="AA79" s="6"/>
      <c r="AB79" s="6"/>
      <c r="AC79" s="6"/>
      <c r="AD79" s="6"/>
      <c r="AE79" s="6"/>
      <c r="AF79" s="6"/>
      <c r="AG79" s="6"/>
      <c r="AH79" s="6"/>
      <c r="AI79" s="6"/>
    </row>
    <row r="80" spans="1:35" ht="15.6">
      <c r="A80" s="6"/>
      <c r="B80" s="723" t="s">
        <v>540</v>
      </c>
      <c r="C80" s="724">
        <v>0</v>
      </c>
      <c r="D80" s="724">
        <v>0</v>
      </c>
      <c r="E80" s="724">
        <v>0</v>
      </c>
      <c r="F80" s="724">
        <v>0</v>
      </c>
      <c r="G80" s="724">
        <v>0</v>
      </c>
      <c r="H80" s="724">
        <v>0</v>
      </c>
      <c r="I80" s="724">
        <v>0</v>
      </c>
      <c r="J80" s="724">
        <v>0</v>
      </c>
      <c r="K80" s="6"/>
      <c r="L80" s="6"/>
      <c r="M80" s="6"/>
      <c r="N80" s="6"/>
      <c r="O80" s="6"/>
      <c r="P80" s="6"/>
      <c r="Q80" s="6"/>
      <c r="R80" s="6"/>
      <c r="S80" s="6"/>
      <c r="T80" s="6"/>
      <c r="U80" s="6"/>
      <c r="V80" s="6"/>
      <c r="W80" s="6"/>
      <c r="X80" s="6"/>
      <c r="Y80" s="6"/>
      <c r="Z80" s="6"/>
      <c r="AA80" s="6"/>
      <c r="AB80" s="6"/>
      <c r="AC80" s="6"/>
      <c r="AD80" s="6"/>
      <c r="AE80" s="6"/>
      <c r="AF80" s="6"/>
      <c r="AG80" s="6"/>
      <c r="AH80" s="6"/>
      <c r="AI80" s="6"/>
    </row>
    <row r="81" spans="1:35" ht="15.6">
      <c r="A81" s="6"/>
      <c r="B81" s="723" t="s">
        <v>541</v>
      </c>
      <c r="C81" s="724">
        <v>0</v>
      </c>
      <c r="D81" s="724">
        <v>0</v>
      </c>
      <c r="E81" s="724">
        <v>0</v>
      </c>
      <c r="F81" s="724">
        <v>0</v>
      </c>
      <c r="G81" s="724">
        <v>0</v>
      </c>
      <c r="H81" s="724">
        <v>0</v>
      </c>
      <c r="I81" s="724">
        <v>0</v>
      </c>
      <c r="J81" s="724">
        <v>0</v>
      </c>
      <c r="K81" s="6"/>
      <c r="L81" s="6"/>
      <c r="M81" s="6"/>
      <c r="N81" s="6"/>
      <c r="O81" s="6"/>
      <c r="P81" s="6"/>
      <c r="Q81" s="6"/>
      <c r="R81" s="6"/>
      <c r="S81" s="6"/>
      <c r="T81" s="6"/>
      <c r="U81" s="6"/>
      <c r="V81" s="6"/>
      <c r="W81" s="6"/>
      <c r="X81" s="6"/>
      <c r="Y81" s="6"/>
      <c r="Z81" s="6"/>
      <c r="AA81" s="6"/>
      <c r="AB81" s="6"/>
      <c r="AC81" s="6"/>
      <c r="AD81" s="6"/>
      <c r="AE81" s="6"/>
      <c r="AF81" s="6"/>
      <c r="AG81" s="6"/>
      <c r="AH81" s="6"/>
      <c r="AI81" s="6"/>
    </row>
    <row r="82" spans="1:35" ht="15.6">
      <c r="A82" s="7"/>
      <c r="B82" s="721" t="s">
        <v>542</v>
      </c>
      <c r="C82" s="722">
        <v>508.7</v>
      </c>
      <c r="D82" s="722">
        <v>464.7</v>
      </c>
      <c r="E82" s="722">
        <v>518</v>
      </c>
      <c r="F82" s="722">
        <v>265.89999999999998</v>
      </c>
      <c r="G82" s="722">
        <v>237.2</v>
      </c>
      <c r="H82" s="722">
        <v>1424.4</v>
      </c>
      <c r="I82" s="722">
        <v>3347.2</v>
      </c>
      <c r="J82" s="722">
        <v>3204.1</v>
      </c>
      <c r="K82" s="6"/>
      <c r="L82" s="6"/>
      <c r="M82" s="6"/>
      <c r="N82" s="6"/>
      <c r="O82" s="6"/>
      <c r="P82" s="6"/>
      <c r="Q82" s="6"/>
      <c r="R82" s="6"/>
      <c r="S82" s="7"/>
      <c r="T82" s="7"/>
      <c r="U82" s="7"/>
      <c r="V82" s="7"/>
      <c r="W82" s="7"/>
      <c r="X82" s="7"/>
      <c r="Y82" s="7"/>
      <c r="Z82" s="7"/>
      <c r="AA82" s="7"/>
      <c r="AB82" s="7"/>
      <c r="AC82" s="7"/>
      <c r="AD82" s="7"/>
      <c r="AE82" s="7"/>
      <c r="AF82" s="7"/>
      <c r="AG82" s="7"/>
      <c r="AH82" s="7"/>
      <c r="AI82" s="7"/>
    </row>
    <row r="83" spans="1:35" ht="15.6">
      <c r="A83" s="6"/>
      <c r="B83" s="723" t="s">
        <v>543</v>
      </c>
      <c r="C83" s="724">
        <v>0.3</v>
      </c>
      <c r="D83" s="724">
        <v>0.3</v>
      </c>
      <c r="E83" s="724">
        <v>0.5</v>
      </c>
      <c r="F83" s="724">
        <v>0.3</v>
      </c>
      <c r="G83" s="724">
        <v>0.1</v>
      </c>
      <c r="H83" s="724">
        <v>0.1</v>
      </c>
      <c r="I83" s="724">
        <v>0</v>
      </c>
      <c r="J83" s="724">
        <v>0</v>
      </c>
      <c r="K83" s="6"/>
      <c r="L83" s="6"/>
      <c r="M83" s="6"/>
      <c r="N83" s="6"/>
      <c r="O83" s="6"/>
      <c r="P83" s="6"/>
      <c r="Q83" s="6"/>
      <c r="R83" s="6"/>
      <c r="S83" s="6"/>
      <c r="T83" s="6"/>
      <c r="U83" s="6"/>
      <c r="V83" s="6"/>
      <c r="W83" s="6"/>
      <c r="X83" s="6"/>
      <c r="Y83" s="6"/>
      <c r="Z83" s="6"/>
      <c r="AA83" s="6"/>
      <c r="AB83" s="6"/>
      <c r="AC83" s="6"/>
      <c r="AD83" s="6"/>
      <c r="AE83" s="6"/>
      <c r="AF83" s="6"/>
      <c r="AG83" s="6"/>
      <c r="AH83" s="6"/>
      <c r="AI83" s="6"/>
    </row>
    <row r="84" spans="1:35" ht="15.6">
      <c r="A84" s="6"/>
      <c r="B84" s="723" t="s">
        <v>544</v>
      </c>
      <c r="C84" s="724">
        <v>0</v>
      </c>
      <c r="D84" s="724">
        <v>0</v>
      </c>
      <c r="E84" s="724">
        <v>0</v>
      </c>
      <c r="F84" s="724">
        <v>0</v>
      </c>
      <c r="G84" s="724">
        <v>0</v>
      </c>
      <c r="H84" s="724">
        <v>0</v>
      </c>
      <c r="I84" s="724">
        <v>0</v>
      </c>
      <c r="J84" s="724">
        <v>0</v>
      </c>
      <c r="K84" s="6"/>
      <c r="L84" s="6"/>
      <c r="M84" s="6"/>
      <c r="N84" s="6"/>
      <c r="O84" s="6"/>
      <c r="P84" s="6"/>
      <c r="Q84" s="6"/>
      <c r="R84" s="6"/>
      <c r="S84" s="6"/>
      <c r="T84" s="6"/>
      <c r="U84" s="6"/>
      <c r="V84" s="6"/>
      <c r="W84" s="6"/>
      <c r="X84" s="6"/>
      <c r="Y84" s="6"/>
      <c r="Z84" s="6"/>
      <c r="AA84" s="6"/>
      <c r="AB84" s="6"/>
      <c r="AC84" s="6"/>
      <c r="AD84" s="6"/>
      <c r="AE84" s="6"/>
      <c r="AF84" s="6"/>
      <c r="AG84" s="6"/>
      <c r="AH84" s="6"/>
      <c r="AI84" s="6"/>
    </row>
    <row r="85" spans="1:35" ht="15.6">
      <c r="A85" s="6"/>
      <c r="B85" s="723" t="s">
        <v>545</v>
      </c>
      <c r="C85" s="724">
        <v>0</v>
      </c>
      <c r="D85" s="724">
        <v>0</v>
      </c>
      <c r="E85" s="724">
        <v>0</v>
      </c>
      <c r="F85" s="724">
        <v>0</v>
      </c>
      <c r="G85" s="724">
        <v>0</v>
      </c>
      <c r="H85" s="724">
        <v>0</v>
      </c>
      <c r="I85" s="724">
        <v>0</v>
      </c>
      <c r="J85" s="724">
        <v>0</v>
      </c>
      <c r="K85" s="6"/>
      <c r="L85" s="6"/>
      <c r="M85" s="6"/>
      <c r="N85" s="6"/>
      <c r="O85" s="6"/>
      <c r="P85" s="6"/>
      <c r="Q85" s="6"/>
      <c r="R85" s="6"/>
      <c r="S85" s="6"/>
      <c r="T85" s="6"/>
      <c r="U85" s="6"/>
      <c r="V85" s="6"/>
      <c r="W85" s="6"/>
      <c r="X85" s="6"/>
      <c r="Y85" s="6"/>
      <c r="Z85" s="6"/>
      <c r="AA85" s="6"/>
      <c r="AB85" s="6"/>
      <c r="AC85" s="6"/>
      <c r="AD85" s="6"/>
      <c r="AE85" s="6"/>
      <c r="AF85" s="6"/>
      <c r="AG85" s="6"/>
      <c r="AH85" s="6"/>
      <c r="AI85" s="6"/>
    </row>
    <row r="86" spans="1:35" ht="15.6">
      <c r="A86" s="6"/>
      <c r="B86" s="723" t="s">
        <v>546</v>
      </c>
      <c r="C86" s="724">
        <v>0</v>
      </c>
      <c r="D86" s="724">
        <v>0</v>
      </c>
      <c r="E86" s="724">
        <v>0</v>
      </c>
      <c r="F86" s="724">
        <v>0</v>
      </c>
      <c r="G86" s="724">
        <v>0</v>
      </c>
      <c r="H86" s="724">
        <v>0</v>
      </c>
      <c r="I86" s="724">
        <v>0</v>
      </c>
      <c r="J86" s="724">
        <v>0</v>
      </c>
      <c r="K86" s="6"/>
      <c r="L86" s="6"/>
      <c r="M86" s="6"/>
      <c r="N86" s="6"/>
      <c r="O86" s="6"/>
      <c r="P86" s="6"/>
      <c r="Q86" s="6"/>
      <c r="R86" s="6"/>
      <c r="S86" s="6"/>
      <c r="T86" s="6"/>
      <c r="U86" s="6"/>
      <c r="V86" s="6"/>
      <c r="W86" s="6"/>
      <c r="X86" s="6"/>
      <c r="Y86" s="6"/>
      <c r="Z86" s="6"/>
      <c r="AA86" s="6"/>
      <c r="AB86" s="6"/>
      <c r="AC86" s="6"/>
      <c r="AD86" s="6"/>
      <c r="AE86" s="6"/>
      <c r="AF86" s="6"/>
      <c r="AG86" s="6"/>
      <c r="AH86" s="6"/>
      <c r="AI86" s="6"/>
    </row>
    <row r="87" spans="1:35" ht="15.6">
      <c r="A87" s="6"/>
      <c r="B87" s="723" t="s">
        <v>547</v>
      </c>
      <c r="C87" s="724">
        <v>0</v>
      </c>
      <c r="D87" s="724">
        <v>0</v>
      </c>
      <c r="E87" s="724">
        <v>0</v>
      </c>
      <c r="F87" s="724">
        <v>0</v>
      </c>
      <c r="G87" s="724">
        <v>0</v>
      </c>
      <c r="H87" s="724">
        <v>0</v>
      </c>
      <c r="I87" s="724">
        <v>0</v>
      </c>
      <c r="J87" s="724">
        <v>0</v>
      </c>
      <c r="K87" s="6"/>
      <c r="L87" s="6"/>
      <c r="M87" s="6"/>
      <c r="N87" s="6"/>
      <c r="O87" s="6"/>
      <c r="P87" s="6"/>
      <c r="Q87" s="6"/>
      <c r="R87" s="6"/>
      <c r="S87" s="6"/>
      <c r="T87" s="6"/>
      <c r="U87" s="6"/>
      <c r="V87" s="6"/>
      <c r="W87" s="6"/>
      <c r="X87" s="6"/>
      <c r="Y87" s="6"/>
      <c r="Z87" s="6"/>
      <c r="AA87" s="6"/>
      <c r="AB87" s="6"/>
      <c r="AC87" s="6"/>
      <c r="AD87" s="6"/>
      <c r="AE87" s="6"/>
      <c r="AF87" s="6"/>
      <c r="AG87" s="6"/>
      <c r="AH87" s="6"/>
      <c r="AI87" s="6"/>
    </row>
    <row r="88" spans="1:35" ht="15.6">
      <c r="A88" s="6"/>
      <c r="B88" s="723" t="s">
        <v>548</v>
      </c>
      <c r="C88" s="724">
        <v>0</v>
      </c>
      <c r="D88" s="724">
        <v>0</v>
      </c>
      <c r="E88" s="724">
        <v>0</v>
      </c>
      <c r="F88" s="724">
        <v>0.2</v>
      </c>
      <c r="G88" s="724">
        <v>0.3</v>
      </c>
      <c r="H88" s="724">
        <v>0</v>
      </c>
      <c r="I88" s="724">
        <v>0</v>
      </c>
      <c r="J88" s="724">
        <v>0</v>
      </c>
      <c r="K88" s="6"/>
      <c r="L88" s="6"/>
      <c r="M88" s="6"/>
      <c r="N88" s="6"/>
      <c r="O88" s="6"/>
      <c r="P88" s="6"/>
      <c r="Q88" s="6"/>
      <c r="R88" s="6"/>
      <c r="S88" s="6"/>
      <c r="T88" s="6"/>
      <c r="U88" s="6"/>
      <c r="V88" s="6"/>
      <c r="W88" s="6"/>
      <c r="X88" s="6"/>
      <c r="Y88" s="6"/>
      <c r="Z88" s="6"/>
      <c r="AA88" s="6"/>
      <c r="AB88" s="6"/>
      <c r="AC88" s="6"/>
      <c r="AD88" s="6"/>
      <c r="AE88" s="6"/>
      <c r="AF88" s="6"/>
      <c r="AG88" s="6"/>
      <c r="AH88" s="6"/>
      <c r="AI88" s="6"/>
    </row>
    <row r="89" spans="1:35" ht="15.6">
      <c r="A89" s="6"/>
      <c r="B89" s="723" t="s">
        <v>549</v>
      </c>
      <c r="C89" s="724">
        <v>0</v>
      </c>
      <c r="D89" s="724">
        <v>0</v>
      </c>
      <c r="E89" s="724">
        <v>0</v>
      </c>
      <c r="F89" s="724">
        <v>0</v>
      </c>
      <c r="G89" s="724">
        <v>0</v>
      </c>
      <c r="H89" s="724">
        <v>0</v>
      </c>
      <c r="I89" s="724">
        <v>0</v>
      </c>
      <c r="J89" s="724">
        <v>0</v>
      </c>
      <c r="K89" s="6"/>
      <c r="L89" s="6"/>
      <c r="M89" s="6"/>
      <c r="N89" s="6"/>
      <c r="O89" s="6"/>
      <c r="P89" s="6"/>
      <c r="Q89" s="6"/>
      <c r="R89" s="6"/>
      <c r="S89" s="6"/>
      <c r="T89" s="6"/>
      <c r="U89" s="6"/>
      <c r="V89" s="6"/>
      <c r="W89" s="6"/>
      <c r="X89" s="6"/>
      <c r="Y89" s="6"/>
      <c r="Z89" s="6"/>
      <c r="AA89" s="6"/>
      <c r="AB89" s="6"/>
      <c r="AC89" s="6"/>
      <c r="AD89" s="6"/>
      <c r="AE89" s="6"/>
      <c r="AF89" s="6"/>
      <c r="AG89" s="6"/>
      <c r="AH89" s="6"/>
      <c r="AI89" s="6"/>
    </row>
    <row r="90" spans="1:35" ht="15.6">
      <c r="A90" s="9"/>
      <c r="B90" s="723" t="s">
        <v>550</v>
      </c>
      <c r="C90" s="724">
        <v>508.2</v>
      </c>
      <c r="D90" s="724">
        <v>464.3</v>
      </c>
      <c r="E90" s="724">
        <v>517.5</v>
      </c>
      <c r="F90" s="724">
        <v>264.5</v>
      </c>
      <c r="G90" s="724">
        <v>232.4</v>
      </c>
      <c r="H90" s="724">
        <v>1420.3</v>
      </c>
      <c r="I90" s="724">
        <v>3343.1</v>
      </c>
      <c r="J90" s="724">
        <v>3200.6</v>
      </c>
      <c r="K90" s="6"/>
      <c r="L90" s="6"/>
      <c r="M90" s="6"/>
      <c r="N90" s="6"/>
      <c r="O90" s="6"/>
      <c r="P90" s="6"/>
      <c r="Q90" s="6"/>
      <c r="R90" s="6"/>
      <c r="S90" s="6"/>
      <c r="T90" s="6"/>
      <c r="U90" s="6"/>
      <c r="V90" s="6"/>
      <c r="W90" s="6"/>
      <c r="X90" s="6"/>
      <c r="Y90" s="6"/>
      <c r="Z90" s="6"/>
      <c r="AA90" s="6"/>
      <c r="AB90" s="6"/>
      <c r="AC90" s="6"/>
      <c r="AD90" s="6"/>
      <c r="AE90" s="6"/>
      <c r="AF90" s="6"/>
      <c r="AG90" s="6"/>
      <c r="AH90" s="6"/>
      <c r="AI90" s="6"/>
    </row>
    <row r="91" spans="1:35" ht="15.6">
      <c r="A91" s="6"/>
      <c r="B91" s="723" t="s">
        <v>551</v>
      </c>
      <c r="C91" s="724">
        <v>0</v>
      </c>
      <c r="D91" s="724">
        <v>0</v>
      </c>
      <c r="E91" s="724">
        <v>0</v>
      </c>
      <c r="F91" s="724">
        <v>0</v>
      </c>
      <c r="G91" s="724">
        <v>0</v>
      </c>
      <c r="H91" s="724">
        <v>0</v>
      </c>
      <c r="I91" s="724">
        <v>0</v>
      </c>
      <c r="J91" s="724">
        <v>0</v>
      </c>
      <c r="K91" s="6"/>
      <c r="L91" s="6"/>
      <c r="M91" s="6"/>
      <c r="N91" s="6"/>
      <c r="O91" s="6"/>
      <c r="P91" s="6"/>
      <c r="Q91" s="6"/>
      <c r="R91" s="6"/>
      <c r="S91" s="6"/>
      <c r="T91" s="6"/>
      <c r="U91" s="6"/>
      <c r="V91" s="6"/>
      <c r="W91" s="6"/>
      <c r="X91" s="6"/>
      <c r="Y91" s="6"/>
      <c r="Z91" s="6"/>
      <c r="AA91" s="6"/>
      <c r="AB91" s="6"/>
      <c r="AC91" s="6"/>
      <c r="AD91" s="6"/>
      <c r="AE91" s="6"/>
      <c r="AF91" s="6"/>
      <c r="AG91" s="6"/>
      <c r="AH91" s="6"/>
      <c r="AI91" s="6"/>
    </row>
    <row r="92" spans="1:35" ht="15.6">
      <c r="A92" s="6"/>
      <c r="B92" s="723" t="s">
        <v>552</v>
      </c>
      <c r="C92" s="724">
        <v>0</v>
      </c>
      <c r="D92" s="724">
        <v>0</v>
      </c>
      <c r="E92" s="724">
        <v>0</v>
      </c>
      <c r="F92" s="724">
        <v>0</v>
      </c>
      <c r="G92" s="724">
        <v>0</v>
      </c>
      <c r="H92" s="724">
        <v>0</v>
      </c>
      <c r="I92" s="724">
        <v>0</v>
      </c>
      <c r="J92" s="724">
        <v>0</v>
      </c>
      <c r="K92" s="6"/>
      <c r="L92" s="6"/>
      <c r="M92" s="6"/>
      <c r="N92" s="6"/>
      <c r="O92" s="6"/>
      <c r="P92" s="6"/>
      <c r="Q92" s="6"/>
      <c r="R92" s="6"/>
      <c r="S92" s="6"/>
      <c r="T92" s="6"/>
      <c r="U92" s="6"/>
      <c r="V92" s="6"/>
      <c r="W92" s="6"/>
      <c r="X92" s="6"/>
      <c r="Y92" s="6"/>
      <c r="Z92" s="6"/>
      <c r="AA92" s="6"/>
      <c r="AB92" s="6"/>
      <c r="AC92" s="6"/>
      <c r="AD92" s="6"/>
      <c r="AE92" s="6"/>
      <c r="AF92" s="6"/>
      <c r="AG92" s="6"/>
      <c r="AH92" s="6"/>
      <c r="AI92" s="6"/>
    </row>
    <row r="93" spans="1:35" ht="15.6">
      <c r="A93" s="6"/>
      <c r="B93" s="723" t="s">
        <v>553</v>
      </c>
      <c r="C93" s="724">
        <v>0.2</v>
      </c>
      <c r="D93" s="724">
        <v>0.2</v>
      </c>
      <c r="E93" s="724">
        <v>0</v>
      </c>
      <c r="F93" s="724">
        <v>0</v>
      </c>
      <c r="G93" s="724">
        <v>0</v>
      </c>
      <c r="H93" s="724">
        <v>0</v>
      </c>
      <c r="I93" s="724">
        <v>0</v>
      </c>
      <c r="J93" s="724">
        <v>0</v>
      </c>
      <c r="K93" s="6"/>
      <c r="L93" s="6"/>
      <c r="M93" s="6"/>
      <c r="N93" s="6"/>
      <c r="O93" s="6"/>
      <c r="P93" s="6"/>
      <c r="Q93" s="6"/>
      <c r="R93" s="6"/>
      <c r="S93" s="6"/>
      <c r="T93" s="6"/>
      <c r="U93" s="6"/>
      <c r="V93" s="6"/>
      <c r="W93" s="6"/>
      <c r="X93" s="6"/>
      <c r="Y93" s="6"/>
      <c r="Z93" s="6"/>
      <c r="AA93" s="6"/>
      <c r="AB93" s="6"/>
      <c r="AC93" s="6"/>
      <c r="AD93" s="6"/>
      <c r="AE93" s="6"/>
      <c r="AF93" s="6"/>
      <c r="AG93" s="6"/>
      <c r="AH93" s="6"/>
      <c r="AI93" s="6"/>
    </row>
    <row r="94" spans="1:35" ht="15.6">
      <c r="A94" s="6"/>
      <c r="B94" s="723" t="s">
        <v>554</v>
      </c>
      <c r="C94" s="724">
        <v>0</v>
      </c>
      <c r="D94" s="724">
        <v>0</v>
      </c>
      <c r="E94" s="724">
        <v>0</v>
      </c>
      <c r="F94" s="724">
        <v>0</v>
      </c>
      <c r="G94" s="724">
        <v>3.5</v>
      </c>
      <c r="H94" s="724">
        <v>3.5</v>
      </c>
      <c r="I94" s="724">
        <v>3.5</v>
      </c>
      <c r="J94" s="724">
        <v>3.2</v>
      </c>
      <c r="K94" s="6"/>
      <c r="L94" s="6"/>
      <c r="M94" s="6"/>
      <c r="N94" s="6"/>
      <c r="O94" s="6"/>
      <c r="P94" s="6"/>
      <c r="Q94" s="6"/>
      <c r="R94" s="6"/>
      <c r="S94" s="6"/>
      <c r="T94" s="6"/>
      <c r="U94" s="6"/>
      <c r="V94" s="6"/>
      <c r="W94" s="6"/>
      <c r="X94" s="6"/>
      <c r="Y94" s="6"/>
      <c r="Z94" s="6"/>
      <c r="AA94" s="6"/>
      <c r="AB94" s="6"/>
      <c r="AC94" s="6"/>
      <c r="AD94" s="6"/>
      <c r="AE94" s="6"/>
      <c r="AF94" s="6"/>
      <c r="AG94" s="6"/>
      <c r="AH94" s="6"/>
      <c r="AI94" s="6"/>
    </row>
    <row r="95" spans="1:35" ht="15.6">
      <c r="A95" s="6"/>
      <c r="B95" s="723" t="s">
        <v>555</v>
      </c>
      <c r="C95" s="724">
        <v>0</v>
      </c>
      <c r="D95" s="724">
        <v>0</v>
      </c>
      <c r="E95" s="724">
        <v>0</v>
      </c>
      <c r="F95" s="724">
        <v>0.9</v>
      </c>
      <c r="G95" s="724">
        <v>0.9</v>
      </c>
      <c r="H95" s="724">
        <v>0.6</v>
      </c>
      <c r="I95" s="724">
        <v>0.6</v>
      </c>
      <c r="J95" s="724">
        <v>0.3</v>
      </c>
      <c r="K95" s="6"/>
      <c r="L95" s="6"/>
      <c r="M95" s="6"/>
      <c r="N95" s="6"/>
      <c r="O95" s="6"/>
      <c r="P95" s="6"/>
      <c r="Q95" s="6"/>
      <c r="R95" s="6"/>
      <c r="S95" s="6"/>
      <c r="T95" s="6"/>
      <c r="U95" s="6"/>
      <c r="V95" s="6"/>
      <c r="W95" s="6"/>
      <c r="X95" s="6"/>
      <c r="Y95" s="6"/>
      <c r="Z95" s="6"/>
      <c r="AA95" s="6"/>
      <c r="AB95" s="6"/>
      <c r="AC95" s="6"/>
      <c r="AD95" s="6"/>
      <c r="AE95" s="6"/>
      <c r="AF95" s="6"/>
      <c r="AG95" s="6"/>
      <c r="AH95" s="6"/>
      <c r="AI95" s="6"/>
    </row>
    <row r="96" spans="1:35" ht="15.6">
      <c r="A96" s="4"/>
      <c r="B96" s="719" t="s">
        <v>556</v>
      </c>
      <c r="C96" s="720">
        <v>923.3</v>
      </c>
      <c r="D96" s="720">
        <v>1070.9000000000001</v>
      </c>
      <c r="E96" s="720">
        <v>1162</v>
      </c>
      <c r="F96" s="720">
        <v>1150.7</v>
      </c>
      <c r="G96" s="720">
        <v>1318</v>
      </c>
      <c r="H96" s="720">
        <v>2408</v>
      </c>
      <c r="I96" s="720">
        <v>2579.6</v>
      </c>
      <c r="J96" s="720">
        <v>3467.9</v>
      </c>
      <c r="K96" s="6"/>
      <c r="L96" s="6"/>
      <c r="M96" s="6"/>
      <c r="N96" s="6"/>
      <c r="O96" s="6"/>
      <c r="P96" s="6"/>
      <c r="Q96" s="6"/>
      <c r="R96" s="6"/>
      <c r="S96" s="7"/>
      <c r="T96" s="7"/>
      <c r="U96" s="7"/>
      <c r="V96" s="7"/>
      <c r="W96" s="7"/>
      <c r="X96" s="7"/>
      <c r="Y96" s="7"/>
      <c r="Z96" s="7"/>
      <c r="AA96" s="7"/>
      <c r="AB96" s="7"/>
      <c r="AC96" s="7"/>
      <c r="AD96" s="7"/>
      <c r="AE96" s="7"/>
      <c r="AF96" s="7"/>
      <c r="AG96" s="7"/>
      <c r="AH96" s="7"/>
      <c r="AI96" s="7"/>
    </row>
    <row r="97" spans="1:35" ht="15.6">
      <c r="A97" s="7"/>
      <c r="B97" s="721" t="s">
        <v>557</v>
      </c>
      <c r="C97" s="722">
        <v>923.3</v>
      </c>
      <c r="D97" s="722">
        <v>1070.9000000000001</v>
      </c>
      <c r="E97" s="722">
        <v>1162</v>
      </c>
      <c r="F97" s="722">
        <v>1150.7</v>
      </c>
      <c r="G97" s="722">
        <v>1318</v>
      </c>
      <c r="H97" s="722">
        <v>2407.9</v>
      </c>
      <c r="I97" s="722">
        <v>2579.6</v>
      </c>
      <c r="J97" s="722">
        <v>3467.9</v>
      </c>
      <c r="K97" s="6"/>
      <c r="L97" s="6"/>
      <c r="M97" s="6"/>
      <c r="N97" s="6"/>
      <c r="O97" s="6"/>
      <c r="P97" s="6"/>
      <c r="Q97" s="6"/>
      <c r="R97" s="6"/>
      <c r="S97" s="7"/>
      <c r="T97" s="7"/>
      <c r="U97" s="7"/>
      <c r="V97" s="7"/>
      <c r="W97" s="7"/>
      <c r="X97" s="7"/>
      <c r="Y97" s="7"/>
      <c r="Z97" s="7"/>
      <c r="AA97" s="7"/>
      <c r="AB97" s="7"/>
      <c r="AC97" s="7"/>
      <c r="AD97" s="7"/>
      <c r="AE97" s="7"/>
      <c r="AF97" s="7"/>
      <c r="AG97" s="7"/>
      <c r="AH97" s="7"/>
      <c r="AI97" s="7"/>
    </row>
    <row r="98" spans="1:35" ht="15.6">
      <c r="A98" s="6"/>
      <c r="B98" s="724" t="s">
        <v>558</v>
      </c>
      <c r="C98" s="724">
        <v>522.9</v>
      </c>
      <c r="D98" s="724">
        <v>601.29999999999995</v>
      </c>
      <c r="E98" s="724">
        <v>744.9</v>
      </c>
      <c r="F98" s="724">
        <v>744.9</v>
      </c>
      <c r="G98" s="724">
        <v>970.9</v>
      </c>
      <c r="H98" s="724">
        <v>1941.8</v>
      </c>
      <c r="I98" s="724">
        <v>2038.9</v>
      </c>
      <c r="J98" s="724">
        <v>2711.8</v>
      </c>
      <c r="K98" s="6"/>
      <c r="L98" s="6"/>
      <c r="M98" s="6"/>
      <c r="N98" s="6"/>
      <c r="O98" s="6"/>
      <c r="P98" s="6"/>
      <c r="Q98" s="6"/>
      <c r="R98" s="6"/>
      <c r="S98" s="6"/>
      <c r="T98" s="6"/>
      <c r="U98" s="6"/>
      <c r="V98" s="6"/>
      <c r="W98" s="6"/>
      <c r="X98" s="6"/>
      <c r="Y98" s="6"/>
      <c r="Z98" s="6"/>
      <c r="AA98" s="6"/>
      <c r="AB98" s="6"/>
      <c r="AC98" s="6"/>
      <c r="AD98" s="6"/>
      <c r="AE98" s="6"/>
      <c r="AF98" s="6"/>
      <c r="AG98" s="6"/>
      <c r="AH98" s="6"/>
      <c r="AI98" s="6"/>
    </row>
    <row r="99" spans="1:35" ht="15.6">
      <c r="A99" s="6"/>
      <c r="B99" s="725" t="s">
        <v>559</v>
      </c>
      <c r="C99" s="724">
        <v>522.9</v>
      </c>
      <c r="D99" s="724">
        <v>601.29999999999995</v>
      </c>
      <c r="E99" s="724">
        <v>744.9</v>
      </c>
      <c r="F99" s="724">
        <v>744.9</v>
      </c>
      <c r="G99" s="724">
        <v>970.9</v>
      </c>
      <c r="H99" s="724">
        <v>1941.8</v>
      </c>
      <c r="I99" s="724">
        <v>2038.9</v>
      </c>
      <c r="J99" s="724">
        <v>2711.8</v>
      </c>
      <c r="K99" s="6"/>
      <c r="L99" s="6"/>
      <c r="M99" s="6"/>
      <c r="N99" s="6"/>
      <c r="O99" s="6"/>
      <c r="P99" s="6"/>
      <c r="Q99" s="6"/>
      <c r="R99" s="6"/>
      <c r="S99" s="6"/>
      <c r="T99" s="6"/>
      <c r="U99" s="6"/>
      <c r="V99" s="6"/>
      <c r="W99" s="6"/>
      <c r="X99" s="6"/>
      <c r="Y99" s="6"/>
      <c r="Z99" s="6"/>
      <c r="AA99" s="6"/>
      <c r="AB99" s="6"/>
      <c r="AC99" s="6"/>
      <c r="AD99" s="6"/>
      <c r="AE99" s="6"/>
      <c r="AF99" s="6"/>
      <c r="AG99" s="6"/>
      <c r="AH99" s="6"/>
      <c r="AI99" s="6"/>
    </row>
    <row r="100" spans="1:35" ht="15.6">
      <c r="A100" s="6"/>
      <c r="B100" s="725" t="s">
        <v>560</v>
      </c>
      <c r="C100" s="724">
        <v>0</v>
      </c>
      <c r="D100" s="724">
        <v>0</v>
      </c>
      <c r="E100" s="724">
        <v>0</v>
      </c>
      <c r="F100" s="724">
        <v>0</v>
      </c>
      <c r="G100" s="724">
        <v>0</v>
      </c>
      <c r="H100" s="724">
        <v>0</v>
      </c>
      <c r="I100" s="724">
        <v>0</v>
      </c>
      <c r="J100" s="724">
        <v>0</v>
      </c>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row>
    <row r="101" spans="1:35" ht="15.6">
      <c r="A101" s="6"/>
      <c r="B101" s="723" t="s">
        <v>561</v>
      </c>
      <c r="C101" s="724">
        <v>103.2</v>
      </c>
      <c r="D101" s="724">
        <v>56.1</v>
      </c>
      <c r="E101" s="724">
        <v>2</v>
      </c>
      <c r="F101" s="724">
        <v>2</v>
      </c>
      <c r="G101" s="724">
        <v>28.9</v>
      </c>
      <c r="H101" s="724">
        <v>29</v>
      </c>
      <c r="I101" s="724">
        <v>38.700000000000003</v>
      </c>
      <c r="J101" s="724">
        <v>38.200000000000003</v>
      </c>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row>
    <row r="102" spans="1:35" ht="15.6">
      <c r="A102" s="6"/>
      <c r="B102" s="723" t="s">
        <v>562</v>
      </c>
      <c r="C102" s="724">
        <v>0</v>
      </c>
      <c r="D102" s="724">
        <v>0</v>
      </c>
      <c r="E102" s="724">
        <v>0</v>
      </c>
      <c r="F102" s="724">
        <v>0</v>
      </c>
      <c r="G102" s="724">
        <v>0</v>
      </c>
      <c r="H102" s="724">
        <v>0</v>
      </c>
      <c r="I102" s="724">
        <v>0</v>
      </c>
      <c r="J102" s="724">
        <v>0</v>
      </c>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row>
    <row r="103" spans="1:35" ht="15.6">
      <c r="A103" s="6"/>
      <c r="B103" s="723" t="s">
        <v>563</v>
      </c>
      <c r="C103" s="724">
        <v>0</v>
      </c>
      <c r="D103" s="724">
        <v>0</v>
      </c>
      <c r="E103" s="724">
        <v>0</v>
      </c>
      <c r="F103" s="724">
        <v>0</v>
      </c>
      <c r="G103" s="724">
        <v>0</v>
      </c>
      <c r="H103" s="724">
        <v>0</v>
      </c>
      <c r="I103" s="724">
        <v>0</v>
      </c>
      <c r="J103" s="724">
        <v>0</v>
      </c>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row>
    <row r="104" spans="1:35" ht="15.6">
      <c r="A104" s="6"/>
      <c r="B104" s="723" t="s">
        <v>564</v>
      </c>
      <c r="C104" s="724">
        <v>-2</v>
      </c>
      <c r="D104" s="724">
        <v>0</v>
      </c>
      <c r="E104" s="724">
        <v>0</v>
      </c>
      <c r="F104" s="724">
        <v>0</v>
      </c>
      <c r="G104" s="724">
        <v>0</v>
      </c>
      <c r="H104" s="724">
        <v>0</v>
      </c>
      <c r="I104" s="724">
        <v>0</v>
      </c>
      <c r="J104" s="724">
        <v>0</v>
      </c>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row>
    <row r="105" spans="1:35" ht="15.6">
      <c r="A105" s="6"/>
      <c r="B105" s="723" t="s">
        <v>565</v>
      </c>
      <c r="C105" s="724">
        <v>0</v>
      </c>
      <c r="D105" s="724">
        <v>0</v>
      </c>
      <c r="E105" s="724">
        <v>0</v>
      </c>
      <c r="F105" s="724">
        <v>0</v>
      </c>
      <c r="G105" s="724">
        <v>0</v>
      </c>
      <c r="H105" s="724">
        <v>0</v>
      </c>
      <c r="I105" s="724">
        <v>0</v>
      </c>
      <c r="J105" s="724">
        <v>0</v>
      </c>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row>
    <row r="106" spans="1:35" ht="15.6">
      <c r="A106" s="6"/>
      <c r="B106" s="723" t="s">
        <v>566</v>
      </c>
      <c r="C106" s="724">
        <v>0</v>
      </c>
      <c r="D106" s="724">
        <v>0</v>
      </c>
      <c r="E106" s="724">
        <v>0</v>
      </c>
      <c r="F106" s="724">
        <v>0</v>
      </c>
      <c r="G106" s="724">
        <v>0</v>
      </c>
      <c r="H106" s="724">
        <v>0</v>
      </c>
      <c r="I106" s="724">
        <v>0</v>
      </c>
      <c r="J106" s="724">
        <v>0</v>
      </c>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row>
    <row r="107" spans="1:35" ht="15.6">
      <c r="A107" s="6"/>
      <c r="B107" s="723" t="s">
        <v>567</v>
      </c>
      <c r="C107" s="724">
        <v>22.2</v>
      </c>
      <c r="D107" s="724">
        <v>27.3</v>
      </c>
      <c r="E107" s="724">
        <v>45.8</v>
      </c>
      <c r="F107" s="724">
        <v>49.1</v>
      </c>
      <c r="G107" s="724">
        <v>56.3</v>
      </c>
      <c r="H107" s="724">
        <v>61</v>
      </c>
      <c r="I107" s="724">
        <v>78.8</v>
      </c>
      <c r="J107" s="724">
        <v>87.3</v>
      </c>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row>
    <row r="108" spans="1:35" ht="15.6">
      <c r="A108" s="6"/>
      <c r="B108" s="723" t="s">
        <v>568</v>
      </c>
      <c r="C108" s="724">
        <v>0</v>
      </c>
      <c r="D108" s="724">
        <v>0</v>
      </c>
      <c r="E108" s="724">
        <v>0</v>
      </c>
      <c r="F108" s="724">
        <v>0</v>
      </c>
      <c r="G108" s="724">
        <v>0</v>
      </c>
      <c r="H108" s="724">
        <v>0</v>
      </c>
      <c r="I108" s="724">
        <v>0</v>
      </c>
      <c r="J108" s="724">
        <v>0</v>
      </c>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row>
    <row r="109" spans="1:35" ht="15.6">
      <c r="A109" s="6"/>
      <c r="B109" s="723" t="s">
        <v>569</v>
      </c>
      <c r="C109" s="724">
        <v>3.8</v>
      </c>
      <c r="D109" s="724">
        <v>10.3</v>
      </c>
      <c r="E109" s="724">
        <v>0</v>
      </c>
      <c r="F109" s="724">
        <v>0</v>
      </c>
      <c r="G109" s="724">
        <v>0</v>
      </c>
      <c r="H109" s="724">
        <v>0</v>
      </c>
      <c r="I109" s="724">
        <v>0</v>
      </c>
      <c r="J109" s="724">
        <v>0</v>
      </c>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row>
    <row r="110" spans="1:35" ht="15.6">
      <c r="A110" s="6"/>
      <c r="B110" s="723" t="s">
        <v>570</v>
      </c>
      <c r="C110" s="724">
        <v>45.4</v>
      </c>
      <c r="D110" s="724">
        <v>70.400000000000006</v>
      </c>
      <c r="E110" s="724">
        <v>93.8</v>
      </c>
      <c r="F110" s="724">
        <v>168.4</v>
      </c>
      <c r="G110" s="724">
        <v>120</v>
      </c>
      <c r="H110" s="724">
        <v>145.1</v>
      </c>
      <c r="I110" s="724">
        <v>164.8</v>
      </c>
      <c r="J110" s="724">
        <v>220</v>
      </c>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row>
    <row r="111" spans="1:35" ht="15.6">
      <c r="A111" s="6"/>
      <c r="B111" s="725" t="s">
        <v>571</v>
      </c>
      <c r="C111" s="724">
        <v>0</v>
      </c>
      <c r="D111" s="724">
        <v>0</v>
      </c>
      <c r="E111" s="724">
        <v>10.8</v>
      </c>
      <c r="F111" s="724">
        <v>89.3</v>
      </c>
      <c r="G111" s="724">
        <v>31.6</v>
      </c>
      <c r="H111" s="724">
        <v>81.900000000000006</v>
      </c>
      <c r="I111" s="724">
        <v>81.400000000000006</v>
      </c>
      <c r="J111" s="724">
        <v>23.2</v>
      </c>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row>
    <row r="112" spans="1:35" ht="15.6">
      <c r="A112" s="6"/>
      <c r="B112" s="725" t="s">
        <v>572</v>
      </c>
      <c r="C112" s="724">
        <v>45.4</v>
      </c>
      <c r="D112" s="724">
        <v>70.400000000000006</v>
      </c>
      <c r="E112" s="724">
        <v>83.1</v>
      </c>
      <c r="F112" s="724">
        <v>79</v>
      </c>
      <c r="G112" s="724">
        <v>88.4</v>
      </c>
      <c r="H112" s="724">
        <v>63.2</v>
      </c>
      <c r="I112" s="724">
        <v>83.4</v>
      </c>
      <c r="J112" s="724">
        <v>196.7</v>
      </c>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row>
    <row r="113" spans="1:35" ht="15.6">
      <c r="A113" s="6"/>
      <c r="B113" s="723" t="s">
        <v>573</v>
      </c>
      <c r="C113" s="724">
        <v>0</v>
      </c>
      <c r="D113" s="724">
        <v>0</v>
      </c>
      <c r="E113" s="724">
        <v>0</v>
      </c>
      <c r="F113" s="724">
        <v>0</v>
      </c>
      <c r="G113" s="724">
        <v>0</v>
      </c>
      <c r="H113" s="724">
        <v>0</v>
      </c>
      <c r="I113" s="724">
        <v>0</v>
      </c>
      <c r="J113" s="724">
        <v>0</v>
      </c>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row>
    <row r="114" spans="1:35" ht="15.6">
      <c r="A114" s="6"/>
      <c r="B114" s="723" t="s">
        <v>577</v>
      </c>
      <c r="C114" s="724">
        <v>227.9</v>
      </c>
      <c r="D114" s="724">
        <v>305.5</v>
      </c>
      <c r="E114" s="724">
        <v>275.5</v>
      </c>
      <c r="F114" s="724">
        <v>186.4</v>
      </c>
      <c r="G114" s="724">
        <v>141.80000000000001</v>
      </c>
      <c r="H114" s="724">
        <v>231.1</v>
      </c>
      <c r="I114" s="724">
        <v>258.5</v>
      </c>
      <c r="J114" s="724">
        <v>410.7</v>
      </c>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row>
    <row r="115" spans="1:35" ht="15.6">
      <c r="A115" s="7"/>
      <c r="B115" s="721" t="s">
        <v>574</v>
      </c>
      <c r="C115" s="722">
        <v>0</v>
      </c>
      <c r="D115" s="722">
        <v>0</v>
      </c>
      <c r="E115" s="722">
        <v>0</v>
      </c>
      <c r="F115" s="722">
        <v>0</v>
      </c>
      <c r="G115" s="722">
        <v>0</v>
      </c>
      <c r="H115" s="722">
        <v>0</v>
      </c>
      <c r="I115" s="722">
        <v>0</v>
      </c>
      <c r="J115" s="722">
        <v>0</v>
      </c>
      <c r="K115" s="6"/>
      <c r="L115" s="6"/>
      <c r="M115" s="6"/>
      <c r="N115" s="6"/>
      <c r="O115" s="6"/>
      <c r="P115" s="6"/>
      <c r="Q115" s="6"/>
      <c r="R115" s="6"/>
      <c r="S115" s="7"/>
      <c r="T115" s="7"/>
      <c r="U115" s="7"/>
      <c r="V115" s="7"/>
      <c r="W115" s="7"/>
      <c r="X115" s="7"/>
      <c r="Y115" s="7"/>
      <c r="Z115" s="7"/>
      <c r="AA115" s="7"/>
      <c r="AB115" s="7"/>
      <c r="AC115" s="7"/>
      <c r="AD115" s="7"/>
      <c r="AE115" s="7"/>
      <c r="AF115" s="7"/>
      <c r="AG115" s="7"/>
      <c r="AH115" s="7"/>
      <c r="AI115" s="7"/>
    </row>
    <row r="116" spans="1:35" ht="15.6">
      <c r="A116" s="6"/>
      <c r="B116" s="723" t="s">
        <v>575</v>
      </c>
      <c r="C116" s="724">
        <v>0</v>
      </c>
      <c r="D116" s="724">
        <v>0</v>
      </c>
      <c r="E116" s="724">
        <v>0</v>
      </c>
      <c r="F116" s="724">
        <v>0</v>
      </c>
      <c r="G116" s="724">
        <v>0</v>
      </c>
      <c r="H116" s="724">
        <v>0</v>
      </c>
      <c r="I116" s="724">
        <v>0</v>
      </c>
      <c r="J116" s="724">
        <v>0</v>
      </c>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row>
    <row r="117" spans="1:35" ht="15.6">
      <c r="A117" s="6"/>
      <c r="B117" s="723" t="s">
        <v>576</v>
      </c>
      <c r="C117" s="724">
        <v>0</v>
      </c>
      <c r="D117" s="724">
        <v>0</v>
      </c>
      <c r="E117" s="724">
        <v>0</v>
      </c>
      <c r="F117" s="724">
        <v>0</v>
      </c>
      <c r="G117" s="724">
        <v>0</v>
      </c>
      <c r="H117" s="724">
        <v>0</v>
      </c>
      <c r="I117" s="724">
        <v>0</v>
      </c>
      <c r="J117" s="724">
        <v>0</v>
      </c>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row>
    <row r="118" spans="1:35" ht="15.6">
      <c r="A118" s="8"/>
      <c r="B118" s="719" t="s">
        <v>578</v>
      </c>
      <c r="C118" s="720">
        <v>1725.2</v>
      </c>
      <c r="D118" s="720">
        <v>1710.3</v>
      </c>
      <c r="E118" s="720">
        <v>1885.2</v>
      </c>
      <c r="F118" s="720">
        <v>1551.7</v>
      </c>
      <c r="G118" s="720">
        <v>1658.6</v>
      </c>
      <c r="H118" s="720">
        <v>4360.6000000000004</v>
      </c>
      <c r="I118" s="720">
        <v>6763.2</v>
      </c>
      <c r="J118" s="720">
        <v>7773.1</v>
      </c>
      <c r="K118" s="6"/>
      <c r="L118" s="6"/>
      <c r="M118" s="6"/>
      <c r="N118" s="6"/>
      <c r="O118" s="6"/>
      <c r="P118" s="6"/>
      <c r="Q118" s="6"/>
      <c r="R118" s="6"/>
      <c r="S118" s="7"/>
      <c r="T118" s="7"/>
      <c r="U118" s="7"/>
      <c r="V118" s="7"/>
      <c r="W118" s="7"/>
      <c r="X118" s="7"/>
      <c r="Y118" s="7"/>
      <c r="Z118" s="7"/>
      <c r="AA118" s="7"/>
      <c r="AB118" s="7"/>
      <c r="AC118" s="7"/>
      <c r="AD118" s="7"/>
      <c r="AE118" s="7"/>
      <c r="AF118" s="7"/>
      <c r="AG118" s="7"/>
      <c r="AH118" s="7"/>
      <c r="AI118" s="7"/>
    </row>
    <row r="119" spans="1:35" ht="15.6">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row>
    <row r="120" spans="1:35" ht="33" customHeight="1">
      <c r="A120" s="10"/>
      <c r="B120" s="726" t="s">
        <v>69</v>
      </c>
      <c r="C120" s="763"/>
      <c r="D120" s="764"/>
      <c r="E120" s="764"/>
      <c r="F120" s="764"/>
      <c r="G120" s="764"/>
      <c r="H120" s="764"/>
      <c r="I120" s="764"/>
      <c r="J120" s="765"/>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row>
    <row r="121" spans="1:35" ht="15.6">
      <c r="A121" s="7"/>
      <c r="B121" s="727" t="s">
        <v>579</v>
      </c>
      <c r="C121" s="7">
        <v>307.89999999999998</v>
      </c>
      <c r="D121" s="7">
        <v>338.8</v>
      </c>
      <c r="E121" s="7">
        <v>354.4</v>
      </c>
      <c r="F121" s="7">
        <v>431.4</v>
      </c>
      <c r="G121" s="7">
        <v>539.1</v>
      </c>
      <c r="H121" s="7">
        <v>559.5</v>
      </c>
      <c r="I121" s="7">
        <v>1159.4000000000001</v>
      </c>
      <c r="J121" s="7">
        <v>1494.5</v>
      </c>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row>
    <row r="122" spans="1:35" ht="15.6">
      <c r="A122" s="6"/>
      <c r="B122" s="728" t="s">
        <v>580</v>
      </c>
      <c r="C122" s="6">
        <v>0</v>
      </c>
      <c r="D122" s="6">
        <v>0</v>
      </c>
      <c r="E122" s="6">
        <v>0</v>
      </c>
      <c r="F122" s="6">
        <v>0</v>
      </c>
      <c r="G122" s="6">
        <v>0</v>
      </c>
      <c r="H122" s="6">
        <v>0</v>
      </c>
      <c r="I122" s="6">
        <v>0</v>
      </c>
      <c r="J122" s="6">
        <v>1.2</v>
      </c>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row>
    <row r="123" spans="1:35" ht="15.6">
      <c r="A123" s="7"/>
      <c r="B123" s="727" t="s">
        <v>581</v>
      </c>
      <c r="C123" s="7">
        <v>307.89999999999998</v>
      </c>
      <c r="D123" s="7">
        <v>338.8</v>
      </c>
      <c r="E123" s="7">
        <v>354.4</v>
      </c>
      <c r="F123" s="7">
        <v>431.4</v>
      </c>
      <c r="G123" s="7">
        <v>539.1</v>
      </c>
      <c r="H123" s="7">
        <v>559.5</v>
      </c>
      <c r="I123" s="7">
        <v>1159.4000000000001</v>
      </c>
      <c r="J123" s="7">
        <v>1493.3</v>
      </c>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row>
    <row r="124" spans="1:35" ht="15.6">
      <c r="A124" s="6"/>
      <c r="B124" s="728" t="s">
        <v>582</v>
      </c>
      <c r="C124" s="6">
        <v>118.2</v>
      </c>
      <c r="D124" s="6">
        <v>134.5</v>
      </c>
      <c r="E124" s="6">
        <v>157.30000000000001</v>
      </c>
      <c r="F124" s="6">
        <v>212.5</v>
      </c>
      <c r="G124" s="6">
        <v>227.3</v>
      </c>
      <c r="H124" s="6">
        <v>253.5</v>
      </c>
      <c r="I124" s="6">
        <v>509.7</v>
      </c>
      <c r="J124" s="6">
        <v>732.7</v>
      </c>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row>
    <row r="125" spans="1:35" ht="15.6">
      <c r="A125" s="7"/>
      <c r="B125" s="727" t="s">
        <v>583</v>
      </c>
      <c r="C125" s="7">
        <v>189.7</v>
      </c>
      <c r="D125" s="7">
        <v>204.3</v>
      </c>
      <c r="E125" s="7">
        <v>197</v>
      </c>
      <c r="F125" s="7">
        <v>218.9</v>
      </c>
      <c r="G125" s="7">
        <v>311.8</v>
      </c>
      <c r="H125" s="7">
        <v>306</v>
      </c>
      <c r="I125" s="7">
        <v>649.70000000000005</v>
      </c>
      <c r="J125" s="7">
        <v>760.7</v>
      </c>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row>
    <row r="126" spans="1:35" ht="15.6">
      <c r="A126" s="6"/>
      <c r="B126" s="728" t="s">
        <v>584</v>
      </c>
      <c r="C126" s="6">
        <v>33.799999999999997</v>
      </c>
      <c r="D126" s="6">
        <v>44.6</v>
      </c>
      <c r="E126" s="6">
        <v>34.4</v>
      </c>
      <c r="F126" s="6">
        <v>26.8</v>
      </c>
      <c r="G126" s="6">
        <v>18</v>
      </c>
      <c r="H126" s="6">
        <v>19.5</v>
      </c>
      <c r="I126" s="6">
        <v>24.2</v>
      </c>
      <c r="J126" s="6">
        <v>30.5</v>
      </c>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row>
    <row r="127" spans="1:35" ht="15.6">
      <c r="A127" s="6"/>
      <c r="B127" s="728" t="s">
        <v>585</v>
      </c>
      <c r="C127" s="6">
        <v>97.9</v>
      </c>
      <c r="D127" s="6">
        <v>76.3</v>
      </c>
      <c r="E127" s="6">
        <v>41.4</v>
      </c>
      <c r="F127" s="6">
        <v>45.8</v>
      </c>
      <c r="G127" s="6">
        <v>24.6</v>
      </c>
      <c r="H127" s="6">
        <v>41.1</v>
      </c>
      <c r="I127" s="6">
        <v>257.8</v>
      </c>
      <c r="J127" s="6">
        <v>371.2</v>
      </c>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row>
    <row r="128" spans="1:35" ht="15.6">
      <c r="A128" s="6"/>
      <c r="B128" s="729" t="s">
        <v>586</v>
      </c>
      <c r="C128" s="6">
        <v>78.3</v>
      </c>
      <c r="D128" s="6">
        <v>59.5</v>
      </c>
      <c r="E128" s="6">
        <v>41.1</v>
      </c>
      <c r="F128" s="6">
        <v>39.1</v>
      </c>
      <c r="G128" s="6">
        <v>24.4</v>
      </c>
      <c r="H128" s="6">
        <v>40.200000000000003</v>
      </c>
      <c r="I128" s="6">
        <v>244.9</v>
      </c>
      <c r="J128" s="6">
        <v>354.4</v>
      </c>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row>
    <row r="129" spans="1:35" ht="15.6">
      <c r="A129" s="6"/>
      <c r="B129" s="728" t="s">
        <v>587</v>
      </c>
      <c r="C129" s="6">
        <v>6.5</v>
      </c>
      <c r="D129" s="6">
        <v>0</v>
      </c>
      <c r="E129" s="6">
        <v>0</v>
      </c>
      <c r="F129" s="6">
        <v>0</v>
      </c>
      <c r="G129" s="6">
        <v>0</v>
      </c>
      <c r="H129" s="6">
        <v>0</v>
      </c>
      <c r="I129" s="6">
        <v>0</v>
      </c>
      <c r="J129" s="6">
        <v>0</v>
      </c>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row>
    <row r="130" spans="1:35" ht="15.6">
      <c r="A130" s="6"/>
      <c r="B130" s="728" t="s">
        <v>588</v>
      </c>
      <c r="C130" s="6">
        <v>0</v>
      </c>
      <c r="D130" s="6">
        <v>0.2</v>
      </c>
      <c r="E130" s="6">
        <v>0</v>
      </c>
      <c r="F130" s="6">
        <v>0.1</v>
      </c>
      <c r="G130" s="6">
        <v>1</v>
      </c>
      <c r="H130" s="6">
        <v>0.6</v>
      </c>
      <c r="I130" s="6">
        <v>0.6</v>
      </c>
      <c r="J130" s="6">
        <v>1.7</v>
      </c>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row>
    <row r="131" spans="1:35" ht="15.6">
      <c r="A131" s="6"/>
      <c r="B131" s="728" t="s">
        <v>589</v>
      </c>
      <c r="C131" s="6">
        <v>30.3</v>
      </c>
      <c r="D131" s="6">
        <v>40.4</v>
      </c>
      <c r="E131" s="6">
        <v>42.1</v>
      </c>
      <c r="F131" s="6">
        <v>51.3</v>
      </c>
      <c r="G131" s="6">
        <v>65.099999999999994</v>
      </c>
      <c r="H131" s="6">
        <v>76.599999999999994</v>
      </c>
      <c r="I131" s="6">
        <v>111.2</v>
      </c>
      <c r="J131" s="6">
        <v>114.3</v>
      </c>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row>
    <row r="132" spans="1:35" ht="15.6">
      <c r="A132" s="7"/>
      <c r="B132" s="727" t="s">
        <v>590</v>
      </c>
      <c r="C132" s="7">
        <v>101.8</v>
      </c>
      <c r="D132" s="7">
        <v>132.1</v>
      </c>
      <c r="E132" s="7">
        <v>147.80000000000001</v>
      </c>
      <c r="F132" s="7">
        <v>148.5</v>
      </c>
      <c r="G132" s="7">
        <v>239.2</v>
      </c>
      <c r="H132" s="7">
        <v>207.1</v>
      </c>
      <c r="I132" s="7">
        <v>304.3</v>
      </c>
      <c r="J132" s="7">
        <v>303.89999999999998</v>
      </c>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row>
    <row r="133" spans="1:35" ht="15.6">
      <c r="A133" s="6"/>
      <c r="B133" s="728" t="s">
        <v>591</v>
      </c>
      <c r="C133" s="6">
        <v>7.4</v>
      </c>
      <c r="D133" s="6">
        <v>3.6</v>
      </c>
      <c r="E133" s="6">
        <v>2.7</v>
      </c>
      <c r="F133" s="6">
        <v>2.7</v>
      </c>
      <c r="G133" s="6">
        <v>2.2000000000000002</v>
      </c>
      <c r="H133" s="6">
        <v>2.4</v>
      </c>
      <c r="I133" s="6">
        <v>1</v>
      </c>
      <c r="J133" s="6">
        <v>5.8</v>
      </c>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row>
    <row r="134" spans="1:35" ht="15.6">
      <c r="A134" s="6"/>
      <c r="B134" s="728" t="s">
        <v>592</v>
      </c>
      <c r="C134" s="6">
        <v>4.5999999999999996</v>
      </c>
      <c r="D134" s="6">
        <v>7.6</v>
      </c>
      <c r="E134" s="6">
        <v>2</v>
      </c>
      <c r="F134" s="6">
        <v>1.9</v>
      </c>
      <c r="G134" s="6">
        <v>10.9</v>
      </c>
      <c r="H134" s="6">
        <v>2.6</v>
      </c>
      <c r="I134" s="6">
        <v>1.3</v>
      </c>
      <c r="J134" s="6">
        <v>1.2</v>
      </c>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row>
    <row r="135" spans="1:35" ht="15.6">
      <c r="A135" s="6"/>
      <c r="B135" s="728" t="s">
        <v>593</v>
      </c>
      <c r="C135" s="6">
        <v>2.8</v>
      </c>
      <c r="D135" s="6">
        <v>-4.0999999999999996</v>
      </c>
      <c r="E135" s="6">
        <v>0.7</v>
      </c>
      <c r="F135" s="6">
        <v>0.7</v>
      </c>
      <c r="G135" s="6">
        <v>-8.6999999999999993</v>
      </c>
      <c r="H135" s="6">
        <v>-0.2</v>
      </c>
      <c r="I135" s="6">
        <v>-0.3</v>
      </c>
      <c r="J135" s="6">
        <v>4.7</v>
      </c>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row>
    <row r="136" spans="1:35" ht="15.6">
      <c r="A136" s="7"/>
      <c r="B136" s="727" t="s">
        <v>667</v>
      </c>
      <c r="C136" s="7">
        <v>104.6</v>
      </c>
      <c r="D136" s="7">
        <v>128</v>
      </c>
      <c r="E136" s="7">
        <v>148.5</v>
      </c>
      <c r="F136" s="7">
        <v>149.19999999999999</v>
      </c>
      <c r="G136" s="7">
        <v>230.4</v>
      </c>
      <c r="H136" s="7">
        <v>206.9</v>
      </c>
      <c r="I136" s="7">
        <v>303.89999999999998</v>
      </c>
      <c r="J136" s="7">
        <v>308.60000000000002</v>
      </c>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row>
    <row r="137" spans="1:35" ht="15.6">
      <c r="A137" s="6"/>
      <c r="B137" s="728" t="s">
        <v>594</v>
      </c>
      <c r="C137" s="6">
        <v>14.5</v>
      </c>
      <c r="D137" s="6">
        <v>16.8</v>
      </c>
      <c r="E137" s="6">
        <v>16.600000000000001</v>
      </c>
      <c r="F137" s="6">
        <v>13.1</v>
      </c>
      <c r="G137" s="6">
        <v>21.4</v>
      </c>
      <c r="H137" s="6">
        <v>20.6</v>
      </c>
      <c r="I137" s="6">
        <v>13.7</v>
      </c>
      <c r="J137" s="6">
        <v>14.1</v>
      </c>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row>
    <row r="138" spans="1:35" ht="15.6">
      <c r="A138" s="6"/>
      <c r="B138" s="728" t="s">
        <v>595</v>
      </c>
      <c r="C138" s="6">
        <v>-1</v>
      </c>
      <c r="D138" s="6">
        <v>-1.9</v>
      </c>
      <c r="E138" s="6">
        <v>-0.4</v>
      </c>
      <c r="F138" s="6">
        <v>1.8</v>
      </c>
      <c r="G138" s="6">
        <v>-0.3</v>
      </c>
      <c r="H138" s="6">
        <v>-1</v>
      </c>
      <c r="I138" s="6">
        <v>-0.3</v>
      </c>
      <c r="J138" s="6">
        <v>-0.5</v>
      </c>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row>
    <row r="139" spans="1:35" ht="15.6">
      <c r="A139" s="7"/>
      <c r="B139" s="730" t="s">
        <v>596</v>
      </c>
      <c r="C139" s="5">
        <v>91</v>
      </c>
      <c r="D139" s="5">
        <v>113.2</v>
      </c>
      <c r="E139" s="5">
        <v>132.30000000000001</v>
      </c>
      <c r="F139" s="5">
        <v>134.4</v>
      </c>
      <c r="G139" s="5">
        <v>209.3</v>
      </c>
      <c r="H139" s="5">
        <v>187.3</v>
      </c>
      <c r="I139" s="5">
        <v>290.5</v>
      </c>
      <c r="J139" s="5">
        <v>295</v>
      </c>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row>
    <row r="140" spans="1:35" ht="15.6">
      <c r="A140" s="6"/>
      <c r="B140" s="728" t="s">
        <v>597</v>
      </c>
      <c r="C140" s="6">
        <v>39.1</v>
      </c>
      <c r="D140" s="6">
        <v>37.200000000000003</v>
      </c>
      <c r="E140" s="6">
        <v>39.6</v>
      </c>
      <c r="F140" s="6">
        <v>39.299999999999997</v>
      </c>
      <c r="G140" s="6">
        <v>55.5</v>
      </c>
      <c r="H140" s="6">
        <v>42.6</v>
      </c>
      <c r="I140" s="6">
        <v>39.5</v>
      </c>
      <c r="J140" s="6">
        <v>37.6</v>
      </c>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row>
    <row r="141" spans="1:35" ht="15.6">
      <c r="A141" s="8"/>
      <c r="B141" s="727" t="s">
        <v>598</v>
      </c>
      <c r="C141" s="7">
        <v>52</v>
      </c>
      <c r="D141" s="7">
        <v>76</v>
      </c>
      <c r="E141" s="7">
        <v>92.7</v>
      </c>
      <c r="F141" s="7">
        <v>95.1</v>
      </c>
      <c r="G141" s="7">
        <v>153.80000000000001</v>
      </c>
      <c r="H141" s="7">
        <v>144.69999999999999</v>
      </c>
      <c r="I141" s="7">
        <v>251</v>
      </c>
      <c r="J141" s="7">
        <v>257.39999999999998</v>
      </c>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row>
    <row r="142" spans="1:35" ht="15.6">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row>
    <row r="143" spans="1:35" ht="37.5" customHeight="1">
      <c r="A143" s="10"/>
      <c r="B143" s="726" t="s">
        <v>280</v>
      </c>
      <c r="C143" s="766"/>
      <c r="D143" s="764"/>
      <c r="E143" s="764"/>
      <c r="F143" s="764"/>
      <c r="G143" s="764"/>
      <c r="H143" s="764"/>
      <c r="I143" s="764"/>
      <c r="J143" s="765"/>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row>
    <row r="144" spans="1:35" ht="15.6">
      <c r="A144" s="7"/>
      <c r="B144" s="730" t="s">
        <v>599</v>
      </c>
      <c r="C144" s="5">
        <v>66.900000000000006</v>
      </c>
      <c r="D144" s="5">
        <v>345.1</v>
      </c>
      <c r="E144" s="5">
        <v>71.900000000000006</v>
      </c>
      <c r="F144" s="5">
        <v>168.4</v>
      </c>
      <c r="G144" s="5">
        <v>243.8</v>
      </c>
      <c r="H144" s="5">
        <v>141.1</v>
      </c>
      <c r="I144" s="5">
        <v>-332.8</v>
      </c>
      <c r="J144" s="5">
        <v>420.6</v>
      </c>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row>
    <row r="145" spans="1:35" ht="15.6">
      <c r="A145" s="7"/>
      <c r="B145" s="727" t="s">
        <v>600</v>
      </c>
      <c r="C145" s="7">
        <v>0</v>
      </c>
      <c r="D145" s="7">
        <v>0</v>
      </c>
      <c r="E145" s="7">
        <v>148.5</v>
      </c>
      <c r="F145" s="7">
        <v>149.19999999999999</v>
      </c>
      <c r="G145" s="7">
        <v>230.4</v>
      </c>
      <c r="H145" s="7">
        <v>206.9</v>
      </c>
      <c r="I145" s="7">
        <v>303.89999999999998</v>
      </c>
      <c r="J145" s="7">
        <v>308.60000000000002</v>
      </c>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row>
    <row r="146" spans="1:35" ht="15.6">
      <c r="A146" s="7"/>
      <c r="B146" s="727" t="s">
        <v>601</v>
      </c>
      <c r="C146" s="7">
        <v>0</v>
      </c>
      <c r="D146" s="7">
        <v>0</v>
      </c>
      <c r="E146" s="7">
        <v>0</v>
      </c>
      <c r="F146" s="7">
        <v>0</v>
      </c>
      <c r="G146" s="7">
        <v>0</v>
      </c>
      <c r="H146" s="7">
        <v>0</v>
      </c>
      <c r="I146" s="7">
        <v>0</v>
      </c>
      <c r="J146" s="7">
        <v>0</v>
      </c>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row>
    <row r="147" spans="1:35" ht="15.6">
      <c r="A147" s="6"/>
      <c r="B147" s="728" t="s">
        <v>271</v>
      </c>
      <c r="C147" s="6">
        <v>0</v>
      </c>
      <c r="D147" s="6">
        <v>0</v>
      </c>
      <c r="E147" s="6">
        <v>74</v>
      </c>
      <c r="F147" s="6">
        <v>79.8</v>
      </c>
      <c r="G147" s="6">
        <v>79.5</v>
      </c>
      <c r="H147" s="6">
        <v>97.5</v>
      </c>
      <c r="I147" s="6">
        <v>285</v>
      </c>
      <c r="J147" s="6">
        <v>354</v>
      </c>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row>
    <row r="148" spans="1:35" ht="15.6">
      <c r="A148" s="6"/>
      <c r="B148" s="728" t="s">
        <v>602</v>
      </c>
      <c r="C148" s="6">
        <v>0</v>
      </c>
      <c r="D148" s="6">
        <v>0</v>
      </c>
      <c r="E148" s="6">
        <v>-0.4</v>
      </c>
      <c r="F148" s="6">
        <v>0</v>
      </c>
      <c r="G148" s="6">
        <v>0.3</v>
      </c>
      <c r="H148" s="6">
        <v>0.3</v>
      </c>
      <c r="I148" s="6">
        <v>0.5</v>
      </c>
      <c r="J148" s="6">
        <v>-0.4</v>
      </c>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row>
    <row r="149" spans="1:35" ht="15.6">
      <c r="A149" s="6"/>
      <c r="B149" s="728" t="s">
        <v>603</v>
      </c>
      <c r="C149" s="6">
        <v>0</v>
      </c>
      <c r="D149" s="6">
        <v>0</v>
      </c>
      <c r="E149" s="6">
        <v>-34.5</v>
      </c>
      <c r="F149" s="6">
        <v>-27.1</v>
      </c>
      <c r="G149" s="6">
        <v>-11.2</v>
      </c>
      <c r="H149" s="6">
        <v>-19.100000000000001</v>
      </c>
      <c r="I149" s="6">
        <v>-23.7</v>
      </c>
      <c r="J149" s="6">
        <v>-25.8</v>
      </c>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row>
    <row r="150" spans="1:35" ht="15.6">
      <c r="A150" s="6"/>
      <c r="B150" s="728" t="s">
        <v>604</v>
      </c>
      <c r="C150" s="6">
        <v>0</v>
      </c>
      <c r="D150" s="6">
        <v>0</v>
      </c>
      <c r="E150" s="6">
        <v>0.2</v>
      </c>
      <c r="F150" s="6">
        <v>0</v>
      </c>
      <c r="G150" s="6">
        <v>0</v>
      </c>
      <c r="H150" s="6">
        <v>0.8</v>
      </c>
      <c r="I150" s="6">
        <v>0.5</v>
      </c>
      <c r="J150" s="6">
        <v>1.4</v>
      </c>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row>
    <row r="151" spans="1:35" ht="15.6">
      <c r="A151" s="6"/>
      <c r="B151" s="728" t="s">
        <v>605</v>
      </c>
      <c r="C151" s="6">
        <v>0</v>
      </c>
      <c r="D151" s="6">
        <v>0</v>
      </c>
      <c r="E151" s="6">
        <v>0</v>
      </c>
      <c r="F151" s="6">
        <v>0</v>
      </c>
      <c r="G151" s="6">
        <v>0</v>
      </c>
      <c r="H151" s="6">
        <v>0</v>
      </c>
      <c r="I151" s="6">
        <v>0</v>
      </c>
      <c r="J151" s="6">
        <v>0</v>
      </c>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row>
    <row r="152" spans="1:35" ht="15.6">
      <c r="A152" s="6"/>
      <c r="B152" s="728" t="s">
        <v>606</v>
      </c>
      <c r="C152" s="6">
        <v>0</v>
      </c>
      <c r="D152" s="6">
        <v>0</v>
      </c>
      <c r="E152" s="6">
        <v>41.1</v>
      </c>
      <c r="F152" s="6">
        <v>39.1</v>
      </c>
      <c r="G152" s="6">
        <v>24.4</v>
      </c>
      <c r="H152" s="6">
        <v>40.200000000000003</v>
      </c>
      <c r="I152" s="6">
        <v>247.3</v>
      </c>
      <c r="J152" s="6">
        <v>357.9</v>
      </c>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row>
    <row r="153" spans="1:35" ht="15.6">
      <c r="A153" s="6"/>
      <c r="B153" s="728" t="s">
        <v>607</v>
      </c>
      <c r="C153" s="6">
        <v>0</v>
      </c>
      <c r="D153" s="6">
        <v>0</v>
      </c>
      <c r="E153" s="6">
        <v>0</v>
      </c>
      <c r="F153" s="6">
        <v>0.9</v>
      </c>
      <c r="G153" s="6">
        <v>0</v>
      </c>
      <c r="H153" s="6">
        <v>0</v>
      </c>
      <c r="I153" s="6">
        <v>0</v>
      </c>
      <c r="J153" s="6">
        <v>0</v>
      </c>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row>
    <row r="154" spans="1:35" ht="15.6">
      <c r="A154" s="6"/>
      <c r="B154" s="728" t="s">
        <v>608</v>
      </c>
      <c r="C154" s="6">
        <v>0</v>
      </c>
      <c r="D154" s="6">
        <v>0</v>
      </c>
      <c r="E154" s="6">
        <v>0</v>
      </c>
      <c r="F154" s="6">
        <v>0</v>
      </c>
      <c r="G154" s="6">
        <v>0</v>
      </c>
      <c r="H154" s="6">
        <v>0</v>
      </c>
      <c r="I154" s="6">
        <v>0</v>
      </c>
      <c r="J154" s="6">
        <v>0</v>
      </c>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row>
    <row r="155" spans="1:35" ht="15.6">
      <c r="A155" s="6"/>
      <c r="B155" s="728" t="s">
        <v>609</v>
      </c>
      <c r="C155" s="6">
        <v>0</v>
      </c>
      <c r="D155" s="6">
        <v>0</v>
      </c>
      <c r="E155" s="6">
        <v>0</v>
      </c>
      <c r="F155" s="6">
        <v>0</v>
      </c>
      <c r="G155" s="6">
        <v>0</v>
      </c>
      <c r="H155" s="6">
        <v>0</v>
      </c>
      <c r="I155" s="6">
        <v>0</v>
      </c>
      <c r="J155" s="6">
        <v>0</v>
      </c>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row>
    <row r="156" spans="1:35" ht="15.6">
      <c r="A156" s="6"/>
      <c r="B156" s="728" t="s">
        <v>610</v>
      </c>
      <c r="C156" s="6">
        <v>0</v>
      </c>
      <c r="D156" s="6">
        <v>0</v>
      </c>
      <c r="E156" s="6">
        <v>0</v>
      </c>
      <c r="F156" s="6">
        <v>0</v>
      </c>
      <c r="G156" s="6">
        <v>0</v>
      </c>
      <c r="H156" s="6">
        <v>0</v>
      </c>
      <c r="I156" s="6">
        <v>0</v>
      </c>
      <c r="J156" s="6">
        <v>0</v>
      </c>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row>
    <row r="157" spans="1:35" ht="15.6">
      <c r="A157" s="7"/>
      <c r="B157" s="727" t="s">
        <v>611</v>
      </c>
      <c r="C157" s="7">
        <v>0</v>
      </c>
      <c r="D157" s="7">
        <v>0</v>
      </c>
      <c r="E157" s="7">
        <v>229</v>
      </c>
      <c r="F157" s="7">
        <v>242</v>
      </c>
      <c r="G157" s="7">
        <v>323.5</v>
      </c>
      <c r="H157" s="7">
        <v>326.60000000000002</v>
      </c>
      <c r="I157" s="7">
        <v>813.5</v>
      </c>
      <c r="J157" s="7">
        <v>995.7</v>
      </c>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row>
    <row r="158" spans="1:35" ht="15.6">
      <c r="A158" s="6"/>
      <c r="B158" s="728" t="s">
        <v>612</v>
      </c>
      <c r="C158" s="6">
        <v>0</v>
      </c>
      <c r="D158" s="6">
        <v>0</v>
      </c>
      <c r="E158" s="6">
        <v>-110</v>
      </c>
      <c r="F158" s="6">
        <v>-11.2</v>
      </c>
      <c r="G158" s="6">
        <v>-18.100000000000001</v>
      </c>
      <c r="H158" s="6">
        <v>-95.2</v>
      </c>
      <c r="I158" s="6">
        <v>-295.7</v>
      </c>
      <c r="J158" s="6">
        <v>-667.3</v>
      </c>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row>
    <row r="159" spans="1:35" ht="15.6">
      <c r="A159" s="6"/>
      <c r="B159" s="6" t="s">
        <v>614</v>
      </c>
      <c r="C159" s="6">
        <v>0</v>
      </c>
      <c r="D159" s="6">
        <v>0</v>
      </c>
      <c r="E159" s="6">
        <v>0</v>
      </c>
      <c r="F159" s="6">
        <v>0</v>
      </c>
      <c r="G159" s="6">
        <v>0</v>
      </c>
      <c r="H159" s="6">
        <v>0</v>
      </c>
      <c r="I159" s="6">
        <v>0</v>
      </c>
      <c r="J159" s="6">
        <v>0</v>
      </c>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row>
    <row r="160" spans="1:35" ht="15.6">
      <c r="A160" s="6"/>
      <c r="B160" s="6" t="s">
        <v>613</v>
      </c>
      <c r="C160" s="6">
        <v>0</v>
      </c>
      <c r="D160" s="6">
        <v>0</v>
      </c>
      <c r="E160" s="6">
        <v>4.7</v>
      </c>
      <c r="F160" s="6">
        <v>-5.9</v>
      </c>
      <c r="G160" s="6">
        <v>-10</v>
      </c>
      <c r="H160" s="6">
        <v>0.8</v>
      </c>
      <c r="I160" s="6">
        <v>-289.39999999999998</v>
      </c>
      <c r="J160" s="6">
        <v>161.80000000000001</v>
      </c>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row>
    <row r="161" spans="1:35" ht="15.6">
      <c r="A161" s="6"/>
      <c r="B161" s="728" t="s">
        <v>615</v>
      </c>
      <c r="C161" s="6">
        <v>0</v>
      </c>
      <c r="D161" s="6">
        <v>0</v>
      </c>
      <c r="E161" s="6">
        <v>7.9</v>
      </c>
      <c r="F161" s="6">
        <v>10</v>
      </c>
      <c r="G161" s="6">
        <v>3.1</v>
      </c>
      <c r="H161" s="6">
        <v>7.7</v>
      </c>
      <c r="I161" s="6">
        <v>-282.39999999999998</v>
      </c>
      <c r="J161" s="6">
        <v>324.8</v>
      </c>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row>
    <row r="162" spans="1:35" ht="15.6">
      <c r="A162" s="6"/>
      <c r="B162" s="6" t="s">
        <v>616</v>
      </c>
      <c r="C162" s="6">
        <v>0</v>
      </c>
      <c r="D162" s="6">
        <v>0</v>
      </c>
      <c r="E162" s="6">
        <v>3</v>
      </c>
      <c r="F162" s="6">
        <v>2</v>
      </c>
      <c r="G162" s="6">
        <v>4.3</v>
      </c>
      <c r="H162" s="6">
        <v>-10.5</v>
      </c>
      <c r="I162" s="6">
        <v>-13.2</v>
      </c>
      <c r="J162" s="6">
        <v>-8.6</v>
      </c>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row>
    <row r="163" spans="1:35" ht="15.6">
      <c r="A163" s="6"/>
      <c r="B163" s="728" t="s">
        <v>617</v>
      </c>
      <c r="C163" s="6">
        <v>0</v>
      </c>
      <c r="D163" s="6">
        <v>0</v>
      </c>
      <c r="E163" s="6">
        <v>-42.5</v>
      </c>
      <c r="F163" s="6">
        <v>-42.6</v>
      </c>
      <c r="G163" s="6">
        <v>-31.3</v>
      </c>
      <c r="H163" s="6">
        <v>-50.1</v>
      </c>
      <c r="I163" s="6">
        <v>-246.7</v>
      </c>
      <c r="J163" s="6">
        <v>-356.2</v>
      </c>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row>
    <row r="164" spans="1:35" ht="15.6">
      <c r="A164" s="6"/>
      <c r="B164" s="6" t="s">
        <v>618</v>
      </c>
      <c r="C164" s="6">
        <v>0</v>
      </c>
      <c r="D164" s="6">
        <v>0</v>
      </c>
      <c r="E164" s="6">
        <v>-11.7</v>
      </c>
      <c r="F164" s="6">
        <v>-19.399999999999999</v>
      </c>
      <c r="G164" s="6">
        <v>-16.899999999999999</v>
      </c>
      <c r="H164" s="6">
        <v>-25.8</v>
      </c>
      <c r="I164" s="6">
        <v>-13</v>
      </c>
      <c r="J164" s="6">
        <v>-11.3</v>
      </c>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row>
    <row r="165" spans="1:35" ht="15.6">
      <c r="A165" s="6"/>
      <c r="B165" s="6" t="s">
        <v>619</v>
      </c>
      <c r="C165" s="6">
        <v>0</v>
      </c>
      <c r="D165" s="6">
        <v>0</v>
      </c>
      <c r="E165" s="6">
        <v>0</v>
      </c>
      <c r="F165" s="6">
        <v>0</v>
      </c>
      <c r="G165" s="6">
        <v>0</v>
      </c>
      <c r="H165" s="6">
        <v>0</v>
      </c>
      <c r="I165" s="6">
        <v>0</v>
      </c>
      <c r="J165" s="6">
        <v>0</v>
      </c>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row>
    <row r="166" spans="1:35" ht="15.6">
      <c r="A166" s="6"/>
      <c r="B166" s="6" t="s">
        <v>620</v>
      </c>
      <c r="C166" s="6">
        <v>0</v>
      </c>
      <c r="D166" s="6">
        <v>0</v>
      </c>
      <c r="E166" s="6">
        <v>-8.5</v>
      </c>
      <c r="F166" s="6">
        <v>-6.4</v>
      </c>
      <c r="G166" s="6">
        <v>-10.9</v>
      </c>
      <c r="H166" s="6">
        <v>-12.3</v>
      </c>
      <c r="I166" s="6">
        <v>-5.9</v>
      </c>
      <c r="J166" s="6">
        <v>-18.399999999999999</v>
      </c>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row>
    <row r="167" spans="1:35" ht="15.6">
      <c r="A167" s="7"/>
      <c r="B167" s="730" t="s">
        <v>621</v>
      </c>
      <c r="C167" s="5">
        <v>-253.5</v>
      </c>
      <c r="D167" s="5">
        <v>-181.1</v>
      </c>
      <c r="E167" s="5">
        <v>-121.7</v>
      </c>
      <c r="F167" s="5">
        <v>90.9</v>
      </c>
      <c r="G167" s="5">
        <v>4.5999999999999996</v>
      </c>
      <c r="H167" s="5">
        <v>-1945.9</v>
      </c>
      <c r="I167" s="5">
        <v>-2642.1</v>
      </c>
      <c r="J167" s="5">
        <v>-937.2</v>
      </c>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row>
    <row r="168" spans="1:35" ht="15.6">
      <c r="A168" s="6"/>
      <c r="B168" s="728" t="s">
        <v>622</v>
      </c>
      <c r="C168" s="6">
        <v>-279.39999999999998</v>
      </c>
      <c r="D168" s="6">
        <v>-36.799999999999997</v>
      </c>
      <c r="E168" s="6">
        <v>-205.1</v>
      </c>
      <c r="F168" s="6">
        <v>-40.5</v>
      </c>
      <c r="G168" s="6">
        <v>-46.8</v>
      </c>
      <c r="H168" s="6">
        <v>-1810</v>
      </c>
      <c r="I168" s="6">
        <v>-2667.7</v>
      </c>
      <c r="J168" s="6">
        <v>-779.3</v>
      </c>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row>
    <row r="169" spans="1:35" ht="15.6">
      <c r="A169" s="6"/>
      <c r="B169" s="728" t="s">
        <v>623</v>
      </c>
      <c r="C169" s="6">
        <v>1.7</v>
      </c>
      <c r="D169" s="6">
        <v>1.1000000000000001</v>
      </c>
      <c r="E169" s="6">
        <v>0.3</v>
      </c>
      <c r="F169" s="6">
        <v>0.9</v>
      </c>
      <c r="G169" s="6">
        <v>2.7</v>
      </c>
      <c r="H169" s="6">
        <v>0.2</v>
      </c>
      <c r="I169" s="6">
        <v>2.8</v>
      </c>
      <c r="J169" s="6">
        <v>32.1</v>
      </c>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row>
    <row r="170" spans="1:35" ht="15.6">
      <c r="A170" s="6"/>
      <c r="B170" s="728" t="s">
        <v>624</v>
      </c>
      <c r="C170" s="6">
        <v>-5.5</v>
      </c>
      <c r="D170" s="6">
        <v>-285.8</v>
      </c>
      <c r="E170" s="6">
        <v>-9.6</v>
      </c>
      <c r="F170" s="6">
        <v>-81.7</v>
      </c>
      <c r="G170" s="6">
        <v>-158</v>
      </c>
      <c r="H170" s="6">
        <v>-273.8</v>
      </c>
      <c r="I170" s="6">
        <v>-252.4</v>
      </c>
      <c r="J170" s="6">
        <v>-166.3</v>
      </c>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row>
    <row r="171" spans="1:35" ht="15.6">
      <c r="A171" s="6"/>
      <c r="B171" s="728" t="s">
        <v>625</v>
      </c>
      <c r="C171" s="6">
        <v>22</v>
      </c>
      <c r="D171" s="6">
        <v>49.5</v>
      </c>
      <c r="E171" s="6">
        <v>47.9</v>
      </c>
      <c r="F171" s="6">
        <v>171</v>
      </c>
      <c r="G171" s="6">
        <v>130.5</v>
      </c>
      <c r="H171" s="6">
        <v>123.8</v>
      </c>
      <c r="I171" s="6">
        <v>334.5</v>
      </c>
      <c r="J171" s="6">
        <v>192</v>
      </c>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row>
    <row r="172" spans="1:35" ht="15.6">
      <c r="A172" s="6"/>
      <c r="B172" s="728" t="s">
        <v>626</v>
      </c>
      <c r="C172" s="6">
        <v>-49.1</v>
      </c>
      <c r="D172" s="6">
        <v>-32.700000000000003</v>
      </c>
      <c r="E172" s="6">
        <v>-2.2000000000000002</v>
      </c>
      <c r="F172" s="6">
        <v>-12</v>
      </c>
      <c r="G172" s="6">
        <v>0</v>
      </c>
      <c r="H172" s="6">
        <v>0</v>
      </c>
      <c r="I172" s="6">
        <v>-82</v>
      </c>
      <c r="J172" s="6">
        <v>-247.8</v>
      </c>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row>
    <row r="173" spans="1:35" ht="15.6">
      <c r="A173" s="6"/>
      <c r="B173" s="728" t="s">
        <v>627</v>
      </c>
      <c r="C173" s="6">
        <v>28.5</v>
      </c>
      <c r="D173" s="6">
        <v>106.8</v>
      </c>
      <c r="E173" s="6">
        <v>27.2</v>
      </c>
      <c r="F173" s="6">
        <v>37.4</v>
      </c>
      <c r="G173" s="6">
        <v>54.9</v>
      </c>
      <c r="H173" s="6">
        <v>0</v>
      </c>
      <c r="I173" s="6">
        <v>0</v>
      </c>
      <c r="J173" s="6">
        <v>11.8</v>
      </c>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row>
    <row r="174" spans="1:35" ht="15.6">
      <c r="A174" s="6"/>
      <c r="B174" s="728" t="s">
        <v>628</v>
      </c>
      <c r="C174" s="6">
        <v>28.3</v>
      </c>
      <c r="D174" s="6">
        <v>16.8</v>
      </c>
      <c r="E174" s="6">
        <v>19.8</v>
      </c>
      <c r="F174" s="6">
        <v>15.7</v>
      </c>
      <c r="G174" s="6">
        <v>21.4</v>
      </c>
      <c r="H174" s="6">
        <v>13.9</v>
      </c>
      <c r="I174" s="6">
        <v>22.7</v>
      </c>
      <c r="J174" s="6">
        <v>20.399999999999999</v>
      </c>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row>
    <row r="175" spans="1:35" ht="15.6">
      <c r="A175" s="6"/>
      <c r="B175" s="728" t="s">
        <v>629</v>
      </c>
      <c r="C175" s="6">
        <v>0</v>
      </c>
      <c r="D175" s="6">
        <v>0</v>
      </c>
      <c r="E175" s="6">
        <v>0</v>
      </c>
      <c r="F175" s="6">
        <v>0</v>
      </c>
      <c r="G175" s="6">
        <v>0</v>
      </c>
      <c r="H175" s="6">
        <v>0</v>
      </c>
      <c r="I175" s="6">
        <v>0</v>
      </c>
      <c r="J175" s="6">
        <v>0</v>
      </c>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row>
    <row r="176" spans="1:35" ht="15.6">
      <c r="A176" s="8"/>
      <c r="B176" s="730" t="s">
        <v>303</v>
      </c>
      <c r="C176" s="5">
        <v>111.1</v>
      </c>
      <c r="D176" s="5">
        <v>-96.2</v>
      </c>
      <c r="E176" s="5">
        <v>40.700000000000003</v>
      </c>
      <c r="F176" s="5">
        <v>-280</v>
      </c>
      <c r="G176" s="5">
        <v>-93.4</v>
      </c>
      <c r="H176" s="5">
        <v>2191.1999999999998</v>
      </c>
      <c r="I176" s="5">
        <v>2471.1</v>
      </c>
      <c r="J176" s="5">
        <v>546.70000000000005</v>
      </c>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row>
    <row r="177" spans="1:35" ht="15.6">
      <c r="A177" s="6"/>
      <c r="B177" s="728" t="s">
        <v>630</v>
      </c>
      <c r="C177" s="6">
        <v>0</v>
      </c>
      <c r="D177" s="6">
        <v>83.1</v>
      </c>
      <c r="E177" s="6">
        <v>0</v>
      </c>
      <c r="F177" s="6">
        <v>0</v>
      </c>
      <c r="G177" s="6">
        <v>1</v>
      </c>
      <c r="H177" s="6">
        <v>1049.8</v>
      </c>
      <c r="I177" s="6">
        <v>270.3</v>
      </c>
      <c r="J177" s="6">
        <v>673.3</v>
      </c>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row>
    <row r="178" spans="1:35" ht="15.6">
      <c r="A178" s="6"/>
      <c r="B178" s="728" t="s">
        <v>631</v>
      </c>
      <c r="C178" s="6">
        <v>0</v>
      </c>
      <c r="D178" s="6">
        <v>0</v>
      </c>
      <c r="E178" s="6">
        <v>0</v>
      </c>
      <c r="F178" s="6">
        <v>0</v>
      </c>
      <c r="G178" s="6">
        <v>0</v>
      </c>
      <c r="H178" s="6">
        <v>0</v>
      </c>
      <c r="I178" s="6">
        <v>0</v>
      </c>
      <c r="J178" s="6">
        <v>0</v>
      </c>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row>
    <row r="179" spans="1:35" ht="15.6">
      <c r="A179" s="6"/>
      <c r="B179" s="728" t="s">
        <v>632</v>
      </c>
      <c r="C179" s="6">
        <v>439.3</v>
      </c>
      <c r="D179" s="6">
        <v>271</v>
      </c>
      <c r="E179" s="6">
        <v>397.1</v>
      </c>
      <c r="F179" s="6">
        <v>207.6</v>
      </c>
      <c r="G179" s="6">
        <v>97.7</v>
      </c>
      <c r="H179" s="6">
        <v>1489.4</v>
      </c>
      <c r="I179" s="6">
        <v>2901.4</v>
      </c>
      <c r="J179" s="6">
        <v>1130.0999999999999</v>
      </c>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row>
    <row r="180" spans="1:35" ht="15.6">
      <c r="A180" s="6"/>
      <c r="B180" s="728" t="s">
        <v>633</v>
      </c>
      <c r="C180" s="6">
        <v>-234.8</v>
      </c>
      <c r="D180" s="6">
        <v>-425.2</v>
      </c>
      <c r="E180" s="6">
        <v>-320.10000000000002</v>
      </c>
      <c r="F180" s="6">
        <v>-448.1</v>
      </c>
      <c r="G180" s="6">
        <v>-162.6</v>
      </c>
      <c r="H180" s="6">
        <v>-197.4</v>
      </c>
      <c r="I180" s="6">
        <v>-533.6</v>
      </c>
      <c r="J180" s="6">
        <v>-1220.5</v>
      </c>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row>
    <row r="181" spans="1:35" ht="15.6">
      <c r="A181" s="6"/>
      <c r="B181" s="728" t="s">
        <v>634</v>
      </c>
      <c r="C181" s="6">
        <v>0</v>
      </c>
      <c r="D181" s="6">
        <v>0</v>
      </c>
      <c r="E181" s="6">
        <v>0</v>
      </c>
      <c r="F181" s="6">
        <v>0</v>
      </c>
      <c r="G181" s="6">
        <v>0</v>
      </c>
      <c r="H181" s="6">
        <v>0</v>
      </c>
      <c r="I181" s="6">
        <v>0</v>
      </c>
      <c r="J181" s="6">
        <v>-0.6</v>
      </c>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row>
    <row r="182" spans="1:35" ht="15.6">
      <c r="A182" s="6"/>
      <c r="B182" s="728" t="s">
        <v>635</v>
      </c>
      <c r="C182" s="6">
        <v>-93.4</v>
      </c>
      <c r="D182" s="6">
        <v>-25</v>
      </c>
      <c r="E182" s="6">
        <v>-36.299999999999997</v>
      </c>
      <c r="F182" s="6">
        <v>-39.5</v>
      </c>
      <c r="G182" s="6">
        <v>-29.5</v>
      </c>
      <c r="H182" s="6">
        <v>-150.69999999999999</v>
      </c>
      <c r="I182" s="6">
        <v>-166.9</v>
      </c>
      <c r="J182" s="6">
        <v>-35.6</v>
      </c>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row>
    <row r="183" spans="1:35" ht="15.6">
      <c r="A183" s="6"/>
      <c r="B183" s="728" t="s">
        <v>636</v>
      </c>
      <c r="C183" s="6">
        <v>0</v>
      </c>
      <c r="D183" s="6">
        <v>0</v>
      </c>
      <c r="E183" s="6">
        <v>0</v>
      </c>
      <c r="F183" s="6">
        <v>0</v>
      </c>
      <c r="G183" s="6">
        <v>0</v>
      </c>
      <c r="H183" s="6">
        <v>0</v>
      </c>
      <c r="I183" s="6">
        <v>0</v>
      </c>
      <c r="J183" s="6">
        <v>0</v>
      </c>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row>
    <row r="184" spans="1:35" ht="15.6">
      <c r="A184" s="7"/>
      <c r="B184" s="727" t="s">
        <v>639</v>
      </c>
      <c r="C184" s="7">
        <v>-75.5</v>
      </c>
      <c r="D184" s="7">
        <v>67.7</v>
      </c>
      <c r="E184" s="7">
        <v>-9.1</v>
      </c>
      <c r="F184" s="7">
        <v>-20.7</v>
      </c>
      <c r="G184" s="7">
        <v>155</v>
      </c>
      <c r="H184" s="7">
        <v>386.4</v>
      </c>
      <c r="I184" s="7">
        <v>-503.7</v>
      </c>
      <c r="J184" s="7">
        <v>30.1</v>
      </c>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row>
    <row r="185" spans="1:35" ht="15.6">
      <c r="A185" s="7"/>
      <c r="B185" s="727" t="s">
        <v>637</v>
      </c>
      <c r="C185" s="7">
        <v>105.6</v>
      </c>
      <c r="D185" s="7">
        <v>30.1</v>
      </c>
      <c r="E185" s="7">
        <v>97.8</v>
      </c>
      <c r="F185" s="7">
        <v>88.7</v>
      </c>
      <c r="G185" s="7">
        <v>68</v>
      </c>
      <c r="H185" s="7">
        <v>223</v>
      </c>
      <c r="I185" s="7">
        <v>609.4</v>
      </c>
      <c r="J185" s="7">
        <v>105.4</v>
      </c>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row>
    <row r="186" spans="1:35" ht="15.6">
      <c r="A186" s="7"/>
      <c r="B186" s="727" t="s">
        <v>638</v>
      </c>
      <c r="C186" s="7">
        <v>30.1</v>
      </c>
      <c r="D186" s="7">
        <v>97.8</v>
      </c>
      <c r="E186" s="7">
        <v>88.7</v>
      </c>
      <c r="F186" s="7">
        <v>68</v>
      </c>
      <c r="G186" s="7">
        <v>223</v>
      </c>
      <c r="H186" s="7">
        <v>609.4</v>
      </c>
      <c r="I186" s="7">
        <v>105.4</v>
      </c>
      <c r="J186" s="7">
        <v>135.4</v>
      </c>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row>
    <row r="187" spans="1:35" ht="15.6">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row>
    <row r="188" spans="1:35" ht="15.6">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row>
    <row r="189" spans="1:35" ht="15.6">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row>
    <row r="190" spans="1:35" ht="15.6">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row>
    <row r="191" spans="1:35" ht="15.6">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row>
    <row r="192" spans="1:35" ht="15.6">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row>
    <row r="193" spans="1:35" ht="15.6">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row>
    <row r="194" spans="1:35" ht="15.6">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row>
    <row r="195" spans="1:35" ht="15.6">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row>
    <row r="196" spans="1:35" ht="15.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row>
    <row r="197" spans="1:35" ht="15.6">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row>
    <row r="198" spans="1:35" ht="15.6">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row>
    <row r="199" spans="1:35" ht="15.6">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row>
    <row r="200" spans="1:35" ht="15.6">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row>
    <row r="201" spans="1:35" ht="15.6">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row>
    <row r="202" spans="1:35" ht="15.6">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row>
    <row r="203" spans="1:35" ht="15.6">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row>
    <row r="204" spans="1:35" ht="15.6">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row>
    <row r="205" spans="1:35" ht="15.6">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row>
    <row r="206" spans="1:35" ht="15.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row>
    <row r="207" spans="1:35" ht="15.6">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row>
    <row r="208" spans="1:35" ht="15.6">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row>
    <row r="209" spans="1:35" ht="15.6">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row>
    <row r="210" spans="1:35" ht="15.6">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row>
    <row r="211" spans="1:35" ht="15.6">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row>
    <row r="212" spans="1:35" ht="15.6">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row>
    <row r="213" spans="1:35" ht="15.6">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row>
    <row r="214" spans="1:35" ht="15.6">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row>
    <row r="215" spans="1:35" ht="15.6">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row>
    <row r="216" spans="1:35" ht="15.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row>
    <row r="217" spans="1:35" ht="15.6">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row>
    <row r="218" spans="1:35" ht="15.6">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row>
    <row r="219" spans="1:35" ht="15.6">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row>
    <row r="220" spans="1:35" ht="15.6">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row>
    <row r="221" spans="1:35" ht="15.6">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row>
    <row r="222" spans="1:35" ht="15.6">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row>
    <row r="223" spans="1:35" ht="15.6">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row>
    <row r="224" spans="1:35" ht="15.6">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row>
    <row r="225" spans="1:35" ht="15.6">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row>
    <row r="226" spans="1:35" ht="15.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row>
    <row r="227" spans="1:35" ht="15.6">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row>
    <row r="228" spans="1:35" ht="15.6">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row>
    <row r="229" spans="1:35" ht="15.6">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row>
    <row r="230" spans="1:35" ht="15.6">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row>
    <row r="231" spans="1:35" ht="15.6">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row>
    <row r="232" spans="1:35" ht="15.6">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row>
    <row r="233" spans="1:35" ht="15.6">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row>
    <row r="234" spans="1:35" ht="15.6">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row>
    <row r="235" spans="1:35" ht="15.6">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row>
    <row r="236" spans="1:35" ht="15.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row>
    <row r="237" spans="1:35" ht="15.6">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row>
    <row r="238" spans="1:35" ht="15.6">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row>
    <row r="239" spans="1:35" ht="15.6">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row>
    <row r="240" spans="1:35" ht="15.6">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row>
    <row r="241" spans="1:35" ht="15.6">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row>
    <row r="242" spans="1:35" ht="15.6">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row>
    <row r="243" spans="1:35" ht="15.6">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row>
    <row r="244" spans="1:35" ht="15.6">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row>
    <row r="245" spans="1:35" ht="15.6">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row>
    <row r="246" spans="1:35" ht="15.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row>
    <row r="247" spans="1:35" ht="15.6">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row>
    <row r="248" spans="1:35" ht="15.6">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row>
    <row r="249" spans="1:35" ht="15.6">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row>
    <row r="250" spans="1:35" ht="15.6">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row>
    <row r="251" spans="1:35" ht="15.6">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row>
    <row r="252" spans="1:35" ht="15.6">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row>
    <row r="253" spans="1:35" ht="15.6">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row>
    <row r="254" spans="1:35" ht="15.6">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row>
    <row r="255" spans="1:35" ht="15.6">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row>
    <row r="256" spans="1:35" ht="1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row>
    <row r="257" spans="1:35" ht="15.6">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row>
    <row r="258" spans="1:35" ht="15.6">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row>
    <row r="259" spans="1:35" ht="15.6">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row>
    <row r="260" spans="1:35" ht="15.6">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row>
    <row r="261" spans="1:35" ht="15.6">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row>
    <row r="262" spans="1:35" ht="15.6">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row>
    <row r="263" spans="1:35" ht="15.6">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row>
    <row r="264" spans="1:35" ht="15.6">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row>
    <row r="265" spans="1:35" ht="15.6">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row>
    <row r="266" spans="1:35" ht="15.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row>
    <row r="267" spans="1:35" ht="15.6">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row>
    <row r="268" spans="1:35" ht="15.6">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row>
    <row r="269" spans="1:35" ht="15.6">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row>
    <row r="270" spans="1:35" ht="15.6">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row>
    <row r="271" spans="1:35" ht="15.6">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row>
    <row r="272" spans="1:35" ht="15.6">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row>
    <row r="273" spans="1:35" ht="15.6">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row>
    <row r="274" spans="1:35" ht="15.6">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row>
    <row r="275" spans="1:35" ht="15.6">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row>
    <row r="276" spans="1:35" ht="15.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row>
    <row r="277" spans="1:35" ht="15.6">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row>
    <row r="278" spans="1:35" ht="15.6">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row>
    <row r="279" spans="1:35" ht="15.6">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row>
    <row r="280" spans="1:35" ht="15.6">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row>
    <row r="281" spans="1:35" ht="15.6">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row>
    <row r="282" spans="1:35" ht="15.6">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row>
    <row r="283" spans="1:35" ht="15.6">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row>
    <row r="284" spans="1:35" ht="15.6">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row>
    <row r="285" spans="1:35" ht="15.6">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row>
    <row r="286" spans="1:35" ht="15.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row>
    <row r="287" spans="1:35" ht="15.6">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row>
    <row r="288" spans="1:35" ht="15.6">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row>
    <row r="289" spans="1:35" ht="15.6">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row>
    <row r="290" spans="1:35" ht="15.6">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row>
    <row r="291" spans="1:35" ht="15.6">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row>
    <row r="292" spans="1:35" ht="15.6">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row>
    <row r="293" spans="1:35" ht="15.6">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row>
    <row r="294" spans="1:35" ht="15.6">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row>
    <row r="295" spans="1:35" ht="15.6">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row>
    <row r="296" spans="1:35" ht="15.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row>
    <row r="297" spans="1:35" ht="15.6">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row>
    <row r="298" spans="1:35" ht="15.6">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row>
    <row r="299" spans="1:35" ht="15.6">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row>
    <row r="300" spans="1:35" ht="15.6">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row>
    <row r="301" spans="1:35" ht="15.6">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row>
    <row r="302" spans="1:35" ht="15.6">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row>
    <row r="303" spans="1:35" ht="15.6">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row>
    <row r="304" spans="1:35" ht="15.6">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row>
    <row r="305" spans="1:35" ht="15.6">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row>
    <row r="306" spans="1:35" ht="15.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row>
    <row r="307" spans="1:35" ht="15.6">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row>
    <row r="308" spans="1:35" ht="15.6">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row>
    <row r="309" spans="1:35" ht="15.6">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row>
    <row r="310" spans="1:35" ht="15.6">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row>
    <row r="311" spans="1:35" ht="15.6">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row>
    <row r="312" spans="1:35" ht="15.6">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row>
    <row r="313" spans="1:35" ht="15.6">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row>
    <row r="314" spans="1:35" ht="15.6">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row>
    <row r="315" spans="1:35" ht="15.6">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row>
    <row r="316" spans="1:35" ht="15.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row>
    <row r="317" spans="1:35" ht="15.6">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row>
    <row r="318" spans="1:35" ht="15.6">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row>
    <row r="319" spans="1:35" ht="15.6">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row>
    <row r="320" spans="1:35" ht="15.6">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row>
    <row r="321" spans="1:35" ht="15.6">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row>
    <row r="322" spans="1:35" ht="15.6">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row>
    <row r="323" spans="1:35" ht="15.6">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row>
    <row r="324" spans="1:35" ht="15.6">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row>
    <row r="325" spans="1:35" ht="15.6">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row>
    <row r="326" spans="1:35" ht="15.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row>
    <row r="327" spans="1:35" ht="15.6">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row>
    <row r="328" spans="1:35" ht="15.6">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row>
    <row r="329" spans="1:35" ht="15.6">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row>
    <row r="330" spans="1:35" ht="15.6">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row>
    <row r="331" spans="1:35" ht="15.6">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row>
    <row r="332" spans="1:35" ht="15.6">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row>
    <row r="333" spans="1:35" ht="15.6">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row>
    <row r="334" spans="1:35" ht="15.6">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row>
    <row r="335" spans="1:35" ht="15.6">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row>
    <row r="336" spans="1:35" ht="15.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row>
    <row r="337" spans="1:35" ht="15.6">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row>
    <row r="338" spans="1:35" ht="15.6">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row>
    <row r="339" spans="1:35" ht="15.6">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row>
    <row r="340" spans="1:35" ht="15.6">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row>
    <row r="341" spans="1:35" ht="15.6">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row>
    <row r="342" spans="1:35" ht="15.6">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row>
    <row r="343" spans="1:35" ht="15.6">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row>
    <row r="344" spans="1:35" ht="15.6">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row>
    <row r="345" spans="1:35" ht="15.6">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row>
    <row r="346" spans="1:35" ht="15.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row>
    <row r="347" spans="1:35" ht="15.6">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row>
    <row r="348" spans="1:35" ht="15.6">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row>
    <row r="349" spans="1:35" ht="15.6">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row>
    <row r="350" spans="1:35" ht="15.6">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row>
    <row r="351" spans="1:35" ht="15.6">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row>
    <row r="352" spans="1:35" ht="15.6">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row>
    <row r="353" spans="1:35" ht="15.6">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row>
    <row r="354" spans="1:35" ht="15.6">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row>
    <row r="355" spans="1:35" ht="15.6">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row>
    <row r="356" spans="1:35" ht="1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row>
    <row r="357" spans="1:35" ht="15.6">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row>
    <row r="358" spans="1:35" ht="15.6">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row>
    <row r="359" spans="1:35" ht="15.6">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row>
    <row r="360" spans="1:35" ht="15.6">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row>
    <row r="361" spans="1:35" ht="15.6">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row>
    <row r="362" spans="1:35" ht="15.6">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row>
    <row r="363" spans="1:35" ht="15.6">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row>
    <row r="364" spans="1:35" ht="15.6">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row>
    <row r="365" spans="1:35" ht="15.6">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row>
    <row r="366" spans="1:35" ht="15.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row>
    <row r="367" spans="1:35" ht="15.6">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row>
    <row r="368" spans="1:35" ht="15.6">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row>
    <row r="369" spans="1:35" ht="15.6">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row>
    <row r="370" spans="1:35" ht="15.6">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row>
    <row r="371" spans="1:35" ht="15.6">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row>
    <row r="372" spans="1:35" ht="15.6">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row>
    <row r="373" spans="1:35" ht="15.6">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row>
    <row r="374" spans="1:35" ht="15.6">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row>
    <row r="375" spans="1:35" ht="15.6">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row>
    <row r="376" spans="1:35" ht="15.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row>
    <row r="377" spans="1:35" ht="15.6">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row>
    <row r="378" spans="1:35" ht="15.6">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row>
    <row r="379" spans="1:35" ht="15.6">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row>
    <row r="380" spans="1:35" ht="15.6">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row>
    <row r="381" spans="1:35" ht="15.6">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row>
    <row r="382" spans="1:35" ht="15.6">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row>
    <row r="383" spans="1:35" ht="15.6">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row>
    <row r="384" spans="1:35" ht="15.6">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row>
    <row r="385" spans="1:35" ht="15.6">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row>
    <row r="386" spans="1:35" ht="15.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row>
    <row r="387" spans="1:35" ht="15.6">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row>
    <row r="388" spans="1:35" ht="15.6">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row>
    <row r="389" spans="1:35" ht="15.6">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row>
    <row r="390" spans="1:35" ht="15.6">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row>
    <row r="391" spans="1:35" ht="15.6">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row>
    <row r="392" spans="1:35" ht="15.6">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row>
    <row r="393" spans="1:35" ht="15.6">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row>
    <row r="394" spans="1:35" ht="15.6">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row>
    <row r="395" spans="1:35" ht="15.6">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row>
    <row r="396" spans="1:35" ht="15.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row>
    <row r="397" spans="1:35" ht="15.6">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row>
    <row r="398" spans="1:35" ht="15.6">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row>
    <row r="399" spans="1:35" ht="15.6">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row>
    <row r="400" spans="1:35" ht="15.6">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row>
    <row r="401" spans="1:35" ht="15.6">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row>
    <row r="402" spans="1:35" ht="15.6">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row>
    <row r="403" spans="1:35" ht="15.6">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row>
    <row r="404" spans="1:35" ht="15.6">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row>
    <row r="405" spans="1:35" ht="15.6">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row>
    <row r="406" spans="1:35" ht="15.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row>
    <row r="407" spans="1:35" ht="15.6">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row>
    <row r="408" spans="1:35" ht="15.6">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row>
    <row r="409" spans="1:35" ht="15.6">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row>
    <row r="410" spans="1:35" ht="15.6">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row>
    <row r="411" spans="1:35" ht="15.6">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row>
    <row r="412" spans="1:35" ht="15.6">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row>
    <row r="413" spans="1:35" ht="15.6">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row>
    <row r="414" spans="1:35" ht="15.6">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row>
    <row r="415" spans="1:35" ht="15.6">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row>
    <row r="416" spans="1:35" ht="15.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row>
    <row r="417" spans="1:35" ht="15.6">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row>
    <row r="418" spans="1:35" ht="15.6">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row>
    <row r="419" spans="1:35" ht="15.6">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row>
    <row r="420" spans="1:35" ht="15.6">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row>
    <row r="421" spans="1:35" ht="15.6">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row>
    <row r="422" spans="1:35" ht="15.6">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row>
    <row r="423" spans="1:35" ht="15.6">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row>
    <row r="424" spans="1:35" ht="15.6">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row>
    <row r="425" spans="1:35" ht="15.6">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row>
    <row r="426" spans="1:35" ht="15.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row>
    <row r="427" spans="1:35" ht="15.6">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row>
    <row r="428" spans="1:35" ht="15.6">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row>
    <row r="429" spans="1:35" ht="15.6">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row>
    <row r="430" spans="1:35" ht="15.6">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row>
    <row r="431" spans="1:35" ht="15.6">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row>
    <row r="432" spans="1:35" ht="15.6">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row>
    <row r="433" spans="1:35" ht="15.6">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row>
    <row r="434" spans="1:35" ht="15.6">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row>
    <row r="435" spans="1:35" ht="15.6">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row>
    <row r="436" spans="1:35" ht="15.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row>
    <row r="437" spans="1:35" ht="15.6">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row>
    <row r="438" spans="1:35" ht="15.6">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row>
    <row r="439" spans="1:35" ht="15.6">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row>
    <row r="440" spans="1:35" ht="15.6">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row>
    <row r="441" spans="1:35" ht="15.6">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row>
    <row r="442" spans="1:35" ht="15.6">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row>
    <row r="443" spans="1:35" ht="15.6">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row>
    <row r="444" spans="1:35" ht="15.6">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row>
    <row r="445" spans="1:35" ht="15.6">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row>
    <row r="446" spans="1:35" ht="15.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row>
    <row r="447" spans="1:35" ht="15.6">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row>
    <row r="448" spans="1:35" ht="15.6">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row>
    <row r="449" spans="1:35" ht="15.6">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row>
    <row r="450" spans="1:35" ht="15.6">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row>
    <row r="451" spans="1:35" ht="15.6">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row>
    <row r="452" spans="1:35" ht="15.6">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row>
    <row r="453" spans="1:35" ht="15.6">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row>
    <row r="454" spans="1:35" ht="15.6">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row>
    <row r="455" spans="1:35" ht="15.6">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row>
    <row r="456" spans="1:35" ht="1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row>
    <row r="457" spans="1:35" ht="15.6">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row>
    <row r="458" spans="1:35" ht="15.6">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row>
    <row r="459" spans="1:35" ht="15.6">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row>
    <row r="460" spans="1:35" ht="15.6">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row>
    <row r="461" spans="1:35" ht="15.6">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row>
    <row r="462" spans="1:35" ht="15.6">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row>
    <row r="463" spans="1:35" ht="15.6">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row>
    <row r="464" spans="1:35" ht="15.6">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row>
    <row r="465" spans="1:35" ht="15.6">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row>
    <row r="466" spans="1:35" ht="15.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row>
    <row r="467" spans="1:35" ht="15.6">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row>
    <row r="468" spans="1:35" ht="15.6">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row>
    <row r="469" spans="1:35" ht="15.6">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row>
    <row r="470" spans="1:35" ht="15.6">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row>
    <row r="471" spans="1:35" ht="15.6">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row>
    <row r="472" spans="1:35" ht="15.6">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row>
    <row r="473" spans="1:35" ht="15.6">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row>
    <row r="474" spans="1:35" ht="15.6">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row>
    <row r="475" spans="1:35" ht="15.6">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row>
    <row r="476" spans="1:35" ht="15.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row>
    <row r="477" spans="1:35" ht="15.6">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row>
    <row r="478" spans="1:35" ht="15.6">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row>
    <row r="479" spans="1:35" ht="15.6">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row>
    <row r="480" spans="1:35" ht="15.6">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row>
    <row r="481" spans="1:35" ht="15.6">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row>
    <row r="482" spans="1:35" ht="15.6">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row>
    <row r="483" spans="1:35" ht="15.6">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row>
    <row r="484" spans="1:35" ht="15.6">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row>
    <row r="485" spans="1:35" ht="15.6">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row>
    <row r="486" spans="1:35" ht="15.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row>
    <row r="487" spans="1:35" ht="15.6">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row>
    <row r="488" spans="1:35" ht="15.6">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row>
    <row r="489" spans="1:35" ht="15.6">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row>
    <row r="490" spans="1:35" ht="15.6">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row>
    <row r="491" spans="1:35" ht="15.6">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row>
    <row r="492" spans="1:35" ht="15.6">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row>
    <row r="493" spans="1:35" ht="15.6">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row>
    <row r="494" spans="1:35" ht="15.6">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row>
    <row r="495" spans="1:35" ht="15.6">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row>
    <row r="496" spans="1:35" ht="15.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row>
    <row r="497" spans="1:35" ht="15.6">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row>
    <row r="498" spans="1:35" ht="15.6">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row>
    <row r="499" spans="1:35" ht="15.6">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row>
    <row r="500" spans="1:35" ht="15.6">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row>
    <row r="501" spans="1:35" ht="15.6">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row>
    <row r="502" spans="1:35" ht="15.6">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row>
    <row r="503" spans="1:35" ht="15.6">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row>
    <row r="504" spans="1:35" ht="15.6">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row>
    <row r="505" spans="1:35" ht="15.6">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row>
    <row r="506" spans="1:35" ht="15.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row>
    <row r="507" spans="1:35" ht="15.6">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row>
    <row r="508" spans="1:35" ht="15.6">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row>
    <row r="509" spans="1:35" ht="15.6">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row>
    <row r="510" spans="1:35" ht="15.6">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row>
    <row r="511" spans="1:35" ht="15.6">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row>
    <row r="512" spans="1:35" ht="15.6">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row>
    <row r="513" spans="1:35" ht="15.6">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row>
    <row r="514" spans="1:35" ht="15.6">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row>
    <row r="515" spans="1:35" ht="15.6">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row>
    <row r="516" spans="1:35" ht="15.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row>
    <row r="517" spans="1:35" ht="15.6">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row>
    <row r="518" spans="1:35" ht="15.6">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row>
    <row r="519" spans="1:35" ht="15.6">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row>
    <row r="520" spans="1:35" ht="15.6">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row>
    <row r="521" spans="1:35" ht="15.6">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row>
    <row r="522" spans="1:35" ht="15.6">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row>
    <row r="523" spans="1:35" ht="15.6">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row>
    <row r="524" spans="1:35" ht="15.6">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row>
    <row r="525" spans="1:35" ht="15.6">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row>
    <row r="526" spans="1:35" ht="15.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row>
    <row r="527" spans="1:35" ht="15.6">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row>
    <row r="528" spans="1:35" ht="15.6">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row>
    <row r="529" spans="1:35" ht="15.6">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row>
    <row r="530" spans="1:35" ht="15.6">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row>
    <row r="531" spans="1:35" ht="15.6">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row>
    <row r="532" spans="1:35" ht="15.6">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row>
    <row r="533" spans="1:35" ht="15.6">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row>
    <row r="534" spans="1:35" ht="15.6">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row>
    <row r="535" spans="1:35" ht="15.6">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row>
    <row r="536" spans="1:35" ht="15.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row>
    <row r="537" spans="1:35" ht="15.6">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row>
    <row r="538" spans="1:35" ht="15.6">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row>
    <row r="539" spans="1:35" ht="15.6">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row>
    <row r="540" spans="1:35" ht="15.6">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row>
    <row r="541" spans="1:35" ht="15.6">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row>
    <row r="542" spans="1:35" ht="15.6">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row>
    <row r="543" spans="1:35" ht="15.6">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row>
    <row r="544" spans="1:35" ht="15.6">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row>
    <row r="545" spans="1:35" ht="15.6">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row>
    <row r="546" spans="1:35" ht="15.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row>
    <row r="547" spans="1:35" ht="15.6">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row>
    <row r="548" spans="1:35" ht="15.6">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row>
    <row r="549" spans="1:35" ht="15.6">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row>
    <row r="550" spans="1:35" ht="15.6">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row>
    <row r="551" spans="1:35" ht="15.6">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row>
    <row r="552" spans="1:35" ht="15.6">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row>
    <row r="553" spans="1:35" ht="15.6">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row>
    <row r="554" spans="1:35" ht="15.6">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row>
    <row r="555" spans="1:35" ht="15.6">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row>
    <row r="556" spans="1:35" ht="1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row>
    <row r="557" spans="1:35" ht="15.6">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row>
    <row r="558" spans="1:35" ht="15.6">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row>
    <row r="559" spans="1:35" ht="15.6">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row>
    <row r="560" spans="1:35" ht="15.6">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row>
    <row r="561" spans="1:35" ht="15.6">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row>
    <row r="562" spans="1:35" ht="15.6">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row>
    <row r="563" spans="1:35" ht="15.6">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row>
    <row r="564" spans="1:35" ht="15.6">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row>
    <row r="565" spans="1:35" ht="15.6">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row>
    <row r="566" spans="1:35" ht="15.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row>
    <row r="567" spans="1:35" ht="15.6">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row>
    <row r="568" spans="1:35" ht="15.6">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row>
    <row r="569" spans="1:35" ht="15.6">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row>
    <row r="570" spans="1:35" ht="15.6">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row>
    <row r="571" spans="1:35" ht="15.6">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row>
    <row r="572" spans="1:35" ht="15.6">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row>
    <row r="573" spans="1:35" ht="15.6">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row>
    <row r="574" spans="1:35" ht="15.6">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row>
    <row r="575" spans="1:35" ht="15.6">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row>
    <row r="576" spans="1:35" ht="15.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row>
    <row r="577" spans="1:35" ht="15.6">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row>
    <row r="578" spans="1:35" ht="15.6">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row>
    <row r="579" spans="1:35" ht="15.6">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row>
    <row r="580" spans="1:35" ht="15.6">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row>
    <row r="581" spans="1:35" ht="15.6">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row>
    <row r="582" spans="1:35" ht="15.6">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row>
    <row r="583" spans="1:35" ht="15.6">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row>
    <row r="584" spans="1:35" ht="15.6">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row>
    <row r="585" spans="1:35" ht="15.6">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row>
    <row r="586" spans="1:35" ht="15.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row>
    <row r="587" spans="1:35" ht="15.6">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row>
    <row r="588" spans="1:35" ht="15.6">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row>
    <row r="589" spans="1:35" ht="15.6">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row>
    <row r="590" spans="1:35" ht="15.6">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row>
    <row r="591" spans="1:35" ht="15.6">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row>
    <row r="592" spans="1:35" ht="15.6">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row>
    <row r="593" spans="1:35" ht="15.6">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row>
    <row r="594" spans="1:35" ht="15.6">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row>
    <row r="595" spans="1:35" ht="15.6">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row>
    <row r="596" spans="1:35" ht="15.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row>
    <row r="597" spans="1:35" ht="15.6">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row>
    <row r="598" spans="1:35" ht="15.6">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row>
    <row r="599" spans="1:35" ht="15.6">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row>
    <row r="600" spans="1:35" ht="15.6">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row>
    <row r="601" spans="1:35" ht="15.6">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row>
    <row r="602" spans="1:35" ht="15.6">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row>
    <row r="603" spans="1:35" ht="15.6">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row>
    <row r="604" spans="1:35" ht="15.6">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row>
    <row r="605" spans="1:35" ht="15.6">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row>
    <row r="606" spans="1:35" ht="15.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row>
    <row r="607" spans="1:35" ht="15.6">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row>
    <row r="608" spans="1:35" ht="15.6">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row>
    <row r="609" spans="1:35" ht="15.6">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row>
    <row r="610" spans="1:35" ht="15.6">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row>
    <row r="611" spans="1:35" ht="15.6">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row>
    <row r="612" spans="1:35" ht="15.6">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row>
    <row r="613" spans="1:35" ht="15.6">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row>
    <row r="614" spans="1:35" ht="15.6">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row>
    <row r="615" spans="1:35" ht="15.6">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row>
    <row r="616" spans="1:35" ht="15.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row>
    <row r="617" spans="1:35" ht="15.6">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row>
    <row r="618" spans="1:35" ht="15.6">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row>
    <row r="619" spans="1:35" ht="15.6">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row>
    <row r="620" spans="1:35" ht="15.6">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row>
    <row r="621" spans="1:35" ht="15.6">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row>
    <row r="622" spans="1:35" ht="15.6">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row>
    <row r="623" spans="1:35" ht="15.6">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row>
    <row r="624" spans="1:35" ht="15.6">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row>
    <row r="625" spans="1:35" ht="15.6">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row>
    <row r="626" spans="1:35" ht="15.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row>
    <row r="627" spans="1:35" ht="15.6">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row>
    <row r="628" spans="1:35" ht="15.6">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row>
    <row r="629" spans="1:35" ht="15.6">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row>
    <row r="630" spans="1:35" ht="15.6">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row>
    <row r="631" spans="1:35" ht="15.6">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row>
    <row r="632" spans="1:35" ht="15.6">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row>
    <row r="633" spans="1:35" ht="15.6">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row>
    <row r="634" spans="1:35" ht="15.6">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row>
    <row r="635" spans="1:35" ht="15.6">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row>
    <row r="636" spans="1:35" ht="15.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row>
    <row r="637" spans="1:35" ht="15.6">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row>
    <row r="638" spans="1:35" ht="15.6">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row>
    <row r="639" spans="1:35" ht="15.6">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row>
    <row r="640" spans="1:35" ht="15.6">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row>
    <row r="641" spans="1:35" ht="15.6">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row>
    <row r="642" spans="1:35" ht="15.6">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row>
    <row r="643" spans="1:35" ht="15.6">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row>
    <row r="644" spans="1:35" ht="15.6">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row>
    <row r="645" spans="1:35" ht="15.6">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row>
    <row r="646" spans="1:35" ht="15.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row>
    <row r="647" spans="1:35" ht="15.6">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row>
    <row r="648" spans="1:35" ht="15.6">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row>
    <row r="649" spans="1:35" ht="15.6">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row>
    <row r="650" spans="1:35" ht="15.6">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row>
    <row r="651" spans="1:35" ht="15.6">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row>
    <row r="652" spans="1:35" ht="15.6">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row>
    <row r="653" spans="1:35" ht="15.6">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row>
    <row r="654" spans="1:35" ht="15.6">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row>
    <row r="655" spans="1:35" ht="15.6">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row>
    <row r="656" spans="1:35" ht="1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row>
    <row r="657" spans="1:35" ht="15.6">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row>
    <row r="658" spans="1:35" ht="15.6">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row>
    <row r="659" spans="1:35" ht="15.6">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row>
    <row r="660" spans="1:35" ht="15.6">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row>
    <row r="661" spans="1:35" ht="15.6">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row>
    <row r="662" spans="1:35" ht="15.6">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row>
    <row r="663" spans="1:35" ht="15.6">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row>
    <row r="664" spans="1:35" ht="15.6">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row>
    <row r="665" spans="1:35" ht="15.6">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row>
    <row r="666" spans="1:35" ht="15.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row>
    <row r="667" spans="1:35" ht="15.6">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row>
    <row r="668" spans="1:35" ht="15.6">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row>
    <row r="669" spans="1:35" ht="15.6">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row>
    <row r="670" spans="1:35" ht="15.6">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row>
    <row r="671" spans="1:35" ht="15.6">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row>
    <row r="672" spans="1:35" ht="15.6">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row>
    <row r="673" spans="1:35" ht="15.6">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row>
    <row r="674" spans="1:35" ht="15.6">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row>
    <row r="675" spans="1:35" ht="15.6">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row>
    <row r="676" spans="1:35" ht="15.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row>
    <row r="677" spans="1:35" ht="15.6">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row>
    <row r="678" spans="1:35" ht="15.6">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row>
    <row r="679" spans="1:35" ht="15.6">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row>
    <row r="680" spans="1:35" ht="15.6">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row>
    <row r="681" spans="1:35" ht="15.6">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row>
    <row r="682" spans="1:35" ht="15.6">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row>
    <row r="683" spans="1:35" ht="15.6">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row>
    <row r="684" spans="1:35" ht="15.6">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row>
    <row r="685" spans="1:35" ht="15.6">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row>
    <row r="686" spans="1:35" ht="15.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row>
    <row r="687" spans="1:35" ht="15.6">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row>
    <row r="688" spans="1:35" ht="15.6">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row>
    <row r="689" spans="1:35" ht="15.6">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row>
    <row r="690" spans="1:35" ht="15.6">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row>
    <row r="691" spans="1:35" ht="15.6">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row>
    <row r="692" spans="1:35" ht="15.6">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row>
    <row r="693" spans="1:35" ht="15.6">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row>
    <row r="694" spans="1:35" ht="15.6">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row>
    <row r="695" spans="1:35" ht="15.6">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row>
    <row r="696" spans="1:35" ht="15.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row>
    <row r="697" spans="1:35" ht="15.6">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row>
    <row r="698" spans="1:35" ht="15.6">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row>
    <row r="699" spans="1:35" ht="15.6">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row>
    <row r="700" spans="1:35" ht="15.6">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row>
    <row r="701" spans="1:35" ht="15.6">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row>
    <row r="702" spans="1:35" ht="15.6">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row>
    <row r="703" spans="1:35" ht="15.6">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row>
    <row r="704" spans="1:35" ht="15.6">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row>
    <row r="705" spans="1:35" ht="15.6">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row>
    <row r="706" spans="1:35" ht="15.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row>
    <row r="707" spans="1:35" ht="15.6">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row>
    <row r="708" spans="1:35" ht="15.6">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row>
    <row r="709" spans="1:35" ht="15.6">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row>
    <row r="710" spans="1:35" ht="15.6">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row>
    <row r="711" spans="1:35" ht="15.6">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row>
    <row r="712" spans="1:35" ht="15.6">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row>
    <row r="713" spans="1:35" ht="15.6">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row>
    <row r="714" spans="1:35" ht="15.6">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row>
    <row r="715" spans="1:35" ht="15.6">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row>
    <row r="716" spans="1:35" ht="15.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row>
    <row r="717" spans="1:35" ht="15.6">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row>
    <row r="718" spans="1:35" ht="15.6">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row>
    <row r="719" spans="1:35" ht="15.6">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row>
    <row r="720" spans="1:35" ht="15.6">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row>
    <row r="721" spans="1:35" ht="15.6">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row>
    <row r="722" spans="1:35" ht="15.6">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row>
    <row r="723" spans="1:35" ht="15.6">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row>
    <row r="724" spans="1:35" ht="15.6">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row>
    <row r="725" spans="1:35" ht="15.6">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row>
    <row r="726" spans="1:35" ht="15.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row>
    <row r="727" spans="1:35" ht="15.6">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row>
    <row r="728" spans="1:35" ht="15.6">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row>
    <row r="729" spans="1:35" ht="15.6">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row>
    <row r="730" spans="1:35" ht="15.6">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row>
    <row r="731" spans="1:35" ht="15.6">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row>
    <row r="732" spans="1:35" ht="15.6">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row>
    <row r="733" spans="1:35" ht="15.6">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row>
    <row r="734" spans="1:35" ht="15.6">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row>
    <row r="735" spans="1:35" ht="15.6">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row>
    <row r="736" spans="1:35" ht="15.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row>
    <row r="737" spans="1:35" ht="15.6">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row>
    <row r="738" spans="1:35" ht="15.6">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row>
    <row r="739" spans="1:35" ht="15.6">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row>
    <row r="740" spans="1:35" ht="15.6">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row>
    <row r="741" spans="1:35" ht="15.6">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row>
    <row r="742" spans="1:35" ht="15.6">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row>
    <row r="743" spans="1:35" ht="15.6">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row>
    <row r="744" spans="1:35" ht="15.6">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row>
    <row r="745" spans="1:35" ht="15.6">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row>
    <row r="746" spans="1:35" ht="15.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row>
    <row r="747" spans="1:35" ht="15.6">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row>
    <row r="748" spans="1:35" ht="15.6">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row>
    <row r="749" spans="1:35" ht="15.6">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row>
    <row r="750" spans="1:35" ht="15.6">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row>
    <row r="751" spans="1:35" ht="15.6">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row>
    <row r="752" spans="1:35" ht="15.6">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row>
    <row r="753" spans="1:35" ht="15.6">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row>
    <row r="754" spans="1:35" ht="15.6">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row>
    <row r="755" spans="1:35" ht="15.6">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row>
    <row r="756" spans="1:35" ht="1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row>
    <row r="757" spans="1:35" ht="15.6">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row>
    <row r="758" spans="1:35" ht="15.6">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row>
    <row r="759" spans="1:35" ht="15.6">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row>
    <row r="760" spans="1:35" ht="15.6">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row>
    <row r="761" spans="1:35" ht="15.6">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row>
    <row r="762" spans="1:35" ht="15.6">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row>
    <row r="763" spans="1:35" ht="15.6">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row>
    <row r="764" spans="1:35" ht="15.6">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row>
    <row r="765" spans="1:35" ht="15.6">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row>
    <row r="766" spans="1:35" ht="15.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row>
    <row r="767" spans="1:35" ht="15.6">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row>
    <row r="768" spans="1:35" ht="15.6">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row>
    <row r="769" spans="1:35" ht="15.6">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row>
    <row r="770" spans="1:35" ht="15.6">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row>
    <row r="771" spans="1:35" ht="15.6">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row>
    <row r="772" spans="1:35" ht="15.6">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row>
    <row r="773" spans="1:35" ht="15.6">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row>
    <row r="774" spans="1:35" ht="15.6">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row>
    <row r="775" spans="1:35" ht="15.6">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row>
    <row r="776" spans="1:35" ht="15.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row>
    <row r="777" spans="1:35" ht="15.6">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row>
    <row r="778" spans="1:35" ht="15.6">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row>
    <row r="779" spans="1:35" ht="15.6">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row>
    <row r="780" spans="1:35" ht="15.6">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row>
    <row r="781" spans="1:35" ht="15.6">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row>
    <row r="782" spans="1:35" ht="15.6">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row>
    <row r="783" spans="1:35" ht="15.6">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row>
    <row r="784" spans="1:35" ht="15.6">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row>
    <row r="785" spans="1:35" ht="15.6">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row>
    <row r="786" spans="1:35" ht="15.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row>
    <row r="787" spans="1:35" ht="15.6">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row>
    <row r="788" spans="1:35" ht="15.6">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row>
    <row r="789" spans="1:35" ht="15.6">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row>
    <row r="790" spans="1:35" ht="15.6">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row>
    <row r="791" spans="1:35" ht="15.6">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row>
    <row r="792" spans="1:35" ht="15.6">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row>
    <row r="793" spans="1:35" ht="15.6">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row>
    <row r="794" spans="1:35" ht="15.6">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row>
    <row r="795" spans="1:35" ht="15.6">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row>
    <row r="796" spans="1:35" ht="15.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row>
    <row r="797" spans="1:35" ht="15.6">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row>
    <row r="798" spans="1:35" ht="15.6">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row>
    <row r="799" spans="1:35" ht="15.6">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row>
    <row r="800" spans="1:35" ht="15.6">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row>
    <row r="801" spans="1:35" ht="15.6">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row>
    <row r="802" spans="1:35" ht="15.6">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row>
    <row r="803" spans="1:35" ht="15.6">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row>
    <row r="804" spans="1:35" ht="15.6">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row>
    <row r="805" spans="1:35" ht="15.6">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row>
    <row r="806" spans="1:35" ht="15.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row>
    <row r="807" spans="1:35" ht="15.6">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row>
    <row r="808" spans="1:35" ht="15.6">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row>
    <row r="809" spans="1:35" ht="15.6">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row>
    <row r="810" spans="1:35" ht="15.6">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row>
    <row r="811" spans="1:35" ht="15.6">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row>
    <row r="812" spans="1:35" ht="15.6">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row>
    <row r="813" spans="1:35" ht="15.6">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row>
    <row r="814" spans="1:35" ht="15.6">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row>
    <row r="815" spans="1:35" ht="15.6">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row>
    <row r="816" spans="1:35" ht="15.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row>
    <row r="817" spans="1:35" ht="15.6">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row>
    <row r="818" spans="1:35" ht="15.6">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row>
    <row r="819" spans="1:35" ht="15.6">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row>
    <row r="820" spans="1:35" ht="15.6">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row>
    <row r="821" spans="1:35" ht="15.6">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row>
    <row r="822" spans="1:35" ht="15.6">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row>
    <row r="823" spans="1:35" ht="15.6">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row>
    <row r="824" spans="1:35" ht="15.6">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row>
    <row r="825" spans="1:35" ht="15.6">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row>
    <row r="826" spans="1:35" ht="15.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row>
    <row r="827" spans="1:35" ht="15.6">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row>
    <row r="828" spans="1:35" ht="15.6">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row>
    <row r="829" spans="1:35" ht="15.6">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row>
    <row r="830" spans="1:35" ht="15.6">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row>
    <row r="831" spans="1:35" ht="15.6">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row>
    <row r="832" spans="1:35" ht="15.6">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row>
    <row r="833" spans="1:35" ht="15.6">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row>
    <row r="834" spans="1:35" ht="15.6">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row>
    <row r="835" spans="1:35" ht="15.6">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row>
    <row r="836" spans="1:35" ht="15.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row>
    <row r="837" spans="1:35" ht="15.6">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row>
    <row r="838" spans="1:35" ht="15.6">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row>
    <row r="839" spans="1:35" ht="15.6">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row>
    <row r="840" spans="1:35" ht="15.6">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row>
    <row r="841" spans="1:35" ht="15.6">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row>
    <row r="842" spans="1:35" ht="15.6">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row>
    <row r="843" spans="1:35" ht="15.6">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row>
    <row r="844" spans="1:35" ht="15.6">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row>
    <row r="845" spans="1:35" ht="15.6">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row>
    <row r="846" spans="1:35" ht="15.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row>
    <row r="847" spans="1:35" ht="15.6">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row>
    <row r="848" spans="1:35" ht="15.6">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row>
    <row r="849" spans="1:35" ht="15.6">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row>
    <row r="850" spans="1:35" ht="15.6">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row>
    <row r="851" spans="1:35" ht="15.6">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row>
    <row r="852" spans="1:35" ht="15.6">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row>
    <row r="853" spans="1:35" ht="15.6">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row>
    <row r="854" spans="1:35" ht="15.6">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row>
    <row r="855" spans="1:35" ht="15.6">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row>
    <row r="856" spans="1:35" ht="1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row>
    <row r="857" spans="1:35" ht="15.6">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row>
    <row r="858" spans="1:35" ht="15.6">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row>
    <row r="859" spans="1:35" ht="15.6">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row>
    <row r="860" spans="1:35" ht="15.6">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row>
    <row r="861" spans="1:35" ht="15.6">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row>
    <row r="862" spans="1:35" ht="15.6">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row>
    <row r="863" spans="1:35" ht="15.6">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row>
    <row r="864" spans="1:35" ht="15.6">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row>
    <row r="865" spans="1:35" ht="15.6">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row>
    <row r="866" spans="1:35" ht="15.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row>
    <row r="867" spans="1:35" ht="15.6">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row>
    <row r="868" spans="1:35" ht="15.6">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row>
    <row r="869" spans="1:35" ht="15.6">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row>
    <row r="870" spans="1:35" ht="15.6">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row>
    <row r="871" spans="1:35" ht="15.6">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row>
    <row r="872" spans="1:35" ht="15.6">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row>
    <row r="873" spans="1:35" ht="15.6">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row>
    <row r="874" spans="1:35" ht="15.6">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row>
    <row r="875" spans="1:35" ht="15.6">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row>
    <row r="876" spans="1:35" ht="15.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row>
    <row r="877" spans="1:35" ht="15.6">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row>
    <row r="878" spans="1:35" ht="15.6">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row>
    <row r="879" spans="1:35" ht="15.6">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row>
    <row r="880" spans="1:35" ht="15.6">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row>
    <row r="881" spans="1:35" ht="15.6">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row>
    <row r="882" spans="1:35" ht="15.6">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row>
    <row r="883" spans="1:35" ht="15.6">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row>
    <row r="884" spans="1:35" ht="15.6">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row>
    <row r="885" spans="1:35" ht="15.6">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row>
    <row r="886" spans="1:35" ht="15.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row>
    <row r="887" spans="1:35" ht="15.6">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row>
    <row r="888" spans="1:35" ht="15.6">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row>
    <row r="889" spans="1:35" ht="15.6">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row>
    <row r="890" spans="1:35" ht="15.6">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row>
    <row r="891" spans="1:35" ht="15.6">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row>
    <row r="892" spans="1:35" ht="15.6">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row>
    <row r="893" spans="1:35" ht="15.6">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row>
    <row r="894" spans="1:35" ht="15.6">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row>
    <row r="895" spans="1:35" ht="15.6">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row>
    <row r="896" spans="1:35" ht="15.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row>
    <row r="897" spans="1:35" ht="15.6">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row>
    <row r="898" spans="1:35" ht="15.6">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row>
    <row r="899" spans="1:35" ht="15.6">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row>
    <row r="900" spans="1:35" ht="15.6">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row>
    <row r="901" spans="1:35" ht="15.6">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row>
    <row r="902" spans="1:35" ht="15.6">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row>
    <row r="903" spans="1:35" ht="15.6">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row>
    <row r="904" spans="1:35" ht="15.6">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row>
    <row r="905" spans="1:35" ht="15.6">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row>
    <row r="906" spans="1:35" ht="15.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row>
    <row r="907" spans="1:35" ht="15.6">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row>
    <row r="908" spans="1:35" ht="15.6">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row>
    <row r="909" spans="1:35" ht="15.6">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row>
    <row r="910" spans="1:35" ht="15.6">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row>
    <row r="911" spans="1:35" ht="15.6">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row>
    <row r="912" spans="1:35" ht="15.6">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row>
    <row r="913" spans="1:35" ht="15.6">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row>
    <row r="914" spans="1:35" ht="15.6">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row>
    <row r="915" spans="1:35" ht="15.6">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row>
    <row r="916" spans="1:35" ht="15.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row>
    <row r="917" spans="1:35" ht="15.6">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row>
    <row r="918" spans="1:35" ht="15.6">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row>
    <row r="919" spans="1:35" ht="15.6">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row>
    <row r="920" spans="1:35" ht="15.6">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row>
    <row r="921" spans="1:35" ht="15.6">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row>
    <row r="922" spans="1:35" ht="15.6">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row>
    <row r="923" spans="1:35" ht="15.6">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row>
    <row r="924" spans="1:35" ht="15.6">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row>
    <row r="925" spans="1:35" ht="15.6">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row>
    <row r="926" spans="1:35" ht="15.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row>
    <row r="927" spans="1:35" ht="15.6">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row>
    <row r="928" spans="1:35" ht="15.6">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row>
    <row r="929" spans="1:35" ht="15.6">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row>
    <row r="930" spans="1:35" ht="15.6">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row>
    <row r="931" spans="1:35" ht="15.6">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row>
    <row r="932" spans="1:35" ht="15.6">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row>
    <row r="933" spans="1:35" ht="15.6">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row>
    <row r="934" spans="1:35" ht="15.6">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row>
    <row r="935" spans="1:35" ht="15.6">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row>
    <row r="936" spans="1:35" ht="15.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row>
    <row r="937" spans="1:35" ht="15.6">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row>
    <row r="938" spans="1:35" ht="15.6">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row>
    <row r="939" spans="1:35" ht="15.6">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row>
    <row r="940" spans="1:35" ht="15.6">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row>
    <row r="941" spans="1:35" ht="15.6">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row>
    <row r="942" spans="1:35" ht="15.6">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row>
    <row r="943" spans="1:35" ht="15.6">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row>
    <row r="944" spans="1:35" ht="15.6">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row>
    <row r="945" spans="1:35" ht="15.6">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row>
    <row r="946" spans="1:35" ht="15.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row>
    <row r="947" spans="1:35" ht="15.6">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row>
    <row r="948" spans="1:35" ht="15.6">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row>
    <row r="949" spans="1:35" ht="15.6">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row>
    <row r="950" spans="1:35" ht="15.6">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row>
    <row r="951" spans="1:35" ht="15.6">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row>
    <row r="952" spans="1:35" ht="15.6">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row>
    <row r="953" spans="1:35" ht="15.6">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row>
    <row r="954" spans="1:35" ht="15.6">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row>
    <row r="955" spans="1:35" ht="15.6">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row>
    <row r="956" spans="1:35" ht="1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row>
    <row r="957" spans="1:35" ht="15.6">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row>
    <row r="958" spans="1:35" ht="15.6">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row>
    <row r="959" spans="1:35" ht="15.6">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row>
    <row r="960" spans="1:35" ht="15.6">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row>
    <row r="961" spans="1:35" ht="15.6">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row>
    <row r="962" spans="1:35" ht="15.6">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row>
    <row r="963" spans="1:35" ht="15.6">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row>
    <row r="964" spans="1:35" ht="15.6">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row>
    <row r="965" spans="1:35" ht="15.6">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row>
    <row r="966" spans="1:35" ht="15.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row>
    <row r="967" spans="1:35" ht="15.6">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row>
    <row r="968" spans="1:35" ht="15.6">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row>
    <row r="969" spans="1:35" ht="15.6">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row>
    <row r="970" spans="1:35" ht="15.6">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row>
    <row r="971" spans="1:35" ht="15.6">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row>
    <row r="972" spans="1:35" ht="15.6">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row>
    <row r="973" spans="1:35" ht="15.6">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row>
    <row r="974" spans="1:35" ht="15.6">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row>
    <row r="975" spans="1:35" ht="15.6">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row>
    <row r="976" spans="1:35" ht="15.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row>
    <row r="977" spans="1:35" ht="15.6">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row>
    <row r="978" spans="1:35" ht="15.6">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row>
    <row r="979" spans="1:35" ht="15.6">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row>
    <row r="980" spans="1:35" ht="15.6">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row>
    <row r="981" spans="1:35" ht="15.6">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row>
    <row r="982" spans="1:35" ht="15.6">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row>
    <row r="983" spans="1:35" ht="15.6">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row>
    <row r="984" spans="1:35" ht="15.6">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row>
    <row r="985" spans="1:35" ht="15.6">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row>
    <row r="986" spans="1:35" ht="15.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row>
    <row r="987" spans="1:35" ht="15.6">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row>
    <row r="988" spans="1:35" ht="15.6">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row>
    <row r="989" spans="1:35" ht="15.6">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row>
    <row r="990" spans="1:35" ht="15.6">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row>
    <row r="991" spans="1:35" ht="15.6">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row>
    <row r="992" spans="1:35" ht="15.6">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row>
    <row r="993" spans="1:35" ht="15.6">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row>
    <row r="994" spans="1:35" ht="15.6">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row>
    <row r="995" spans="1:35" ht="15.6">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row>
    <row r="996" spans="1:35" ht="15.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row>
    <row r="997" spans="1:35" ht="15.6">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row>
    <row r="998" spans="1:35" ht="15.6">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row>
    <row r="999" spans="1:35" ht="15.6">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row>
    <row r="1000" spans="1:35" ht="15.6">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row>
  </sheetData>
  <autoFilter ref="B1:J118" xr:uid="{00000000-0009-0000-0000-000000000000}"/>
  <mergeCells count="2">
    <mergeCell ref="C120:J120"/>
    <mergeCell ref="C143:J143"/>
  </mergeCells>
  <conditionalFormatting sqref="A1:A1000">
    <cfRule type="beginsWith" dxfId="0" priority="1" operator="beginsWith" text="1">
      <formula>LEFT((A1),LEN("1"))=("1")</formula>
    </cfRule>
  </conditionalFormatting>
  <dataValidations count="1">
    <dataValidation type="decimal" allowBlank="1" showDropDown="1" sqref="A1" xr:uid="{00000000-0002-0000-0000-000000000000}">
      <formula1>1</formula1>
      <formula2>200</formula2>
    </dataValidation>
  </dataValidation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99"/>
  <sheetViews>
    <sheetView workbookViewId="0">
      <pane xSplit="1" ySplit="1" topLeftCell="E2" activePane="bottomRight" state="frozen"/>
      <selection pane="topRight" activeCell="B1" sqref="B1"/>
      <selection pane="bottomLeft" activeCell="A2" sqref="A2"/>
      <selection pane="bottomRight" activeCell="G21" sqref="G21"/>
    </sheetView>
  </sheetViews>
  <sheetFormatPr defaultColWidth="11.19921875" defaultRowHeight="15" customHeight="1"/>
  <cols>
    <col min="1" max="1" width="45" customWidth="1"/>
    <col min="7" max="7" width="12.19921875" bestFit="1" customWidth="1"/>
  </cols>
  <sheetData>
    <row r="1" spans="1:24">
      <c r="A1" s="11"/>
      <c r="B1" s="12">
        <v>2016</v>
      </c>
      <c r="C1" s="12">
        <v>2017</v>
      </c>
      <c r="D1" s="12">
        <v>2018</v>
      </c>
      <c r="E1" s="12">
        <v>2019</v>
      </c>
      <c r="F1" s="12">
        <v>2020</v>
      </c>
      <c r="G1" s="13" t="s">
        <v>64</v>
      </c>
      <c r="H1" s="13" t="s">
        <v>65</v>
      </c>
      <c r="I1" s="13" t="s">
        <v>66</v>
      </c>
      <c r="J1" s="13" t="s">
        <v>67</v>
      </c>
      <c r="K1" s="13" t="s">
        <v>68</v>
      </c>
      <c r="L1" s="14"/>
      <c r="M1" s="14"/>
      <c r="N1" s="14"/>
      <c r="O1" s="14"/>
      <c r="P1" s="14"/>
      <c r="Q1" s="14"/>
      <c r="R1" s="14"/>
      <c r="S1" s="14"/>
      <c r="T1" s="14"/>
      <c r="U1" s="14"/>
      <c r="V1" s="14"/>
      <c r="W1" s="14"/>
      <c r="X1" s="14"/>
    </row>
    <row r="2" spans="1:24">
      <c r="A2" s="767" t="s">
        <v>69</v>
      </c>
      <c r="B2" s="769" t="s">
        <v>70</v>
      </c>
      <c r="C2" s="770"/>
      <c r="D2" s="770"/>
      <c r="E2" s="770"/>
      <c r="F2" s="771"/>
      <c r="G2" s="775" t="s">
        <v>71</v>
      </c>
      <c r="H2" s="770"/>
      <c r="I2" s="770"/>
      <c r="J2" s="770"/>
      <c r="K2" s="776"/>
      <c r="L2" s="15"/>
      <c r="M2" s="6"/>
      <c r="N2" s="6"/>
      <c r="O2" s="6"/>
      <c r="P2" s="6"/>
      <c r="Q2" s="6"/>
      <c r="R2" s="6"/>
      <c r="S2" s="14"/>
      <c r="T2" s="14"/>
      <c r="U2" s="14"/>
      <c r="V2" s="14"/>
      <c r="W2" s="14"/>
      <c r="X2" s="14"/>
    </row>
    <row r="3" spans="1:24">
      <c r="A3" s="768"/>
      <c r="B3" s="772"/>
      <c r="C3" s="773"/>
      <c r="D3" s="773"/>
      <c r="E3" s="773"/>
      <c r="F3" s="774"/>
      <c r="G3" s="777"/>
      <c r="H3" s="773"/>
      <c r="I3" s="773"/>
      <c r="J3" s="773"/>
      <c r="K3" s="778"/>
      <c r="L3" s="15"/>
      <c r="M3" s="6"/>
      <c r="N3" s="6"/>
      <c r="O3" s="6"/>
      <c r="P3" s="6"/>
      <c r="Q3" s="6"/>
      <c r="R3" s="6"/>
      <c r="S3" s="14"/>
      <c r="T3" s="14"/>
      <c r="U3" s="14"/>
      <c r="V3" s="14"/>
      <c r="W3" s="14"/>
      <c r="X3" s="14"/>
    </row>
    <row r="4" spans="1:24">
      <c r="A4" s="16" t="s">
        <v>72</v>
      </c>
      <c r="B4" s="664">
        <v>431.4</v>
      </c>
      <c r="C4" s="665">
        <v>539.1</v>
      </c>
      <c r="D4" s="665">
        <v>559.5</v>
      </c>
      <c r="E4" s="665">
        <v>1159.4000000000001</v>
      </c>
      <c r="F4" s="666">
        <v>1494.5</v>
      </c>
      <c r="G4" s="667">
        <f>Forecast!T18</f>
        <v>1450</v>
      </c>
      <c r="H4" s="667">
        <f>Forecast!U18</f>
        <v>3182</v>
      </c>
      <c r="I4" s="667">
        <f>Forecast!V18</f>
        <v>3284</v>
      </c>
      <c r="J4" s="667">
        <f>Forecast!W18</f>
        <v>3289</v>
      </c>
      <c r="K4" s="668">
        <f>Forecast!X18</f>
        <v>3299</v>
      </c>
      <c r="L4" s="15"/>
      <c r="M4" s="6"/>
      <c r="N4" s="6"/>
      <c r="O4" s="6"/>
      <c r="P4" s="6"/>
      <c r="Q4" s="6"/>
      <c r="R4" s="6"/>
      <c r="S4" s="14"/>
      <c r="T4" s="14"/>
      <c r="U4" s="14"/>
      <c r="V4" s="14"/>
      <c r="W4" s="14"/>
      <c r="X4" s="14"/>
    </row>
    <row r="5" spans="1:24">
      <c r="A5" s="23" t="s">
        <v>73</v>
      </c>
      <c r="B5" s="669">
        <f>-'INPUT-Y'!F124</f>
        <v>-212.5</v>
      </c>
      <c r="C5" s="670">
        <f>-'INPUT-Y'!G124</f>
        <v>-227.3</v>
      </c>
      <c r="D5" s="670">
        <f>-'INPUT-Y'!H124</f>
        <v>-253.5</v>
      </c>
      <c r="E5" s="670">
        <f>-'INPUT-Y'!I124</f>
        <v>-509.7</v>
      </c>
      <c r="F5" s="671">
        <f>-'INPUT-Y'!J124</f>
        <v>-732.7</v>
      </c>
      <c r="G5" s="672">
        <f>-SUM(Forecast!G118:G122)</f>
        <v>-628.86297765363111</v>
      </c>
      <c r="H5" s="672">
        <f>-SUM(Forecast!H118:H122)</f>
        <v>-1676.9804811586589</v>
      </c>
      <c r="I5" s="672">
        <f>-SUM(Forecast!I118:I122)</f>
        <v>-1700.3698771977652</v>
      </c>
      <c r="J5" s="672">
        <f>-SUM(Forecast!J118:J122)</f>
        <v>-1722.6179773072959</v>
      </c>
      <c r="K5" s="673">
        <f>-SUM(Forecast!K118:K122)</f>
        <v>-1745.957419344812</v>
      </c>
      <c r="L5" s="15"/>
      <c r="M5" s="6"/>
      <c r="N5" s="6"/>
      <c r="O5" s="6"/>
      <c r="P5" s="6"/>
      <c r="Q5" s="6"/>
      <c r="R5" s="6"/>
      <c r="S5" s="14"/>
      <c r="T5" s="14"/>
      <c r="U5" s="14"/>
      <c r="V5" s="14"/>
      <c r="W5" s="14"/>
      <c r="X5" s="14"/>
    </row>
    <row r="6" spans="1:24">
      <c r="A6" s="29" t="s">
        <v>74</v>
      </c>
      <c r="B6" s="674">
        <f t="shared" ref="B6:K6" si="0">B4+B5</f>
        <v>218.89999999999998</v>
      </c>
      <c r="C6" s="675">
        <f t="shared" si="0"/>
        <v>311.8</v>
      </c>
      <c r="D6" s="675">
        <f t="shared" si="0"/>
        <v>306</v>
      </c>
      <c r="E6" s="675">
        <f t="shared" si="0"/>
        <v>649.70000000000005</v>
      </c>
      <c r="F6" s="676">
        <f t="shared" si="0"/>
        <v>761.8</v>
      </c>
      <c r="G6" s="677">
        <f t="shared" si="0"/>
        <v>821.13702234636889</v>
      </c>
      <c r="H6" s="677">
        <f t="shared" si="0"/>
        <v>1505.0195188413411</v>
      </c>
      <c r="I6" s="677">
        <f t="shared" si="0"/>
        <v>1583.6301228022348</v>
      </c>
      <c r="J6" s="677">
        <f t="shared" si="0"/>
        <v>1566.3820226927041</v>
      </c>
      <c r="K6" s="678">
        <f t="shared" si="0"/>
        <v>1553.042580655188</v>
      </c>
      <c r="L6" s="33"/>
      <c r="M6" s="7"/>
      <c r="N6" s="7"/>
      <c r="O6" s="7"/>
      <c r="P6" s="7"/>
      <c r="Q6" s="7"/>
      <c r="R6" s="7"/>
      <c r="S6" s="34"/>
      <c r="T6" s="34"/>
      <c r="U6" s="34"/>
      <c r="V6" s="34"/>
      <c r="W6" s="34"/>
      <c r="X6" s="34"/>
    </row>
    <row r="7" spans="1:24">
      <c r="A7" s="23" t="s">
        <v>75</v>
      </c>
      <c r="B7" s="669">
        <f>'INPUT-Y'!F126</f>
        <v>26.8</v>
      </c>
      <c r="C7" s="670">
        <f>'INPUT-Y'!G126</f>
        <v>18</v>
      </c>
      <c r="D7" s="670">
        <f>'INPUT-Y'!H126</f>
        <v>19.5</v>
      </c>
      <c r="E7" s="670">
        <f>'INPUT-Y'!I126</f>
        <v>24.2</v>
      </c>
      <c r="F7" s="671">
        <f>'INPUT-Y'!J126</f>
        <v>30.5</v>
      </c>
      <c r="G7" s="672">
        <f t="shared" ref="G7:K7" si="1">G36</f>
        <v>36.797894804380277</v>
      </c>
      <c r="H7" s="672">
        <f t="shared" si="1"/>
        <v>70.702859505819106</v>
      </c>
      <c r="I7" s="672">
        <f t="shared" si="1"/>
        <v>74.443519031758683</v>
      </c>
      <c r="J7" s="672">
        <f t="shared" si="1"/>
        <v>77.034999384169481</v>
      </c>
      <c r="K7" s="673">
        <f t="shared" si="1"/>
        <v>75.118440965131768</v>
      </c>
      <c r="L7" s="15"/>
      <c r="M7" s="6"/>
      <c r="N7" s="6"/>
      <c r="O7" s="6"/>
      <c r="P7" s="6"/>
      <c r="Q7" s="6"/>
      <c r="R7" s="6"/>
      <c r="S7" s="14"/>
      <c r="T7" s="14"/>
      <c r="U7" s="14"/>
      <c r="V7" s="14"/>
      <c r="W7" s="14"/>
      <c r="X7" s="14"/>
    </row>
    <row r="8" spans="1:24">
      <c r="A8" s="23" t="s">
        <v>76</v>
      </c>
      <c r="B8" s="669">
        <f>-'INPUT-Y'!F127</f>
        <v>-45.8</v>
      </c>
      <c r="C8" s="670">
        <f>-'INPUT-Y'!G127</f>
        <v>-24.6</v>
      </c>
      <c r="D8" s="670">
        <f>-'INPUT-Y'!H127</f>
        <v>-41.1</v>
      </c>
      <c r="E8" s="670">
        <f>-'INPUT-Y'!I127</f>
        <v>-257.8</v>
      </c>
      <c r="F8" s="671">
        <f>-'INPUT-Y'!J127</f>
        <v>-371.2</v>
      </c>
      <c r="G8" s="672">
        <f t="shared" ref="G8:K8" si="2">G39</f>
        <v>-343.6443497506898</v>
      </c>
      <c r="H8" s="672">
        <f t="shared" si="2"/>
        <v>-834.64019826394701</v>
      </c>
      <c r="I8" s="672">
        <f t="shared" si="2"/>
        <v>-805.55427459358555</v>
      </c>
      <c r="J8" s="672">
        <f t="shared" si="2"/>
        <v>-775.37795279676038</v>
      </c>
      <c r="K8" s="673">
        <f t="shared" si="2"/>
        <v>-745.25783708892811</v>
      </c>
      <c r="L8" s="15"/>
      <c r="M8" s="6"/>
      <c r="N8" s="6"/>
      <c r="O8" s="6"/>
      <c r="P8" s="6"/>
      <c r="Q8" s="6"/>
      <c r="R8" s="6"/>
      <c r="S8" s="14"/>
      <c r="T8" s="14"/>
      <c r="U8" s="14"/>
      <c r="V8" s="14"/>
      <c r="W8" s="14"/>
      <c r="X8" s="14"/>
    </row>
    <row r="9" spans="1:24">
      <c r="A9" s="37" t="s">
        <v>77</v>
      </c>
      <c r="B9" s="669">
        <f>-'INPUT-Y'!F128</f>
        <v>-39.1</v>
      </c>
      <c r="C9" s="670">
        <f>-'INPUT-Y'!G128</f>
        <v>-24.4</v>
      </c>
      <c r="D9" s="670">
        <f>-'INPUT-Y'!H128</f>
        <v>-40.200000000000003</v>
      </c>
      <c r="E9" s="670">
        <f>-'INPUT-Y'!I128</f>
        <v>-244.9</v>
      </c>
      <c r="F9" s="671">
        <f>-'INPUT-Y'!J128</f>
        <v>-354.4</v>
      </c>
      <c r="G9" s="672">
        <f t="shared" ref="G9:K9" si="3">G40</f>
        <v>-327.34458394272724</v>
      </c>
      <c r="H9" s="672">
        <f t="shared" si="3"/>
        <v>-798.87064322881815</v>
      </c>
      <c r="I9" s="672">
        <f t="shared" si="3"/>
        <v>-768.63811534300009</v>
      </c>
      <c r="J9" s="672">
        <f t="shared" si="3"/>
        <v>-738.40558745718192</v>
      </c>
      <c r="K9" s="673">
        <f t="shared" si="3"/>
        <v>-708.17305957136364</v>
      </c>
      <c r="L9" s="15"/>
      <c r="M9" s="6"/>
      <c r="N9" s="6"/>
      <c r="O9" s="6"/>
      <c r="P9" s="6"/>
      <c r="Q9" s="6"/>
      <c r="R9" s="6"/>
      <c r="S9" s="14"/>
      <c r="T9" s="14"/>
      <c r="U9" s="14"/>
      <c r="V9" s="14"/>
      <c r="W9" s="14"/>
      <c r="X9" s="14"/>
    </row>
    <row r="10" spans="1:24">
      <c r="A10" s="23" t="s">
        <v>78</v>
      </c>
      <c r="B10" s="669">
        <f>-'INPUT-Y'!F130</f>
        <v>-0.1</v>
      </c>
      <c r="C10" s="670">
        <f>-'INPUT-Y'!G130</f>
        <v>-1</v>
      </c>
      <c r="D10" s="670">
        <f>-'INPUT-Y'!H130</f>
        <v>-0.6</v>
      </c>
      <c r="E10" s="670">
        <f>-'INPUT-Y'!I130</f>
        <v>-0.6</v>
      </c>
      <c r="F10" s="671">
        <f>-'INPUT-Y'!J130</f>
        <v>-1.7</v>
      </c>
      <c r="G10" s="672">
        <f t="shared" ref="G10:K10" si="4">G29*G4</f>
        <v>-1.3182429937386881</v>
      </c>
      <c r="H10" s="672">
        <f t="shared" si="4"/>
        <v>-2.7197045486833358</v>
      </c>
      <c r="I10" s="672">
        <f t="shared" si="4"/>
        <v>-3.1760141184644048</v>
      </c>
      <c r="J10" s="672">
        <f t="shared" si="4"/>
        <v>-2.9940491902568671</v>
      </c>
      <c r="K10" s="673">
        <f t="shared" si="4"/>
        <v>-3.0044598495352148</v>
      </c>
      <c r="L10" s="15"/>
      <c r="M10" s="6"/>
      <c r="N10" s="6"/>
      <c r="O10" s="6"/>
      <c r="P10" s="6"/>
      <c r="Q10" s="6"/>
      <c r="R10" s="6"/>
      <c r="S10" s="14"/>
      <c r="T10" s="14"/>
      <c r="U10" s="14"/>
      <c r="V10" s="14"/>
      <c r="W10" s="14"/>
      <c r="X10" s="14"/>
    </row>
    <row r="11" spans="1:24">
      <c r="A11" s="23" t="s">
        <v>79</v>
      </c>
      <c r="B11" s="669">
        <f>-'INPUT-Y'!F131</f>
        <v>-51.3</v>
      </c>
      <c r="C11" s="670">
        <f>-'INPUT-Y'!G131</f>
        <v>-65.099999999999994</v>
      </c>
      <c r="D11" s="670">
        <f>-'INPUT-Y'!H131</f>
        <v>-76.599999999999994</v>
      </c>
      <c r="E11" s="670">
        <f>-'INPUT-Y'!I131</f>
        <v>-111.2</v>
      </c>
      <c r="F11" s="671">
        <f>-'INPUT-Y'!J131</f>
        <v>-114.3</v>
      </c>
      <c r="G11" s="672">
        <f t="shared" ref="G11:K11" si="5">G33*G4</f>
        <v>-149.49502910690313</v>
      </c>
      <c r="H11" s="672">
        <f t="shared" si="5"/>
        <v>-292.20531578870913</v>
      </c>
      <c r="I11" s="672">
        <f t="shared" si="5"/>
        <v>-297.10474678357048</v>
      </c>
      <c r="J11" s="672">
        <f t="shared" si="5"/>
        <v>-312.89475545936767</v>
      </c>
      <c r="K11" s="673">
        <f t="shared" si="5"/>
        <v>-305.08580127025789</v>
      </c>
      <c r="L11" s="15"/>
      <c r="M11" s="6"/>
      <c r="N11" s="6"/>
      <c r="O11" s="6"/>
      <c r="P11" s="6"/>
      <c r="Q11" s="6"/>
      <c r="R11" s="6"/>
      <c r="S11" s="14"/>
      <c r="T11" s="14"/>
      <c r="U11" s="14"/>
      <c r="V11" s="14"/>
      <c r="W11" s="14"/>
      <c r="X11" s="14"/>
    </row>
    <row r="12" spans="1:24">
      <c r="A12" s="29" t="s">
        <v>80</v>
      </c>
      <c r="B12" s="674">
        <f>'INPUT-Y'!F132</f>
        <v>148.5</v>
      </c>
      <c r="C12" s="675">
        <f>'INPUT-Y'!G132</f>
        <v>239.2</v>
      </c>
      <c r="D12" s="675">
        <f>'INPUT-Y'!H132</f>
        <v>207.1</v>
      </c>
      <c r="E12" s="675">
        <f>'INPUT-Y'!I132</f>
        <v>304.3</v>
      </c>
      <c r="F12" s="676">
        <f>'INPUT-Y'!J132</f>
        <v>303.89999999999998</v>
      </c>
      <c r="G12" s="677">
        <f t="shared" ref="G12:K12" si="6">G6+G7+SUM(G8,G10,G11)</f>
        <v>363.47729529941751</v>
      </c>
      <c r="H12" s="677">
        <f t="shared" si="6"/>
        <v>446.15715974582076</v>
      </c>
      <c r="I12" s="677">
        <f t="shared" si="6"/>
        <v>552.23860633837285</v>
      </c>
      <c r="J12" s="677">
        <f t="shared" si="6"/>
        <v>552.15026463048866</v>
      </c>
      <c r="K12" s="678">
        <f t="shared" si="6"/>
        <v>574.8129234115986</v>
      </c>
      <c r="L12" s="33"/>
      <c r="M12" s="7"/>
      <c r="N12" s="7"/>
      <c r="O12" s="7"/>
      <c r="P12" s="7"/>
      <c r="Q12" s="7"/>
      <c r="R12" s="7"/>
      <c r="S12" s="34"/>
      <c r="T12" s="34"/>
      <c r="U12" s="34"/>
      <c r="V12" s="34"/>
      <c r="W12" s="34"/>
      <c r="X12" s="34"/>
    </row>
    <row r="13" spans="1:24">
      <c r="A13" s="23" t="s">
        <v>81</v>
      </c>
      <c r="B13" s="669">
        <f>'INPUT-Y'!F135</f>
        <v>0.7</v>
      </c>
      <c r="C13" s="670">
        <f>'INPUT-Y'!G135</f>
        <v>-8.6999999999999993</v>
      </c>
      <c r="D13" s="670">
        <f>'INPUT-Y'!H135</f>
        <v>-0.2</v>
      </c>
      <c r="E13" s="670">
        <f>'INPUT-Y'!I135</f>
        <v>-0.3</v>
      </c>
      <c r="F13" s="671">
        <f>'INPUT-Y'!J135</f>
        <v>4.7</v>
      </c>
      <c r="G13" s="672">
        <f t="shared" ref="G13:K13" si="7">F13</f>
        <v>4.7</v>
      </c>
      <c r="H13" s="672">
        <f t="shared" si="7"/>
        <v>4.7</v>
      </c>
      <c r="I13" s="672">
        <f t="shared" si="7"/>
        <v>4.7</v>
      </c>
      <c r="J13" s="672">
        <f t="shared" si="7"/>
        <v>4.7</v>
      </c>
      <c r="K13" s="673">
        <f t="shared" si="7"/>
        <v>4.7</v>
      </c>
      <c r="L13" s="15"/>
      <c r="M13" s="6"/>
      <c r="N13" s="6"/>
      <c r="O13" s="6"/>
      <c r="P13" s="6"/>
      <c r="Q13" s="6"/>
      <c r="R13" s="6"/>
      <c r="S13" s="14"/>
      <c r="T13" s="14"/>
      <c r="U13" s="14"/>
      <c r="V13" s="14"/>
      <c r="W13" s="14"/>
      <c r="X13" s="14"/>
    </row>
    <row r="14" spans="1:24">
      <c r="A14" s="23" t="s">
        <v>82</v>
      </c>
      <c r="B14" s="669">
        <f>'INPUT-Y'!F129</f>
        <v>0</v>
      </c>
      <c r="C14" s="670">
        <f>'INPUT-Y'!G129</f>
        <v>0</v>
      </c>
      <c r="D14" s="670">
        <f>'INPUT-Y'!H129</f>
        <v>0</v>
      </c>
      <c r="E14" s="670">
        <f>'INPUT-Y'!I129</f>
        <v>0</v>
      </c>
      <c r="F14" s="671">
        <f>'INPUT-Y'!J129</f>
        <v>0</v>
      </c>
      <c r="G14" s="672">
        <v>0</v>
      </c>
      <c r="H14" s="672">
        <v>0</v>
      </c>
      <c r="I14" s="672">
        <v>0</v>
      </c>
      <c r="J14" s="672">
        <v>0</v>
      </c>
      <c r="K14" s="673">
        <v>0</v>
      </c>
      <c r="L14" s="15"/>
      <c r="M14" s="6"/>
      <c r="N14" s="6"/>
      <c r="O14" s="6"/>
      <c r="P14" s="6"/>
      <c r="Q14" s="6"/>
      <c r="R14" s="6"/>
      <c r="S14" s="14"/>
      <c r="T14" s="14"/>
      <c r="U14" s="14"/>
      <c r="V14" s="14"/>
      <c r="W14" s="14"/>
      <c r="X14" s="14"/>
    </row>
    <row r="15" spans="1:24">
      <c r="A15" s="29" t="s">
        <v>83</v>
      </c>
      <c r="B15" s="674">
        <f>'INPUT-Y'!F136</f>
        <v>149.19999999999999</v>
      </c>
      <c r="C15" s="675">
        <f>'INPUT-Y'!G136</f>
        <v>230.4</v>
      </c>
      <c r="D15" s="675">
        <f>'INPUT-Y'!H136</f>
        <v>206.9</v>
      </c>
      <c r="E15" s="675">
        <f>'INPUT-Y'!I136</f>
        <v>303.89999999999998</v>
      </c>
      <c r="F15" s="676">
        <f>'INPUT-Y'!J136</f>
        <v>308.60000000000002</v>
      </c>
      <c r="G15" s="677">
        <f t="shared" ref="G15:K15" si="8">SUM(G12:G14)</f>
        <v>368.17729529941749</v>
      </c>
      <c r="H15" s="677">
        <f t="shared" si="8"/>
        <v>450.85715974582075</v>
      </c>
      <c r="I15" s="677">
        <f t="shared" si="8"/>
        <v>556.93860633837289</v>
      </c>
      <c r="J15" s="677">
        <f t="shared" si="8"/>
        <v>556.85026463048871</v>
      </c>
      <c r="K15" s="678">
        <f t="shared" si="8"/>
        <v>579.51292341159865</v>
      </c>
      <c r="L15" s="33"/>
      <c r="M15" s="7"/>
      <c r="N15" s="7"/>
      <c r="O15" s="7"/>
      <c r="P15" s="7"/>
      <c r="Q15" s="7"/>
      <c r="R15" s="7"/>
      <c r="S15" s="34"/>
      <c r="T15" s="34"/>
      <c r="U15" s="34"/>
      <c r="V15" s="34"/>
      <c r="W15" s="34"/>
      <c r="X15" s="34"/>
    </row>
    <row r="16" spans="1:24">
      <c r="A16" s="23" t="s">
        <v>84</v>
      </c>
      <c r="B16" s="669">
        <f>-'INPUT-Y'!F137</f>
        <v>-13.1</v>
      </c>
      <c r="C16" s="670">
        <f>-'INPUT-Y'!G137</f>
        <v>-21.4</v>
      </c>
      <c r="D16" s="670">
        <f>-'INPUT-Y'!H137</f>
        <v>-20.6</v>
      </c>
      <c r="E16" s="670">
        <f>-'INPUT-Y'!I137</f>
        <v>-13.7</v>
      </c>
      <c r="F16" s="671">
        <f>-'INPUT-Y'!J137</f>
        <v>-14.1</v>
      </c>
      <c r="G16" s="672">
        <f>-7.5%*G15</f>
        <v>-27.613297147456311</v>
      </c>
      <c r="H16" s="672">
        <f t="shared" ref="H16:I16" si="9">-7%*H15</f>
        <v>-31.560001182207454</v>
      </c>
      <c r="I16" s="672">
        <f t="shared" si="9"/>
        <v>-38.985702443686108</v>
      </c>
      <c r="J16" s="672">
        <f>-4.5%*J15</f>
        <v>-25.058261908371993</v>
      </c>
      <c r="K16" s="673">
        <f>-5%*K15</f>
        <v>-28.975646170579935</v>
      </c>
      <c r="L16" s="15"/>
      <c r="M16" s="6"/>
      <c r="N16" s="6"/>
      <c r="O16" s="6"/>
      <c r="P16" s="6"/>
      <c r="Q16" s="6"/>
      <c r="R16" s="6"/>
      <c r="S16" s="14"/>
      <c r="T16" s="14"/>
      <c r="U16" s="14"/>
      <c r="V16" s="14"/>
      <c r="W16" s="14"/>
      <c r="X16" s="14"/>
    </row>
    <row r="17" spans="1:24">
      <c r="A17" s="23" t="s">
        <v>85</v>
      </c>
      <c r="B17" s="669">
        <f>'INPUT-Y'!F138</f>
        <v>1.8</v>
      </c>
      <c r="C17" s="670">
        <f>'INPUT-Y'!G138</f>
        <v>-0.3</v>
      </c>
      <c r="D17" s="670">
        <f>'INPUT-Y'!H138</f>
        <v>-1</v>
      </c>
      <c r="E17" s="670">
        <f>'INPUT-Y'!I138</f>
        <v>-0.3</v>
      </c>
      <c r="F17" s="671">
        <f>'INPUT-Y'!J138</f>
        <v>-0.5</v>
      </c>
      <c r="G17" s="672">
        <f>AVERAGE(D17:F17)</f>
        <v>-0.6</v>
      </c>
      <c r="H17" s="672">
        <f t="shared" ref="H17:K17" si="10">AVERAGE(F17:G17)</f>
        <v>-0.55000000000000004</v>
      </c>
      <c r="I17" s="672">
        <f t="shared" si="10"/>
        <v>-0.57499999999999996</v>
      </c>
      <c r="J17" s="672">
        <f t="shared" si="10"/>
        <v>-0.5625</v>
      </c>
      <c r="K17" s="673">
        <f t="shared" si="10"/>
        <v>-0.56874999999999998</v>
      </c>
      <c r="L17" s="15"/>
      <c r="M17" s="6"/>
      <c r="N17" s="6"/>
      <c r="O17" s="6"/>
      <c r="P17" s="6"/>
      <c r="Q17" s="6"/>
      <c r="R17" s="6"/>
      <c r="S17" s="14"/>
      <c r="T17" s="14"/>
      <c r="U17" s="14"/>
      <c r="V17" s="14"/>
      <c r="W17" s="14"/>
      <c r="X17" s="14"/>
    </row>
    <row r="18" spans="1:24">
      <c r="A18" s="29" t="s">
        <v>86</v>
      </c>
      <c r="B18" s="674">
        <f>'INPUT-Y'!F139</f>
        <v>134.4</v>
      </c>
      <c r="C18" s="675">
        <f>'INPUT-Y'!G139</f>
        <v>209.3</v>
      </c>
      <c r="D18" s="675">
        <f>'INPUT-Y'!H139</f>
        <v>187.3</v>
      </c>
      <c r="E18" s="675">
        <f>'INPUT-Y'!I139</f>
        <v>290.5</v>
      </c>
      <c r="F18" s="676">
        <f>'INPUT-Y'!J139</f>
        <v>295</v>
      </c>
      <c r="G18" s="677">
        <f t="shared" ref="G18:K18" si="11">SUM(G15:G17)</f>
        <v>339.96399815196116</v>
      </c>
      <c r="H18" s="677">
        <f t="shared" si="11"/>
        <v>418.74715856361331</v>
      </c>
      <c r="I18" s="677">
        <f t="shared" si="11"/>
        <v>517.37790389468671</v>
      </c>
      <c r="J18" s="677">
        <f t="shared" si="11"/>
        <v>531.22950272211676</v>
      </c>
      <c r="K18" s="678">
        <f t="shared" si="11"/>
        <v>549.96852724101871</v>
      </c>
      <c r="L18" s="33"/>
      <c r="M18" s="7"/>
      <c r="N18" s="7"/>
      <c r="O18" s="7"/>
      <c r="P18" s="7"/>
      <c r="Q18" s="7"/>
      <c r="R18" s="7"/>
      <c r="S18" s="34"/>
      <c r="T18" s="34"/>
      <c r="U18" s="34"/>
      <c r="V18" s="34"/>
      <c r="W18" s="34"/>
      <c r="X18" s="34"/>
    </row>
    <row r="19" spans="1:24">
      <c r="A19" s="42" t="s">
        <v>87</v>
      </c>
      <c r="B19" s="669">
        <f>-'INPUT-Y'!F140</f>
        <v>-39.299999999999997</v>
      </c>
      <c r="C19" s="670">
        <f>-'INPUT-Y'!G140</f>
        <v>-55.5</v>
      </c>
      <c r="D19" s="670">
        <f>-'INPUT-Y'!H140</f>
        <v>-42.6</v>
      </c>
      <c r="E19" s="670">
        <f>-'INPUT-Y'!I140</f>
        <v>-39.5</v>
      </c>
      <c r="F19" s="671">
        <f>-'INPUT-Y'!J140</f>
        <v>-37.6</v>
      </c>
      <c r="G19" s="672">
        <f t="shared" ref="G19:K19" si="12">AVERAGE(D19:F19)</f>
        <v>-39.9</v>
      </c>
      <c r="H19" s="672">
        <f t="shared" si="12"/>
        <v>-39</v>
      </c>
      <c r="I19" s="672">
        <f t="shared" si="12"/>
        <v>-38.833333333333336</v>
      </c>
      <c r="J19" s="672">
        <f t="shared" si="12"/>
        <v>-39.244444444444447</v>
      </c>
      <c r="K19" s="673">
        <f t="shared" si="12"/>
        <v>-39.025925925925925</v>
      </c>
      <c r="L19" s="15"/>
      <c r="M19" s="6"/>
      <c r="N19" s="6"/>
      <c r="O19" s="6"/>
      <c r="P19" s="6"/>
      <c r="Q19" s="6"/>
      <c r="R19" s="6"/>
      <c r="S19" s="14"/>
      <c r="T19" s="14"/>
      <c r="U19" s="14"/>
      <c r="V19" s="14"/>
      <c r="W19" s="14"/>
      <c r="X19" s="14"/>
    </row>
    <row r="20" spans="1:24">
      <c r="A20" s="43" t="s">
        <v>88</v>
      </c>
      <c r="B20" s="674">
        <f>'INPUT-Y'!F141</f>
        <v>95.1</v>
      </c>
      <c r="C20" s="675">
        <f>'INPUT-Y'!G141</f>
        <v>153.80000000000001</v>
      </c>
      <c r="D20" s="675">
        <f>'INPUT-Y'!H141</f>
        <v>144.69999999999999</v>
      </c>
      <c r="E20" s="675">
        <f>'INPUT-Y'!I141</f>
        <v>251</v>
      </c>
      <c r="F20" s="676">
        <f>'INPUT-Y'!J141</f>
        <v>257.39999999999998</v>
      </c>
      <c r="G20" s="677">
        <f t="shared" ref="G20:K20" si="13">SUM(G18:G19)</f>
        <v>300.06399815196119</v>
      </c>
      <c r="H20" s="677">
        <f t="shared" si="13"/>
        <v>379.74715856361331</v>
      </c>
      <c r="I20" s="677">
        <f t="shared" si="13"/>
        <v>478.5445705613534</v>
      </c>
      <c r="J20" s="677">
        <f t="shared" si="13"/>
        <v>491.98505827767229</v>
      </c>
      <c r="K20" s="678">
        <f t="shared" si="13"/>
        <v>510.94260131509276</v>
      </c>
      <c r="L20" s="33"/>
      <c r="M20" s="7"/>
      <c r="N20" s="7"/>
      <c r="O20" s="7"/>
      <c r="P20" s="7"/>
      <c r="Q20" s="7"/>
      <c r="R20" s="7"/>
      <c r="S20" s="34"/>
      <c r="T20" s="34"/>
      <c r="U20" s="34"/>
      <c r="V20" s="34"/>
      <c r="W20" s="34"/>
      <c r="X20" s="34"/>
    </row>
    <row r="21" spans="1:24">
      <c r="A21" s="44" t="s">
        <v>89</v>
      </c>
      <c r="B21" s="669">
        <v>1.276</v>
      </c>
      <c r="C21" s="670">
        <v>1.798</v>
      </c>
      <c r="D21" s="670">
        <v>1.254</v>
      </c>
      <c r="E21" s="670">
        <v>1.06</v>
      </c>
      <c r="F21" s="671">
        <f t="shared" ref="F21:F22" si="14">1029/1000</f>
        <v>1.0289999999999999</v>
      </c>
      <c r="G21" s="672">
        <f>G20/Valuation!$F$56</f>
        <v>0.9879625910442551</v>
      </c>
      <c r="H21" s="672">
        <f>H20/Valuation!$F$56</f>
        <v>1.2503198951784975</v>
      </c>
      <c r="I21" s="672">
        <f>I20/Valuation!$F$56</f>
        <v>1.5756109922341412</v>
      </c>
      <c r="J21" s="672">
        <f>J20/Valuation!$F$56</f>
        <v>1.6198638821206119</v>
      </c>
      <c r="K21" s="673">
        <f>K20/Valuation!$F$56</f>
        <v>1.682281711165194</v>
      </c>
      <c r="L21" s="15"/>
      <c r="M21" s="6"/>
      <c r="N21" s="6"/>
      <c r="O21" s="6"/>
      <c r="P21" s="6"/>
      <c r="Q21" s="6"/>
      <c r="R21" s="6"/>
      <c r="S21" s="14"/>
      <c r="T21" s="14"/>
      <c r="U21" s="14"/>
      <c r="V21" s="14"/>
      <c r="W21" s="14"/>
      <c r="X21" s="14"/>
    </row>
    <row r="22" spans="1:24">
      <c r="A22" s="44" t="s">
        <v>90</v>
      </c>
      <c r="B22" s="669"/>
      <c r="C22" s="670"/>
      <c r="D22" s="670"/>
      <c r="E22" s="670">
        <v>1.06</v>
      </c>
      <c r="F22" s="671">
        <f t="shared" si="14"/>
        <v>1.0289999999999999</v>
      </c>
      <c r="G22" s="672"/>
      <c r="H22" s="672"/>
      <c r="I22" s="672"/>
      <c r="J22" s="672"/>
      <c r="K22" s="673"/>
      <c r="L22" s="15"/>
      <c r="M22" s="6"/>
      <c r="N22" s="6"/>
      <c r="O22" s="6"/>
      <c r="P22" s="6"/>
      <c r="Q22" s="6"/>
      <c r="R22" s="6"/>
      <c r="S22" s="14"/>
      <c r="T22" s="14"/>
      <c r="U22" s="14"/>
      <c r="V22" s="14"/>
      <c r="W22" s="14"/>
      <c r="X22" s="14"/>
    </row>
    <row r="23" spans="1:24">
      <c r="A23" s="45" t="s">
        <v>91</v>
      </c>
      <c r="B23" s="779"/>
      <c r="C23" s="780"/>
      <c r="D23" s="780"/>
      <c r="E23" s="780"/>
      <c r="F23" s="780"/>
      <c r="G23" s="780"/>
      <c r="H23" s="780"/>
      <c r="I23" s="780"/>
      <c r="J23" s="780"/>
      <c r="K23" s="781"/>
      <c r="L23" s="15"/>
      <c r="M23" s="6"/>
      <c r="N23" s="6"/>
      <c r="O23" s="6"/>
      <c r="P23" s="6"/>
      <c r="Q23" s="6"/>
      <c r="R23" s="6"/>
      <c r="S23" s="14"/>
      <c r="T23" s="14"/>
      <c r="U23" s="14"/>
      <c r="V23" s="14"/>
      <c r="W23" s="14"/>
      <c r="X23" s="14"/>
    </row>
    <row r="24" spans="1:24">
      <c r="A24" s="23" t="s">
        <v>92</v>
      </c>
      <c r="B24" s="679">
        <v>0</v>
      </c>
      <c r="C24" s="680">
        <f>Forecast!P18/Forecast!O18 -1</f>
        <v>0.2496522948539639</v>
      </c>
      <c r="D24" s="680">
        <f>Forecast!Q18/Forecast!P18 -1</f>
        <v>3.7840845854201444E-2</v>
      </c>
      <c r="E24" s="680">
        <f>Forecast!R18/Forecast!Q18 -1</f>
        <v>1.0722073279714031</v>
      </c>
      <c r="F24" s="681">
        <f>Forecast!S18/Forecast!R18 -1</f>
        <v>0.28799378989132296</v>
      </c>
      <c r="G24" s="682">
        <f>Forecast!T18/Forecast!S18 -1</f>
        <v>-2.8996182950512206E-2</v>
      </c>
      <c r="H24" s="682">
        <f>Forecast!U18/Forecast!T18 -1</f>
        <v>1.1944827586206896</v>
      </c>
      <c r="I24" s="682">
        <f>Forecast!V18/Forecast!U18 -1</f>
        <v>3.2055311125078534E-2</v>
      </c>
      <c r="J24" s="682">
        <f>Forecast!W18/Forecast!V18 -1</f>
        <v>1.5225334957369441E-3</v>
      </c>
      <c r="K24" s="683">
        <f>Forecast!X18/Forecast!W18 -1</f>
        <v>3.0404378230464157E-3</v>
      </c>
      <c r="L24" s="15"/>
      <c r="M24" s="6"/>
      <c r="N24" s="6"/>
      <c r="O24" s="6"/>
      <c r="P24" s="6"/>
      <c r="Q24" s="6"/>
      <c r="R24" s="6"/>
      <c r="S24" s="14"/>
      <c r="T24" s="14"/>
      <c r="U24" s="14"/>
      <c r="V24" s="14"/>
      <c r="W24" s="14"/>
      <c r="X24" s="14"/>
    </row>
    <row r="25" spans="1:24">
      <c r="A25" s="23" t="s">
        <v>93</v>
      </c>
      <c r="B25" s="679">
        <v>0</v>
      </c>
      <c r="C25" s="680">
        <f>Forecast!C117/Forecast!B117 -1</f>
        <v>0.11140583554376637</v>
      </c>
      <c r="D25" s="680">
        <f>Forecast!D117/Forecast!C117 -1</f>
        <v>6.3075349471530817E-2</v>
      </c>
      <c r="E25" s="680">
        <f>Forecast!E117/Forecast!D117 -1</f>
        <v>0.6347017318794097</v>
      </c>
      <c r="F25" s="681">
        <f>Forecast!F117/Forecast!E117 -1</f>
        <v>0.43751226211496963</v>
      </c>
      <c r="G25" s="682">
        <f>Forecast!G117/Forecast!F117 -1</f>
        <v>-0.14171833266871703</v>
      </c>
      <c r="H25" s="682">
        <f>Forecast!H117/Forecast!G117 -1</f>
        <v>1.6666866086085865</v>
      </c>
      <c r="I25" s="682">
        <f>Forecast!I117/Forecast!H117 -1</f>
        <v>1.3947327534155951E-2</v>
      </c>
      <c r="J25" s="682">
        <f>Forecast!J117/Forecast!I117 -1</f>
        <v>1.3084270903573003E-2</v>
      </c>
      <c r="K25" s="683">
        <f>Forecast!K117/Forecast!J117 -1</f>
        <v>1.3548820658425553E-2</v>
      </c>
      <c r="L25" s="15"/>
      <c r="M25" s="6"/>
      <c r="N25" s="6"/>
      <c r="O25" s="6"/>
      <c r="P25" s="6"/>
      <c r="Q25" s="6"/>
      <c r="R25" s="6"/>
      <c r="S25" s="14"/>
      <c r="T25" s="14"/>
      <c r="U25" s="14"/>
      <c r="V25" s="14"/>
      <c r="W25" s="14"/>
      <c r="X25" s="14"/>
    </row>
    <row r="26" spans="1:24">
      <c r="A26" s="23" t="s">
        <v>94</v>
      </c>
      <c r="B26" s="679">
        <v>0</v>
      </c>
      <c r="C26" s="680">
        <f t="shared" ref="C26:K26" si="15">C6/B6 -1</f>
        <v>0.42439470077661046</v>
      </c>
      <c r="D26" s="680">
        <f t="shared" si="15"/>
        <v>-1.8601667735728022E-2</v>
      </c>
      <c r="E26" s="680">
        <f t="shared" si="15"/>
        <v>1.123202614379085</v>
      </c>
      <c r="F26" s="681">
        <f t="shared" si="15"/>
        <v>0.17254117284900716</v>
      </c>
      <c r="G26" s="682">
        <f t="shared" si="15"/>
        <v>7.78905517804791E-2</v>
      </c>
      <c r="H26" s="682">
        <f t="shared" si="15"/>
        <v>0.83284820667420778</v>
      </c>
      <c r="I26" s="682">
        <f t="shared" si="15"/>
        <v>5.2232282024762711E-2</v>
      </c>
      <c r="J26" s="682">
        <f t="shared" si="15"/>
        <v>-1.0891495344260149E-2</v>
      </c>
      <c r="K26" s="683">
        <f t="shared" si="15"/>
        <v>-8.516084738118268E-3</v>
      </c>
      <c r="L26" s="15"/>
      <c r="M26" s="6"/>
      <c r="N26" s="6"/>
      <c r="O26" s="6"/>
      <c r="P26" s="6"/>
      <c r="Q26" s="6"/>
      <c r="R26" s="6"/>
      <c r="S26" s="14"/>
      <c r="T26" s="14"/>
      <c r="U26" s="14"/>
      <c r="V26" s="14"/>
      <c r="W26" s="14"/>
      <c r="X26" s="14"/>
    </row>
    <row r="27" spans="1:24">
      <c r="A27" s="23"/>
      <c r="B27" s="684"/>
      <c r="C27" s="685"/>
      <c r="D27" s="685"/>
      <c r="E27" s="685"/>
      <c r="F27" s="686"/>
      <c r="G27" s="687"/>
      <c r="H27" s="687"/>
      <c r="I27" s="687"/>
      <c r="J27" s="687"/>
      <c r="K27" s="688"/>
      <c r="L27" s="15"/>
      <c r="M27" s="6"/>
      <c r="N27" s="6"/>
      <c r="O27" s="6"/>
      <c r="P27" s="6"/>
      <c r="Q27" s="6"/>
      <c r="R27" s="6"/>
      <c r="S27" s="14"/>
      <c r="T27" s="14"/>
      <c r="U27" s="14"/>
      <c r="V27" s="14"/>
      <c r="W27" s="14"/>
      <c r="X27" s="14"/>
    </row>
    <row r="28" spans="1:24">
      <c r="A28" s="29" t="s">
        <v>95</v>
      </c>
      <c r="B28" s="684"/>
      <c r="C28" s="685"/>
      <c r="D28" s="685"/>
      <c r="E28" s="685"/>
      <c r="F28" s="686"/>
      <c r="G28" s="687"/>
      <c r="H28" s="687"/>
      <c r="I28" s="687"/>
      <c r="J28" s="687"/>
      <c r="K28" s="688"/>
      <c r="L28" s="15"/>
      <c r="M28" s="6"/>
      <c r="N28" s="6"/>
      <c r="O28" s="6"/>
      <c r="P28" s="6"/>
      <c r="Q28" s="6"/>
      <c r="R28" s="6"/>
      <c r="S28" s="14"/>
      <c r="T28" s="14"/>
      <c r="U28" s="14"/>
      <c r="V28" s="14"/>
      <c r="W28" s="14"/>
      <c r="X28" s="14"/>
    </row>
    <row r="29" spans="1:24">
      <c r="A29" s="23" t="s">
        <v>96</v>
      </c>
      <c r="B29" s="679">
        <f t="shared" ref="B29:F29" si="16">B10/B4</f>
        <v>-2.3180343069077424E-4</v>
      </c>
      <c r="C29" s="680">
        <f t="shared" si="16"/>
        <v>-1.8549434242255611E-3</v>
      </c>
      <c r="D29" s="680">
        <f t="shared" si="16"/>
        <v>-1.0723860589812331E-3</v>
      </c>
      <c r="E29" s="680">
        <f t="shared" si="16"/>
        <v>-5.1750905640848713E-4</v>
      </c>
      <c r="F29" s="681">
        <f t="shared" si="16"/>
        <v>-1.137504182000669E-3</v>
      </c>
      <c r="G29" s="682">
        <f t="shared" ref="G29:K29" si="17">AVERAGE(D29:F29)</f>
        <v>-9.0913309913012979E-4</v>
      </c>
      <c r="H29" s="682">
        <f t="shared" si="17"/>
        <v>-8.547154458464286E-4</v>
      </c>
      <c r="I29" s="682">
        <f t="shared" si="17"/>
        <v>-9.6711757565907583E-4</v>
      </c>
      <c r="J29" s="682">
        <f t="shared" si="17"/>
        <v>-9.1032204021187807E-4</v>
      </c>
      <c r="K29" s="683">
        <f t="shared" si="17"/>
        <v>-9.1071835390579413E-4</v>
      </c>
      <c r="L29" s="15"/>
      <c r="M29" s="6"/>
      <c r="N29" s="6"/>
      <c r="O29" s="6"/>
      <c r="P29" s="6"/>
      <c r="Q29" s="6"/>
      <c r="R29" s="6"/>
      <c r="S29" s="14"/>
      <c r="T29" s="14"/>
      <c r="U29" s="14"/>
      <c r="V29" s="14"/>
      <c r="W29" s="14"/>
      <c r="X29" s="14"/>
    </row>
    <row r="30" spans="1:24">
      <c r="A30" s="46" t="s">
        <v>97</v>
      </c>
      <c r="B30" s="684"/>
      <c r="C30" s="680">
        <f t="shared" ref="C30:F30" si="18">C10/B10 -1</f>
        <v>9</v>
      </c>
      <c r="D30" s="680">
        <f t="shared" si="18"/>
        <v>-0.4</v>
      </c>
      <c r="E30" s="680">
        <f t="shared" si="18"/>
        <v>0</v>
      </c>
      <c r="F30" s="681">
        <f t="shared" si="18"/>
        <v>1.8333333333333335</v>
      </c>
      <c r="G30" s="682">
        <v>0.23499999999999999</v>
      </c>
      <c r="H30" s="682">
        <v>0.125</v>
      </c>
      <c r="I30" s="682">
        <v>0.112</v>
      </c>
      <c r="J30" s="682">
        <v>0.127</v>
      </c>
      <c r="K30" s="683">
        <v>0.11600000000000001</v>
      </c>
      <c r="L30" s="15"/>
      <c r="M30" s="6"/>
      <c r="N30" s="6"/>
      <c r="O30" s="6"/>
      <c r="P30" s="6"/>
      <c r="Q30" s="6"/>
      <c r="R30" s="6"/>
      <c r="S30" s="14"/>
      <c r="T30" s="14"/>
      <c r="U30" s="14"/>
      <c r="V30" s="14"/>
      <c r="W30" s="14"/>
      <c r="X30" s="14"/>
    </row>
    <row r="31" spans="1:24">
      <c r="A31" s="23"/>
      <c r="B31" s="684"/>
      <c r="C31" s="685"/>
      <c r="D31" s="685"/>
      <c r="E31" s="685"/>
      <c r="F31" s="686"/>
      <c r="G31" s="687"/>
      <c r="H31" s="687"/>
      <c r="I31" s="687"/>
      <c r="J31" s="687"/>
      <c r="K31" s="688"/>
      <c r="L31" s="15"/>
      <c r="M31" s="6"/>
      <c r="N31" s="6"/>
      <c r="O31" s="6"/>
      <c r="P31" s="6"/>
      <c r="Q31" s="6"/>
      <c r="R31" s="6"/>
      <c r="S31" s="14"/>
      <c r="T31" s="14"/>
      <c r="U31" s="14"/>
      <c r="V31" s="14"/>
      <c r="W31" s="14"/>
      <c r="X31" s="14"/>
    </row>
    <row r="32" spans="1:24">
      <c r="A32" s="29" t="s">
        <v>98</v>
      </c>
      <c r="B32" s="684"/>
      <c r="C32" s="685"/>
      <c r="D32" s="685"/>
      <c r="E32" s="685"/>
      <c r="F32" s="686"/>
      <c r="G32" s="687"/>
      <c r="H32" s="687"/>
      <c r="I32" s="687"/>
      <c r="J32" s="687"/>
      <c r="K32" s="688"/>
      <c r="L32" s="15"/>
      <c r="M32" s="6"/>
      <c r="N32" s="6"/>
      <c r="O32" s="6"/>
      <c r="P32" s="6"/>
      <c r="Q32" s="6"/>
      <c r="R32" s="6"/>
      <c r="S32" s="14"/>
      <c r="T32" s="14"/>
      <c r="U32" s="14"/>
      <c r="V32" s="14"/>
      <c r="W32" s="14"/>
      <c r="X32" s="14"/>
    </row>
    <row r="33" spans="1:24">
      <c r="A33" s="23" t="s">
        <v>99</v>
      </c>
      <c r="B33" s="679">
        <f t="shared" ref="B33:F33" si="19">B11/B4</f>
        <v>-0.11891515994436717</v>
      </c>
      <c r="C33" s="680">
        <f t="shared" si="19"/>
        <v>-0.12075681691708401</v>
      </c>
      <c r="D33" s="680">
        <f t="shared" si="19"/>
        <v>-0.13690795352993743</v>
      </c>
      <c r="E33" s="680">
        <f t="shared" si="19"/>
        <v>-9.5911678454372942E-2</v>
      </c>
      <c r="F33" s="681">
        <f t="shared" si="19"/>
        <v>-7.6480428236868514E-2</v>
      </c>
      <c r="G33" s="682">
        <f t="shared" ref="G33:K33" si="20">AVERAGE(D33:F33)</f>
        <v>-0.1031000200737263</v>
      </c>
      <c r="H33" s="682">
        <f t="shared" si="20"/>
        <v>-9.1830708921655915E-2</v>
      </c>
      <c r="I33" s="682">
        <f t="shared" si="20"/>
        <v>-9.0470385744083573E-2</v>
      </c>
      <c r="J33" s="682">
        <f t="shared" si="20"/>
        <v>-9.5133704913155259E-2</v>
      </c>
      <c r="K33" s="683">
        <f t="shared" si="20"/>
        <v>-9.2478266526298245E-2</v>
      </c>
      <c r="L33" s="15"/>
      <c r="M33" s="6"/>
      <c r="N33" s="6"/>
      <c r="O33" s="6"/>
      <c r="P33" s="6"/>
      <c r="Q33" s="6"/>
      <c r="R33" s="6"/>
      <c r="S33" s="14"/>
      <c r="T33" s="14"/>
      <c r="U33" s="14"/>
      <c r="V33" s="14"/>
      <c r="W33" s="14"/>
      <c r="X33" s="14"/>
    </row>
    <row r="34" spans="1:24">
      <c r="A34" s="46" t="s">
        <v>97</v>
      </c>
      <c r="B34" s="684"/>
      <c r="C34" s="680">
        <f t="shared" ref="C34:K34" si="21">C11/B11 -1</f>
        <v>0.26900584795321625</v>
      </c>
      <c r="D34" s="680">
        <f t="shared" si="21"/>
        <v>0.17665130568356369</v>
      </c>
      <c r="E34" s="680">
        <f t="shared" si="21"/>
        <v>0.45169712793733696</v>
      </c>
      <c r="F34" s="681">
        <f t="shared" si="21"/>
        <v>2.7877697841726556E-2</v>
      </c>
      <c r="G34" s="682">
        <f t="shared" si="21"/>
        <v>0.30791801493353566</v>
      </c>
      <c r="H34" s="682">
        <f t="shared" si="21"/>
        <v>0.95461559848758992</v>
      </c>
      <c r="I34" s="682">
        <f t="shared" si="21"/>
        <v>1.6767083725485854E-2</v>
      </c>
      <c r="J34" s="682">
        <f t="shared" si="21"/>
        <v>5.3146268603037949E-2</v>
      </c>
      <c r="K34" s="683">
        <f t="shared" si="21"/>
        <v>-2.4957127126165157E-2</v>
      </c>
      <c r="L34" s="15"/>
      <c r="M34" s="6"/>
      <c r="N34" s="6"/>
      <c r="O34" s="6"/>
      <c r="P34" s="6"/>
      <c r="Q34" s="6"/>
      <c r="R34" s="6"/>
      <c r="S34" s="14"/>
      <c r="T34" s="14"/>
      <c r="U34" s="14"/>
      <c r="V34" s="14"/>
      <c r="W34" s="14"/>
      <c r="X34" s="14"/>
    </row>
    <row r="35" spans="1:24">
      <c r="A35" s="23"/>
      <c r="B35" s="684"/>
      <c r="C35" s="685"/>
      <c r="D35" s="685"/>
      <c r="E35" s="685"/>
      <c r="F35" s="686"/>
      <c r="G35" s="687"/>
      <c r="H35" s="687"/>
      <c r="I35" s="687"/>
      <c r="J35" s="687"/>
      <c r="K35" s="688"/>
      <c r="L35" s="15"/>
      <c r="M35" s="6"/>
      <c r="N35" s="6"/>
      <c r="O35" s="6"/>
      <c r="P35" s="6"/>
      <c r="Q35" s="6"/>
      <c r="R35" s="6"/>
      <c r="S35" s="14"/>
      <c r="T35" s="14"/>
      <c r="U35" s="14"/>
      <c r="V35" s="14"/>
      <c r="W35" s="14"/>
      <c r="X35" s="14"/>
    </row>
    <row r="36" spans="1:24">
      <c r="A36" s="29" t="s">
        <v>75</v>
      </c>
      <c r="B36" s="684">
        <f t="shared" ref="B36:F36" si="22">B7</f>
        <v>26.8</v>
      </c>
      <c r="C36" s="685">
        <f t="shared" si="22"/>
        <v>18</v>
      </c>
      <c r="D36" s="685">
        <f t="shared" si="22"/>
        <v>19.5</v>
      </c>
      <c r="E36" s="685">
        <f t="shared" si="22"/>
        <v>24.2</v>
      </c>
      <c r="F36" s="686">
        <f t="shared" si="22"/>
        <v>30.5</v>
      </c>
      <c r="G36" s="687">
        <f t="shared" ref="G36:K36" si="23">G37*G4</f>
        <v>36.797894804380277</v>
      </c>
      <c r="H36" s="687">
        <f t="shared" si="23"/>
        <v>70.702859505819106</v>
      </c>
      <c r="I36" s="687">
        <f t="shared" si="23"/>
        <v>74.443519031758683</v>
      </c>
      <c r="J36" s="687">
        <f t="shared" si="23"/>
        <v>77.034999384169481</v>
      </c>
      <c r="K36" s="688">
        <f t="shared" si="23"/>
        <v>75.118440965131768</v>
      </c>
      <c r="L36" s="15"/>
      <c r="M36" s="6"/>
      <c r="N36" s="6"/>
      <c r="O36" s="6"/>
      <c r="P36" s="6"/>
      <c r="Q36" s="6"/>
      <c r="R36" s="6"/>
      <c r="S36" s="14"/>
      <c r="T36" s="14"/>
      <c r="U36" s="14"/>
      <c r="V36" s="14"/>
      <c r="W36" s="14"/>
      <c r="X36" s="14"/>
    </row>
    <row r="37" spans="1:24">
      <c r="A37" s="23" t="s">
        <v>100</v>
      </c>
      <c r="B37" s="679">
        <f t="shared" ref="B37:F37" si="24">B36/B4</f>
        <v>6.2123319425127499E-2</v>
      </c>
      <c r="C37" s="680">
        <f t="shared" si="24"/>
        <v>3.3388981636060099E-2</v>
      </c>
      <c r="D37" s="680">
        <f t="shared" si="24"/>
        <v>3.4852546916890083E-2</v>
      </c>
      <c r="E37" s="680">
        <f t="shared" si="24"/>
        <v>2.0872865275142313E-2</v>
      </c>
      <c r="F37" s="681">
        <f t="shared" si="24"/>
        <v>2.0408163265306121E-2</v>
      </c>
      <c r="G37" s="682">
        <f t="shared" ref="G37:K37" si="25">AVERAGE(D37:F37)</f>
        <v>2.5377858485779503E-2</v>
      </c>
      <c r="H37" s="682">
        <f t="shared" si="25"/>
        <v>2.2219629008742647E-2</v>
      </c>
      <c r="I37" s="682">
        <f t="shared" si="25"/>
        <v>2.266855025327609E-2</v>
      </c>
      <c r="J37" s="682">
        <f t="shared" si="25"/>
        <v>2.3422012582599416E-2</v>
      </c>
      <c r="K37" s="683">
        <f t="shared" si="25"/>
        <v>2.2770063948206052E-2</v>
      </c>
      <c r="L37" s="15"/>
      <c r="M37" s="6"/>
      <c r="N37" s="6"/>
      <c r="O37" s="6"/>
      <c r="P37" s="6"/>
      <c r="Q37" s="6"/>
      <c r="R37" s="6"/>
      <c r="S37" s="14"/>
      <c r="T37" s="14"/>
      <c r="U37" s="14"/>
      <c r="V37" s="14"/>
      <c r="W37" s="14"/>
      <c r="X37" s="14"/>
    </row>
    <row r="38" spans="1:24">
      <c r="A38" s="23"/>
      <c r="B38" s="684"/>
      <c r="C38" s="685"/>
      <c r="D38" s="685"/>
      <c r="E38" s="685"/>
      <c r="F38" s="686"/>
      <c r="G38" s="687"/>
      <c r="H38" s="687"/>
      <c r="I38" s="687"/>
      <c r="J38" s="687"/>
      <c r="K38" s="688"/>
      <c r="L38" s="15"/>
      <c r="M38" s="6"/>
      <c r="N38" s="6"/>
      <c r="O38" s="6"/>
      <c r="P38" s="6"/>
      <c r="Q38" s="6"/>
      <c r="R38" s="6"/>
      <c r="S38" s="14"/>
      <c r="T38" s="14"/>
      <c r="U38" s="14"/>
      <c r="V38" s="14"/>
      <c r="W38" s="14"/>
      <c r="X38" s="14"/>
    </row>
    <row r="39" spans="1:24">
      <c r="A39" s="29" t="s">
        <v>101</v>
      </c>
      <c r="B39" s="684">
        <f t="shared" ref="B39:F39" si="26">B8</f>
        <v>-45.8</v>
      </c>
      <c r="C39" s="685">
        <f t="shared" si="26"/>
        <v>-24.6</v>
      </c>
      <c r="D39" s="685">
        <f t="shared" si="26"/>
        <v>-41.1</v>
      </c>
      <c r="E39" s="685">
        <f t="shared" si="26"/>
        <v>-257.8</v>
      </c>
      <c r="F39" s="686">
        <f t="shared" si="26"/>
        <v>-371.2</v>
      </c>
      <c r="G39" s="687">
        <f t="shared" ref="G39:K39" si="27">SUM(G40:G41)</f>
        <v>-343.6443497506898</v>
      </c>
      <c r="H39" s="687">
        <f t="shared" si="27"/>
        <v>-834.64019826394701</v>
      </c>
      <c r="I39" s="687">
        <f t="shared" si="27"/>
        <v>-805.55427459358555</v>
      </c>
      <c r="J39" s="687">
        <f t="shared" si="27"/>
        <v>-775.37795279676038</v>
      </c>
      <c r="K39" s="688">
        <f t="shared" si="27"/>
        <v>-745.25783708892811</v>
      </c>
      <c r="L39" s="15"/>
      <c r="M39" s="6"/>
      <c r="N39" s="6"/>
      <c r="O39" s="6"/>
      <c r="P39" s="6"/>
      <c r="Q39" s="6"/>
      <c r="R39" s="6"/>
      <c r="S39" s="14"/>
      <c r="T39" s="14"/>
      <c r="U39" s="14"/>
      <c r="V39" s="14"/>
      <c r="W39" s="14"/>
      <c r="X39" s="14"/>
    </row>
    <row r="40" spans="1:24">
      <c r="A40" s="23" t="s">
        <v>102</v>
      </c>
      <c r="B40" s="684">
        <f t="shared" ref="B40:F40" si="28">B9</f>
        <v>-39.1</v>
      </c>
      <c r="C40" s="685">
        <f t="shared" si="28"/>
        <v>-24.4</v>
      </c>
      <c r="D40" s="685">
        <f t="shared" si="28"/>
        <v>-40.200000000000003</v>
      </c>
      <c r="E40" s="685">
        <f t="shared" si="28"/>
        <v>-244.9</v>
      </c>
      <c r="F40" s="686">
        <f t="shared" si="28"/>
        <v>-354.4</v>
      </c>
      <c r="G40" s="687">
        <f>-Debt!J55/1000000</f>
        <v>-327.34458394272724</v>
      </c>
      <c r="H40" s="687">
        <f>-Debt!K55/1000000</f>
        <v>-798.87064322881815</v>
      </c>
      <c r="I40" s="687">
        <f>-Debt!L55/1000000</f>
        <v>-768.63811534300009</v>
      </c>
      <c r="J40" s="687">
        <f>-Debt!M55/1000000</f>
        <v>-738.40558745718192</v>
      </c>
      <c r="K40" s="688">
        <f>-Debt!N55/1000000</f>
        <v>-708.17305957136364</v>
      </c>
      <c r="L40" s="15"/>
      <c r="M40" s="6"/>
      <c r="N40" s="6"/>
      <c r="O40" s="6"/>
      <c r="P40" s="6"/>
      <c r="Q40" s="6"/>
      <c r="R40" s="6"/>
      <c r="S40" s="14"/>
      <c r="T40" s="14"/>
      <c r="U40" s="14"/>
      <c r="V40" s="14"/>
      <c r="W40" s="14"/>
      <c r="X40" s="14"/>
    </row>
    <row r="41" spans="1:24">
      <c r="A41" s="23" t="s">
        <v>103</v>
      </c>
      <c r="B41" s="684">
        <f t="shared" ref="B41:F41" si="29">B39-B40</f>
        <v>-6.6999999999999957</v>
      </c>
      <c r="C41" s="685">
        <f t="shared" si="29"/>
        <v>-0.20000000000000284</v>
      </c>
      <c r="D41" s="685">
        <f t="shared" si="29"/>
        <v>-0.89999999999999858</v>
      </c>
      <c r="E41" s="685">
        <f t="shared" si="29"/>
        <v>-12.900000000000006</v>
      </c>
      <c r="F41" s="686">
        <f t="shared" si="29"/>
        <v>-16.800000000000011</v>
      </c>
      <c r="G41" s="682">
        <f t="shared" ref="G41:K41" si="30">G42*G4</f>
        <v>-16.29976580796254</v>
      </c>
      <c r="H41" s="682">
        <f t="shared" si="30"/>
        <v>-35.769555035128825</v>
      </c>
      <c r="I41" s="682">
        <f t="shared" si="30"/>
        <v>-36.916159250585501</v>
      </c>
      <c r="J41" s="682">
        <f t="shared" si="30"/>
        <v>-36.972365339578474</v>
      </c>
      <c r="K41" s="683">
        <f t="shared" si="30"/>
        <v>-37.084777517564426</v>
      </c>
      <c r="L41" s="15"/>
      <c r="M41" s="6"/>
      <c r="N41" s="6"/>
      <c r="O41" s="6"/>
      <c r="P41" s="6"/>
      <c r="Q41" s="6"/>
      <c r="R41" s="6"/>
      <c r="S41" s="14"/>
      <c r="T41" s="14"/>
      <c r="U41" s="14"/>
      <c r="V41" s="14"/>
      <c r="W41" s="14"/>
      <c r="X41" s="14"/>
    </row>
    <row r="42" spans="1:24">
      <c r="A42" s="47" t="s">
        <v>104</v>
      </c>
      <c r="B42" s="689">
        <f t="shared" ref="B42:F42" si="31">B41/B4</f>
        <v>-1.5530829856281864E-2</v>
      </c>
      <c r="C42" s="690">
        <f t="shared" si="31"/>
        <v>-3.7098868484511746E-4</v>
      </c>
      <c r="D42" s="690">
        <f t="shared" si="31"/>
        <v>-1.6085790884718474E-3</v>
      </c>
      <c r="E42" s="690">
        <f t="shared" si="31"/>
        <v>-1.1126444712782478E-2</v>
      </c>
      <c r="F42" s="691">
        <f t="shared" si="31"/>
        <v>-1.1241217798594855E-2</v>
      </c>
      <c r="G42" s="692">
        <f t="shared" ref="G42:K42" si="32">F42</f>
        <v>-1.1241217798594855E-2</v>
      </c>
      <c r="H42" s="692">
        <f t="shared" si="32"/>
        <v>-1.1241217798594855E-2</v>
      </c>
      <c r="I42" s="692">
        <f t="shared" si="32"/>
        <v>-1.1241217798594855E-2</v>
      </c>
      <c r="J42" s="692">
        <f t="shared" si="32"/>
        <v>-1.1241217798594855E-2</v>
      </c>
      <c r="K42" s="693">
        <f t="shared" si="32"/>
        <v>-1.1241217798594855E-2</v>
      </c>
      <c r="L42" s="15"/>
      <c r="M42" s="6"/>
      <c r="N42" s="6"/>
      <c r="O42" s="6"/>
      <c r="P42" s="6"/>
      <c r="Q42" s="6"/>
      <c r="R42" s="6"/>
      <c r="S42" s="14"/>
      <c r="T42" s="14"/>
      <c r="U42" s="14"/>
      <c r="V42" s="14"/>
      <c r="W42" s="14"/>
      <c r="X42" s="14"/>
    </row>
    <row r="43" spans="1:24">
      <c r="A43" s="48"/>
      <c r="B43" s="48"/>
      <c r="C43" s="48"/>
      <c r="D43" s="48"/>
      <c r="E43" s="48"/>
      <c r="F43" s="48"/>
      <c r="G43" s="48"/>
      <c r="H43" s="48"/>
      <c r="I43" s="48"/>
      <c r="J43" s="48"/>
      <c r="K43" s="49"/>
      <c r="L43" s="6"/>
      <c r="M43" s="6"/>
      <c r="N43" s="6"/>
      <c r="O43" s="6"/>
      <c r="P43" s="6"/>
      <c r="Q43" s="6"/>
      <c r="R43" s="6"/>
      <c r="S43" s="14"/>
      <c r="T43" s="14"/>
      <c r="U43" s="14"/>
      <c r="V43" s="14"/>
      <c r="W43" s="14"/>
      <c r="X43" s="14"/>
    </row>
    <row r="44" spans="1:24">
      <c r="A44" s="6"/>
      <c r="B44" s="6"/>
      <c r="C44" s="6"/>
      <c r="D44" s="6"/>
      <c r="E44" s="6"/>
      <c r="F44" s="6"/>
      <c r="G44" s="6"/>
      <c r="H44" s="6"/>
      <c r="I44" s="6"/>
      <c r="J44" s="6"/>
      <c r="K44" s="50"/>
      <c r="L44" s="6"/>
      <c r="M44" s="6"/>
      <c r="N44" s="6"/>
      <c r="O44" s="6"/>
      <c r="P44" s="6"/>
      <c r="Q44" s="6"/>
      <c r="R44" s="6"/>
      <c r="S44" s="14"/>
      <c r="T44" s="14"/>
      <c r="U44" s="14"/>
      <c r="V44" s="14"/>
      <c r="W44" s="14"/>
      <c r="X44" s="14"/>
    </row>
    <row r="45" spans="1:24">
      <c r="A45" s="6"/>
      <c r="B45" s="6"/>
      <c r="C45" s="6"/>
      <c r="D45" s="6"/>
      <c r="E45" s="6"/>
      <c r="F45" s="6"/>
      <c r="G45" s="6"/>
      <c r="H45" s="6"/>
      <c r="I45" s="6"/>
      <c r="J45" s="6"/>
      <c r="K45" s="50"/>
      <c r="L45" s="6"/>
      <c r="M45" s="6"/>
      <c r="N45" s="6"/>
      <c r="O45" s="6"/>
      <c r="P45" s="6"/>
      <c r="Q45" s="6"/>
      <c r="R45" s="6"/>
      <c r="S45" s="14"/>
      <c r="T45" s="14"/>
      <c r="U45" s="14"/>
      <c r="V45" s="14"/>
      <c r="W45" s="14"/>
      <c r="X45" s="14"/>
    </row>
    <row r="46" spans="1:24">
      <c r="A46" s="6"/>
      <c r="B46" s="6"/>
      <c r="C46" s="6"/>
      <c r="D46" s="6"/>
      <c r="E46" s="6"/>
      <c r="F46" s="6"/>
      <c r="G46" s="6"/>
      <c r="H46" s="6"/>
      <c r="I46" s="6"/>
      <c r="J46" s="6"/>
      <c r="K46" s="50"/>
      <c r="L46" s="6"/>
      <c r="M46" s="6"/>
      <c r="N46" s="6"/>
      <c r="O46" s="6"/>
      <c r="P46" s="6"/>
      <c r="Q46" s="6"/>
      <c r="R46" s="6"/>
      <c r="S46" s="14"/>
      <c r="T46" s="14"/>
      <c r="U46" s="14"/>
      <c r="V46" s="14"/>
      <c r="W46" s="14"/>
      <c r="X46" s="14"/>
    </row>
    <row r="47" spans="1:24">
      <c r="A47" s="6"/>
      <c r="B47" s="6"/>
      <c r="C47" s="6"/>
      <c r="D47" s="6"/>
      <c r="E47" s="6"/>
      <c r="F47" s="6"/>
      <c r="G47" s="6"/>
      <c r="H47" s="6"/>
      <c r="I47" s="6"/>
      <c r="J47" s="6"/>
      <c r="K47" s="50"/>
      <c r="L47" s="6"/>
      <c r="M47" s="6"/>
      <c r="N47" s="6"/>
      <c r="O47" s="6"/>
      <c r="P47" s="6"/>
      <c r="Q47" s="6"/>
      <c r="R47" s="6"/>
      <c r="S47" s="14"/>
      <c r="T47" s="14"/>
      <c r="U47" s="14"/>
      <c r="V47" s="14"/>
      <c r="W47" s="14"/>
      <c r="X47" s="14"/>
    </row>
    <row r="48" spans="1:24">
      <c r="A48" s="6"/>
      <c r="B48" s="6"/>
      <c r="C48" s="6"/>
      <c r="D48" s="6"/>
      <c r="E48" s="6"/>
      <c r="F48" s="6"/>
      <c r="G48" s="51"/>
      <c r="H48" s="51"/>
      <c r="I48" s="51"/>
      <c r="J48" s="51"/>
      <c r="K48" s="51"/>
      <c r="L48" s="6"/>
      <c r="M48" s="6"/>
      <c r="N48" s="6"/>
      <c r="O48" s="6"/>
      <c r="P48" s="6"/>
      <c r="Q48" s="6"/>
      <c r="R48" s="6"/>
      <c r="S48" s="14"/>
      <c r="T48" s="14"/>
      <c r="U48" s="14"/>
      <c r="V48" s="14"/>
      <c r="W48" s="14"/>
      <c r="X48" s="14"/>
    </row>
    <row r="49" spans="1:24">
      <c r="A49" s="6"/>
      <c r="B49" s="6"/>
      <c r="C49" s="6"/>
      <c r="D49" s="6"/>
      <c r="E49" s="6"/>
      <c r="F49" s="6"/>
      <c r="G49" s="6"/>
      <c r="H49" s="6"/>
      <c r="I49" s="6"/>
      <c r="J49" s="6"/>
      <c r="K49" s="50"/>
      <c r="L49" s="6"/>
      <c r="M49" s="6"/>
      <c r="N49" s="6"/>
      <c r="O49" s="6"/>
      <c r="P49" s="6"/>
      <c r="Q49" s="6"/>
      <c r="R49" s="6"/>
      <c r="S49" s="14"/>
      <c r="T49" s="14"/>
      <c r="U49" s="14"/>
      <c r="V49" s="14"/>
      <c r="W49" s="14"/>
      <c r="X49" s="14"/>
    </row>
    <row r="50" spans="1:24">
      <c r="A50" s="6"/>
      <c r="B50" s="6"/>
      <c r="C50" s="6"/>
      <c r="D50" s="6"/>
      <c r="E50" s="6"/>
      <c r="F50" s="6"/>
      <c r="G50" s="6"/>
      <c r="H50" s="6"/>
      <c r="I50" s="6"/>
      <c r="J50" s="6"/>
      <c r="K50" s="50"/>
      <c r="L50" s="6"/>
      <c r="M50" s="6"/>
      <c r="N50" s="6"/>
      <c r="O50" s="6"/>
      <c r="P50" s="6"/>
      <c r="Q50" s="6"/>
      <c r="R50" s="6"/>
      <c r="S50" s="14"/>
      <c r="T50" s="14"/>
      <c r="U50" s="14"/>
      <c r="V50" s="14"/>
      <c r="W50" s="14"/>
      <c r="X50" s="14"/>
    </row>
    <row r="51" spans="1:24">
      <c r="A51" s="6"/>
      <c r="B51" s="6"/>
      <c r="C51" s="6"/>
      <c r="D51" s="6"/>
      <c r="E51" s="6"/>
      <c r="F51" s="6"/>
      <c r="G51" s="51"/>
      <c r="H51" s="51"/>
      <c r="I51" s="51"/>
      <c r="J51" s="51"/>
      <c r="K51" s="51"/>
      <c r="L51" s="6"/>
      <c r="M51" s="6"/>
      <c r="N51" s="6"/>
      <c r="O51" s="6"/>
      <c r="P51" s="6"/>
      <c r="Q51" s="6"/>
      <c r="R51" s="6"/>
      <c r="S51" s="14"/>
      <c r="T51" s="14"/>
      <c r="U51" s="14"/>
      <c r="V51" s="14"/>
      <c r="W51" s="14"/>
      <c r="X51" s="14"/>
    </row>
    <row r="52" spans="1:24">
      <c r="A52" s="6"/>
      <c r="B52" s="6"/>
      <c r="C52" s="6"/>
      <c r="D52" s="6"/>
      <c r="E52" s="6"/>
      <c r="F52" s="6"/>
      <c r="G52" s="6"/>
      <c r="H52" s="6"/>
      <c r="I52" s="6"/>
      <c r="J52" s="6"/>
      <c r="K52" s="50"/>
      <c r="L52" s="6"/>
      <c r="M52" s="6"/>
      <c r="N52" s="6"/>
      <c r="O52" s="6"/>
      <c r="P52" s="6"/>
      <c r="Q52" s="6"/>
      <c r="R52" s="6"/>
      <c r="S52" s="14"/>
      <c r="T52" s="14"/>
      <c r="U52" s="14"/>
      <c r="V52" s="14"/>
      <c r="W52" s="14"/>
      <c r="X52" s="14"/>
    </row>
    <row r="53" spans="1:24">
      <c r="A53" s="6"/>
      <c r="B53" s="6"/>
      <c r="C53" s="6"/>
      <c r="D53" s="6"/>
      <c r="E53" s="6"/>
      <c r="F53" s="6"/>
      <c r="G53" s="6"/>
      <c r="H53" s="6"/>
      <c r="I53" s="6"/>
      <c r="J53" s="6"/>
      <c r="K53" s="50"/>
      <c r="L53" s="6"/>
      <c r="M53" s="6"/>
      <c r="N53" s="6"/>
      <c r="O53" s="6"/>
      <c r="P53" s="6"/>
      <c r="Q53" s="6"/>
      <c r="R53" s="6"/>
      <c r="S53" s="14"/>
      <c r="T53" s="14"/>
      <c r="U53" s="14"/>
      <c r="V53" s="14"/>
      <c r="W53" s="14"/>
      <c r="X53" s="14"/>
    </row>
    <row r="54" spans="1:24">
      <c r="A54" s="6"/>
      <c r="B54" s="6"/>
      <c r="C54" s="6"/>
      <c r="D54" s="6"/>
      <c r="E54" s="6"/>
      <c r="F54" s="6"/>
      <c r="G54" s="6"/>
      <c r="H54" s="6"/>
      <c r="I54" s="6"/>
      <c r="J54" s="6"/>
      <c r="K54" s="50"/>
      <c r="L54" s="6"/>
      <c r="M54" s="6"/>
      <c r="N54" s="6"/>
      <c r="O54" s="6"/>
      <c r="P54" s="6"/>
      <c r="Q54" s="6"/>
      <c r="R54" s="6"/>
      <c r="S54" s="14"/>
      <c r="T54" s="14"/>
      <c r="U54" s="14"/>
      <c r="V54" s="14"/>
      <c r="W54" s="14"/>
      <c r="X54" s="14"/>
    </row>
    <row r="55" spans="1:24">
      <c r="A55" s="6"/>
      <c r="B55" s="6"/>
      <c r="C55" s="6"/>
      <c r="D55" s="6"/>
      <c r="E55" s="6"/>
      <c r="F55" s="6"/>
      <c r="G55" s="6"/>
      <c r="H55" s="6"/>
      <c r="I55" s="6"/>
      <c r="J55" s="6"/>
      <c r="K55" s="6"/>
      <c r="L55" s="52"/>
      <c r="M55" s="52"/>
      <c r="N55" s="52"/>
      <c r="O55" s="52"/>
      <c r="P55" s="52"/>
      <c r="Q55" s="52"/>
      <c r="R55" s="14"/>
      <c r="S55" s="14"/>
      <c r="T55" s="14"/>
      <c r="U55" s="14"/>
      <c r="V55" s="14"/>
      <c r="W55" s="14"/>
      <c r="X55" s="14"/>
    </row>
    <row r="56" spans="1:24">
      <c r="A56" s="6"/>
      <c r="B56" s="6"/>
      <c r="C56" s="6"/>
      <c r="D56" s="6"/>
      <c r="E56" s="6"/>
      <c r="F56" s="6"/>
      <c r="G56" s="6"/>
      <c r="H56" s="6"/>
      <c r="I56" s="6"/>
      <c r="J56" s="6"/>
      <c r="K56" s="6"/>
      <c r="L56" s="6"/>
      <c r="M56" s="6"/>
      <c r="N56" s="6"/>
      <c r="O56" s="6"/>
      <c r="P56" s="6"/>
      <c r="Q56" s="6"/>
      <c r="R56" s="14"/>
      <c r="S56" s="14"/>
      <c r="T56" s="14"/>
      <c r="U56" s="14"/>
      <c r="V56" s="14"/>
      <c r="W56" s="14"/>
      <c r="X56" s="14"/>
    </row>
    <row r="57" spans="1:24">
      <c r="A57" s="6"/>
      <c r="B57" s="6"/>
      <c r="C57" s="6"/>
      <c r="D57" s="6"/>
      <c r="E57" s="6"/>
      <c r="F57" s="6"/>
      <c r="G57" s="6"/>
      <c r="H57" s="6"/>
      <c r="I57" s="6"/>
      <c r="J57" s="6"/>
      <c r="K57" s="6"/>
      <c r="L57" s="6"/>
      <c r="M57" s="6"/>
      <c r="N57" s="6"/>
      <c r="O57" s="6"/>
      <c r="P57" s="6"/>
      <c r="Q57" s="6"/>
      <c r="R57" s="14"/>
      <c r="S57" s="14"/>
      <c r="T57" s="14"/>
      <c r="U57" s="14"/>
      <c r="V57" s="14"/>
      <c r="W57" s="14"/>
      <c r="X57" s="14"/>
    </row>
    <row r="58" spans="1:24">
      <c r="A58" s="6"/>
      <c r="B58" s="6"/>
      <c r="C58" s="6"/>
      <c r="D58" s="6"/>
      <c r="E58" s="6"/>
      <c r="F58" s="6"/>
      <c r="G58" s="6"/>
      <c r="H58" s="6"/>
      <c r="I58" s="6"/>
      <c r="J58" s="6"/>
      <c r="K58" s="6"/>
      <c r="L58" s="6"/>
      <c r="M58" s="6"/>
      <c r="N58" s="6"/>
      <c r="O58" s="6"/>
      <c r="P58" s="6"/>
      <c r="Q58" s="6"/>
      <c r="R58" s="14"/>
      <c r="S58" s="14"/>
      <c r="T58" s="14"/>
      <c r="U58" s="14"/>
      <c r="V58" s="14"/>
      <c r="W58" s="14"/>
      <c r="X58" s="14"/>
    </row>
    <row r="59" spans="1:24">
      <c r="A59" s="6"/>
      <c r="B59" s="6"/>
      <c r="C59" s="6"/>
      <c r="D59" s="6"/>
      <c r="E59" s="6"/>
      <c r="F59" s="6"/>
      <c r="G59" s="6"/>
      <c r="H59" s="6"/>
      <c r="I59" s="6"/>
      <c r="J59" s="6"/>
      <c r="K59" s="6"/>
      <c r="L59" s="6"/>
      <c r="M59" s="6"/>
      <c r="N59" s="6"/>
      <c r="O59" s="6"/>
      <c r="P59" s="6"/>
      <c r="Q59" s="6"/>
      <c r="R59" s="14"/>
      <c r="S59" s="14"/>
      <c r="T59" s="14"/>
      <c r="U59" s="14"/>
      <c r="V59" s="14"/>
      <c r="W59" s="14"/>
      <c r="X59" s="14"/>
    </row>
    <row r="60" spans="1:24">
      <c r="A60" s="6"/>
      <c r="B60" s="6"/>
      <c r="C60" s="6"/>
      <c r="D60" s="6"/>
      <c r="E60" s="6"/>
      <c r="F60" s="6"/>
      <c r="G60" s="6"/>
      <c r="H60" s="6"/>
      <c r="I60" s="6"/>
      <c r="J60" s="6"/>
      <c r="K60" s="6"/>
      <c r="L60" s="6"/>
      <c r="M60" s="6"/>
      <c r="N60" s="6"/>
      <c r="O60" s="6"/>
      <c r="P60" s="6"/>
      <c r="Q60" s="6"/>
      <c r="R60" s="14"/>
      <c r="S60" s="14"/>
      <c r="T60" s="14"/>
      <c r="U60" s="14"/>
      <c r="V60" s="14"/>
      <c r="W60" s="14"/>
      <c r="X60" s="14"/>
    </row>
    <row r="61" spans="1:24">
      <c r="A61" s="6"/>
      <c r="B61" s="6"/>
      <c r="C61" s="6"/>
      <c r="D61" s="6"/>
      <c r="E61" s="6"/>
      <c r="F61" s="6"/>
      <c r="G61" s="6"/>
      <c r="H61" s="6"/>
      <c r="I61" s="6"/>
      <c r="J61" s="6"/>
      <c r="K61" s="6"/>
      <c r="L61" s="6"/>
      <c r="M61" s="6"/>
      <c r="N61" s="6"/>
      <c r="O61" s="6"/>
      <c r="P61" s="6"/>
      <c r="Q61" s="6"/>
      <c r="R61" s="14"/>
      <c r="S61" s="14"/>
      <c r="T61" s="14"/>
      <c r="U61" s="14"/>
      <c r="V61" s="14"/>
      <c r="W61" s="14"/>
      <c r="X61" s="14"/>
    </row>
    <row r="62" spans="1:24">
      <c r="A62" s="6"/>
      <c r="B62" s="6"/>
      <c r="C62" s="6"/>
      <c r="D62" s="6"/>
      <c r="E62" s="6"/>
      <c r="F62" s="6"/>
      <c r="G62" s="6"/>
      <c r="H62" s="6"/>
      <c r="I62" s="6"/>
      <c r="J62" s="6"/>
      <c r="K62" s="6"/>
      <c r="L62" s="6"/>
      <c r="M62" s="6"/>
      <c r="N62" s="6"/>
      <c r="O62" s="6"/>
      <c r="P62" s="6"/>
      <c r="Q62" s="6"/>
      <c r="R62" s="14"/>
      <c r="S62" s="14"/>
      <c r="T62" s="14"/>
      <c r="U62" s="14"/>
      <c r="V62" s="14"/>
      <c r="W62" s="14"/>
      <c r="X62" s="14"/>
    </row>
    <row r="63" spans="1:24">
      <c r="A63" s="6"/>
      <c r="B63" s="6"/>
      <c r="C63" s="6"/>
      <c r="D63" s="6"/>
      <c r="E63" s="6"/>
      <c r="F63" s="6"/>
      <c r="G63" s="6"/>
      <c r="H63" s="6"/>
      <c r="I63" s="6"/>
      <c r="J63" s="6"/>
      <c r="K63" s="6"/>
      <c r="L63" s="6"/>
      <c r="M63" s="6"/>
      <c r="N63" s="6"/>
      <c r="O63" s="6"/>
      <c r="P63" s="6"/>
      <c r="Q63" s="6"/>
      <c r="R63" s="14"/>
      <c r="S63" s="14"/>
      <c r="T63" s="14"/>
      <c r="U63" s="14"/>
      <c r="V63" s="14"/>
      <c r="W63" s="14"/>
      <c r="X63" s="14"/>
    </row>
    <row r="64" spans="1:24">
      <c r="A64" s="6"/>
      <c r="B64" s="6"/>
      <c r="C64" s="6"/>
      <c r="D64" s="6"/>
      <c r="E64" s="6"/>
      <c r="F64" s="6"/>
      <c r="G64" s="6"/>
      <c r="H64" s="6"/>
      <c r="I64" s="6"/>
      <c r="J64" s="6"/>
      <c r="K64" s="6"/>
      <c r="L64" s="6"/>
      <c r="M64" s="6"/>
      <c r="N64" s="6"/>
      <c r="O64" s="6"/>
      <c r="P64" s="6"/>
      <c r="Q64" s="6"/>
      <c r="R64" s="14"/>
      <c r="S64" s="14"/>
      <c r="T64" s="14"/>
      <c r="U64" s="14"/>
      <c r="V64" s="14"/>
      <c r="W64" s="14"/>
      <c r="X64" s="14"/>
    </row>
    <row r="65" spans="1:24">
      <c r="A65" s="6"/>
      <c r="B65" s="6"/>
      <c r="C65" s="6"/>
      <c r="D65" s="6"/>
      <c r="E65" s="6"/>
      <c r="F65" s="6"/>
      <c r="G65" s="6"/>
      <c r="H65" s="6"/>
      <c r="I65" s="6"/>
      <c r="J65" s="6"/>
      <c r="K65" s="6"/>
      <c r="L65" s="6"/>
      <c r="M65" s="6"/>
      <c r="N65" s="6"/>
      <c r="O65" s="6"/>
      <c r="P65" s="6"/>
      <c r="Q65" s="6"/>
      <c r="R65" s="14"/>
      <c r="S65" s="14"/>
      <c r="T65" s="14"/>
      <c r="U65" s="14"/>
      <c r="V65" s="14"/>
      <c r="W65" s="14"/>
      <c r="X65" s="14"/>
    </row>
    <row r="66" spans="1:24">
      <c r="A66" s="6"/>
      <c r="B66" s="6"/>
      <c r="C66" s="6"/>
      <c r="D66" s="6"/>
      <c r="E66" s="6"/>
      <c r="F66" s="6"/>
      <c r="G66" s="6"/>
      <c r="H66" s="6"/>
      <c r="I66" s="6"/>
      <c r="J66" s="6"/>
      <c r="K66" s="6"/>
      <c r="L66" s="6"/>
      <c r="M66" s="6"/>
      <c r="N66" s="6"/>
      <c r="O66" s="6"/>
      <c r="P66" s="6"/>
      <c r="Q66" s="6"/>
      <c r="R66" s="14"/>
      <c r="S66" s="14"/>
      <c r="T66" s="14"/>
      <c r="U66" s="14"/>
      <c r="V66" s="14"/>
      <c r="W66" s="14"/>
      <c r="X66" s="14"/>
    </row>
    <row r="67" spans="1:24">
      <c r="A67" s="6"/>
      <c r="B67" s="6"/>
      <c r="C67" s="6"/>
      <c r="D67" s="6"/>
      <c r="E67" s="6"/>
      <c r="F67" s="6"/>
      <c r="G67" s="6"/>
      <c r="H67" s="6"/>
      <c r="I67" s="6"/>
      <c r="J67" s="6"/>
      <c r="K67" s="6"/>
      <c r="L67" s="6"/>
      <c r="M67" s="6"/>
      <c r="N67" s="6"/>
      <c r="O67" s="6"/>
      <c r="P67" s="6"/>
      <c r="Q67" s="6"/>
      <c r="R67" s="14"/>
      <c r="S67" s="14"/>
      <c r="T67" s="14"/>
      <c r="U67" s="14"/>
      <c r="V67" s="14"/>
      <c r="W67" s="14"/>
      <c r="X67" s="14"/>
    </row>
    <row r="68" spans="1:24">
      <c r="A68" s="6"/>
      <c r="B68" s="6"/>
      <c r="C68" s="6"/>
      <c r="D68" s="6"/>
      <c r="E68" s="6"/>
      <c r="F68" s="6"/>
      <c r="G68" s="6"/>
      <c r="H68" s="6"/>
      <c r="I68" s="6"/>
      <c r="J68" s="6"/>
      <c r="K68" s="6"/>
      <c r="L68" s="6"/>
      <c r="M68" s="6"/>
      <c r="N68" s="6"/>
      <c r="O68" s="6"/>
      <c r="P68" s="6"/>
      <c r="Q68" s="6"/>
      <c r="R68" s="14"/>
      <c r="S68" s="14"/>
      <c r="T68" s="14"/>
      <c r="U68" s="14"/>
      <c r="V68" s="14"/>
      <c r="W68" s="14"/>
      <c r="X68" s="14"/>
    </row>
    <row r="69" spans="1:24">
      <c r="A69" s="6"/>
      <c r="B69" s="6"/>
      <c r="C69" s="6"/>
      <c r="D69" s="6"/>
      <c r="E69" s="6"/>
      <c r="F69" s="6"/>
      <c r="G69" s="6"/>
      <c r="H69" s="6"/>
      <c r="I69" s="6"/>
      <c r="J69" s="6"/>
      <c r="K69" s="6"/>
      <c r="L69" s="6"/>
      <c r="M69" s="6"/>
      <c r="N69" s="6"/>
      <c r="O69" s="6"/>
      <c r="P69" s="6"/>
      <c r="Q69" s="6"/>
      <c r="R69" s="14"/>
      <c r="S69" s="14"/>
      <c r="T69" s="14"/>
      <c r="U69" s="14"/>
      <c r="V69" s="14"/>
      <c r="W69" s="14"/>
      <c r="X69" s="14"/>
    </row>
    <row r="70" spans="1:24">
      <c r="A70" s="6"/>
      <c r="B70" s="6"/>
      <c r="C70" s="6"/>
      <c r="D70" s="6"/>
      <c r="E70" s="6"/>
      <c r="F70" s="6"/>
      <c r="G70" s="6"/>
      <c r="H70" s="6"/>
      <c r="I70" s="6"/>
      <c r="J70" s="6"/>
      <c r="K70" s="6"/>
      <c r="L70" s="6"/>
      <c r="M70" s="6"/>
      <c r="N70" s="6"/>
      <c r="O70" s="6"/>
      <c r="P70" s="6"/>
      <c r="Q70" s="6"/>
      <c r="R70" s="14"/>
      <c r="S70" s="14"/>
      <c r="T70" s="14"/>
      <c r="U70" s="14"/>
      <c r="V70" s="14"/>
      <c r="W70" s="14"/>
      <c r="X70" s="14"/>
    </row>
    <row r="71" spans="1:24">
      <c r="A71" s="6"/>
      <c r="B71" s="6"/>
      <c r="C71" s="6"/>
      <c r="D71" s="6"/>
      <c r="E71" s="6"/>
      <c r="F71" s="6"/>
      <c r="G71" s="6"/>
      <c r="H71" s="6"/>
      <c r="I71" s="6"/>
      <c r="J71" s="6"/>
      <c r="K71" s="6"/>
      <c r="L71" s="6"/>
      <c r="M71" s="6"/>
      <c r="N71" s="6"/>
      <c r="O71" s="6"/>
      <c r="P71" s="6"/>
      <c r="Q71" s="6"/>
      <c r="R71" s="14"/>
      <c r="S71" s="14"/>
      <c r="T71" s="14"/>
      <c r="U71" s="14"/>
      <c r="V71" s="14"/>
      <c r="W71" s="14"/>
      <c r="X71" s="14"/>
    </row>
    <row r="72" spans="1:24">
      <c r="A72" s="6"/>
      <c r="B72" s="6"/>
      <c r="C72" s="6"/>
      <c r="D72" s="6"/>
      <c r="E72" s="6"/>
      <c r="F72" s="6"/>
      <c r="G72" s="6"/>
      <c r="H72" s="6"/>
      <c r="I72" s="6"/>
      <c r="J72" s="6"/>
      <c r="K72" s="6"/>
      <c r="L72" s="6"/>
      <c r="M72" s="6"/>
      <c r="N72" s="6"/>
      <c r="O72" s="6"/>
      <c r="P72" s="6"/>
      <c r="Q72" s="6"/>
      <c r="R72" s="14"/>
      <c r="S72" s="14"/>
      <c r="T72" s="14"/>
      <c r="U72" s="14"/>
      <c r="V72" s="14"/>
      <c r="W72" s="14"/>
      <c r="X72" s="14"/>
    </row>
    <row r="73" spans="1:24">
      <c r="A73" s="6"/>
      <c r="B73" s="6"/>
      <c r="C73" s="6"/>
      <c r="D73" s="6"/>
      <c r="E73" s="6"/>
      <c r="F73" s="6"/>
      <c r="G73" s="6"/>
      <c r="H73" s="6"/>
      <c r="I73" s="6"/>
      <c r="J73" s="6"/>
      <c r="K73" s="6"/>
      <c r="L73" s="6"/>
      <c r="M73" s="6"/>
      <c r="N73" s="6"/>
      <c r="O73" s="6"/>
      <c r="P73" s="6"/>
      <c r="Q73" s="6"/>
      <c r="R73" s="14"/>
      <c r="S73" s="14"/>
      <c r="T73" s="14"/>
      <c r="U73" s="14"/>
      <c r="V73" s="14"/>
      <c r="W73" s="14"/>
      <c r="X73" s="14"/>
    </row>
    <row r="74" spans="1:24">
      <c r="A74" s="6"/>
      <c r="B74" s="6"/>
      <c r="C74" s="6"/>
      <c r="D74" s="6"/>
      <c r="E74" s="6"/>
      <c r="F74" s="6"/>
      <c r="G74" s="6"/>
      <c r="H74" s="6"/>
      <c r="I74" s="6"/>
      <c r="J74" s="6"/>
      <c r="K74" s="6"/>
      <c r="L74" s="6"/>
      <c r="M74" s="6"/>
      <c r="N74" s="6"/>
      <c r="O74" s="6"/>
      <c r="P74" s="6"/>
      <c r="Q74" s="6"/>
      <c r="R74" s="14"/>
      <c r="S74" s="14"/>
      <c r="T74" s="14"/>
      <c r="U74" s="14"/>
      <c r="V74" s="14"/>
      <c r="W74" s="14"/>
      <c r="X74" s="14"/>
    </row>
    <row r="75" spans="1:24">
      <c r="A75" s="6"/>
      <c r="B75" s="6"/>
      <c r="C75" s="6"/>
      <c r="D75" s="6"/>
      <c r="E75" s="6"/>
      <c r="F75" s="6"/>
      <c r="G75" s="6"/>
      <c r="H75" s="6"/>
      <c r="I75" s="6"/>
      <c r="J75" s="6"/>
      <c r="K75" s="6"/>
      <c r="L75" s="6"/>
      <c r="M75" s="6"/>
      <c r="N75" s="6"/>
      <c r="O75" s="6"/>
      <c r="P75" s="6"/>
      <c r="Q75" s="6"/>
      <c r="R75" s="14"/>
      <c r="S75" s="14"/>
      <c r="T75" s="14"/>
      <c r="U75" s="14"/>
      <c r="V75" s="14"/>
      <c r="W75" s="14"/>
      <c r="X75" s="14"/>
    </row>
    <row r="76" spans="1:24">
      <c r="A76" s="6"/>
      <c r="B76" s="6"/>
      <c r="C76" s="6"/>
      <c r="D76" s="6"/>
      <c r="E76" s="6"/>
      <c r="F76" s="6"/>
      <c r="G76" s="6"/>
      <c r="H76" s="6"/>
      <c r="I76" s="6"/>
      <c r="J76" s="6"/>
      <c r="K76" s="6"/>
      <c r="L76" s="6"/>
      <c r="M76" s="6"/>
      <c r="N76" s="6"/>
      <c r="O76" s="6"/>
      <c r="P76" s="6"/>
      <c r="Q76" s="6"/>
      <c r="R76" s="14"/>
      <c r="S76" s="14"/>
      <c r="T76" s="14"/>
      <c r="U76" s="14"/>
      <c r="V76" s="14"/>
      <c r="W76" s="14"/>
      <c r="X76" s="14"/>
    </row>
    <row r="77" spans="1:24">
      <c r="A77" s="6"/>
      <c r="B77" s="6"/>
      <c r="C77" s="6"/>
      <c r="D77" s="6"/>
      <c r="E77" s="6"/>
      <c r="F77" s="6"/>
      <c r="G77" s="6"/>
      <c r="H77" s="6"/>
      <c r="I77" s="6"/>
      <c r="J77" s="6"/>
      <c r="K77" s="6"/>
      <c r="L77" s="6"/>
      <c r="M77" s="6"/>
      <c r="N77" s="6"/>
      <c r="O77" s="6"/>
      <c r="P77" s="6"/>
      <c r="Q77" s="6"/>
      <c r="R77" s="14"/>
      <c r="S77" s="14"/>
      <c r="T77" s="14"/>
      <c r="U77" s="14"/>
      <c r="V77" s="14"/>
      <c r="W77" s="14"/>
      <c r="X77" s="14"/>
    </row>
    <row r="78" spans="1:24">
      <c r="A78" s="6"/>
      <c r="B78" s="6"/>
      <c r="C78" s="6"/>
      <c r="D78" s="6"/>
      <c r="E78" s="6"/>
      <c r="F78" s="6"/>
      <c r="G78" s="6"/>
      <c r="H78" s="6"/>
      <c r="I78" s="6"/>
      <c r="J78" s="6"/>
      <c r="K78" s="6"/>
      <c r="L78" s="6"/>
      <c r="M78" s="6"/>
      <c r="N78" s="6"/>
      <c r="O78" s="6"/>
      <c r="P78" s="6"/>
      <c r="Q78" s="6"/>
      <c r="R78" s="14"/>
      <c r="S78" s="14"/>
      <c r="T78" s="14"/>
      <c r="U78" s="14"/>
      <c r="V78" s="14"/>
      <c r="W78" s="14"/>
      <c r="X78" s="14"/>
    </row>
    <row r="79" spans="1:24">
      <c r="A79" s="6"/>
      <c r="B79" s="6"/>
      <c r="C79" s="6"/>
      <c r="D79" s="6"/>
      <c r="E79" s="6"/>
      <c r="F79" s="6"/>
      <c r="G79" s="6"/>
      <c r="H79" s="6"/>
      <c r="I79" s="6"/>
      <c r="J79" s="6"/>
      <c r="K79" s="6"/>
      <c r="L79" s="6"/>
      <c r="M79" s="6"/>
      <c r="N79" s="6"/>
      <c r="O79" s="6"/>
      <c r="P79" s="6"/>
      <c r="Q79" s="6"/>
      <c r="R79" s="14"/>
      <c r="S79" s="14"/>
      <c r="T79" s="14"/>
      <c r="U79" s="14"/>
      <c r="V79" s="14"/>
      <c r="W79" s="14"/>
      <c r="X79" s="14"/>
    </row>
    <row r="80" spans="1:24">
      <c r="A80" s="6"/>
      <c r="B80" s="6"/>
      <c r="C80" s="6"/>
      <c r="D80" s="6"/>
      <c r="E80" s="6"/>
      <c r="F80" s="6"/>
      <c r="G80" s="6"/>
      <c r="H80" s="6"/>
      <c r="I80" s="6"/>
      <c r="J80" s="6"/>
      <c r="K80" s="6"/>
      <c r="L80" s="6"/>
      <c r="M80" s="6"/>
      <c r="N80" s="6"/>
      <c r="O80" s="6"/>
      <c r="P80" s="6"/>
      <c r="Q80" s="6"/>
      <c r="R80" s="14"/>
      <c r="S80" s="14"/>
      <c r="T80" s="14"/>
      <c r="U80" s="14"/>
      <c r="V80" s="14"/>
      <c r="W80" s="14"/>
      <c r="X80" s="14"/>
    </row>
    <row r="81" spans="1:24">
      <c r="A81" s="6"/>
      <c r="B81" s="6"/>
      <c r="C81" s="6"/>
      <c r="D81" s="6"/>
      <c r="E81" s="6"/>
      <c r="F81" s="6"/>
      <c r="G81" s="6"/>
      <c r="H81" s="6"/>
      <c r="I81" s="6"/>
      <c r="J81" s="6"/>
      <c r="K81" s="6"/>
      <c r="L81" s="6"/>
      <c r="M81" s="6"/>
      <c r="N81" s="6"/>
      <c r="O81" s="6"/>
      <c r="P81" s="6"/>
      <c r="Q81" s="6"/>
      <c r="R81" s="14"/>
      <c r="S81" s="14"/>
      <c r="T81" s="14"/>
      <c r="U81" s="14"/>
      <c r="V81" s="14"/>
      <c r="W81" s="14"/>
      <c r="X81" s="14"/>
    </row>
    <row r="82" spans="1:24">
      <c r="A82" s="6"/>
      <c r="B82" s="6"/>
      <c r="C82" s="6"/>
      <c r="D82" s="6"/>
      <c r="E82" s="6"/>
      <c r="F82" s="6"/>
      <c r="G82" s="6"/>
      <c r="H82" s="6"/>
      <c r="I82" s="6"/>
      <c r="J82" s="6"/>
      <c r="K82" s="6"/>
      <c r="L82" s="6"/>
      <c r="M82" s="6"/>
      <c r="N82" s="6"/>
      <c r="O82" s="6"/>
      <c r="P82" s="6"/>
      <c r="Q82" s="6"/>
      <c r="R82" s="14"/>
      <c r="S82" s="14"/>
      <c r="T82" s="14"/>
      <c r="U82" s="14"/>
      <c r="V82" s="14"/>
      <c r="W82" s="14"/>
      <c r="X82" s="14"/>
    </row>
    <row r="83" spans="1:24">
      <c r="A83" s="6"/>
      <c r="B83" s="6"/>
      <c r="C83" s="6"/>
      <c r="D83" s="6"/>
      <c r="E83" s="6"/>
      <c r="F83" s="6"/>
      <c r="G83" s="6"/>
      <c r="H83" s="6"/>
      <c r="I83" s="6"/>
      <c r="J83" s="6"/>
      <c r="K83" s="6"/>
      <c r="L83" s="6"/>
      <c r="M83" s="6"/>
      <c r="N83" s="6"/>
      <c r="O83" s="6"/>
      <c r="P83" s="6"/>
      <c r="Q83" s="6"/>
      <c r="R83" s="14"/>
      <c r="S83" s="14"/>
      <c r="T83" s="14"/>
      <c r="U83" s="14"/>
      <c r="V83" s="14"/>
      <c r="W83" s="14"/>
      <c r="X83" s="14"/>
    </row>
    <row r="84" spans="1:24">
      <c r="A84" s="6"/>
      <c r="B84" s="6"/>
      <c r="C84" s="6"/>
      <c r="D84" s="6"/>
      <c r="E84" s="6"/>
      <c r="F84" s="6"/>
      <c r="G84" s="6"/>
      <c r="H84" s="6"/>
      <c r="I84" s="6"/>
      <c r="J84" s="6"/>
      <c r="K84" s="6"/>
      <c r="L84" s="6"/>
      <c r="M84" s="6"/>
      <c r="N84" s="6"/>
      <c r="O84" s="6"/>
      <c r="P84" s="6"/>
      <c r="Q84" s="6"/>
      <c r="R84" s="14"/>
      <c r="S84" s="14"/>
      <c r="T84" s="14"/>
      <c r="U84" s="14"/>
      <c r="V84" s="14"/>
      <c r="W84" s="14"/>
      <c r="X84" s="14"/>
    </row>
    <row r="85" spans="1:24">
      <c r="A85" s="6"/>
      <c r="B85" s="6"/>
      <c r="C85" s="6"/>
      <c r="D85" s="6"/>
      <c r="E85" s="6"/>
      <c r="F85" s="6"/>
      <c r="G85" s="6"/>
      <c r="H85" s="6"/>
      <c r="I85" s="6"/>
      <c r="J85" s="6"/>
      <c r="K85" s="6"/>
      <c r="L85" s="6"/>
      <c r="M85" s="6"/>
      <c r="N85" s="6"/>
      <c r="O85" s="6"/>
      <c r="P85" s="6"/>
      <c r="Q85" s="6"/>
      <c r="R85" s="14"/>
      <c r="S85" s="14"/>
      <c r="T85" s="14"/>
      <c r="U85" s="14"/>
      <c r="V85" s="14"/>
      <c r="W85" s="14"/>
      <c r="X85" s="14"/>
    </row>
    <row r="86" spans="1:24">
      <c r="A86" s="6"/>
      <c r="B86" s="6"/>
      <c r="C86" s="6"/>
      <c r="D86" s="6"/>
      <c r="E86" s="6"/>
      <c r="F86" s="6"/>
      <c r="G86" s="6"/>
      <c r="H86" s="6"/>
      <c r="I86" s="6"/>
      <c r="J86" s="6"/>
      <c r="K86" s="6"/>
      <c r="L86" s="6"/>
      <c r="M86" s="6"/>
      <c r="N86" s="6"/>
      <c r="O86" s="6"/>
      <c r="P86" s="6"/>
      <c r="Q86" s="6"/>
      <c r="R86" s="14"/>
      <c r="S86" s="14"/>
      <c r="T86" s="14"/>
      <c r="U86" s="14"/>
      <c r="V86" s="14"/>
      <c r="W86" s="14"/>
      <c r="X86" s="14"/>
    </row>
    <row r="87" spans="1:24">
      <c r="A87" s="6"/>
      <c r="B87" s="6"/>
      <c r="C87" s="6"/>
      <c r="D87" s="6"/>
      <c r="E87" s="6"/>
      <c r="F87" s="6"/>
      <c r="G87" s="6"/>
      <c r="H87" s="6"/>
      <c r="I87" s="6"/>
      <c r="J87" s="6"/>
      <c r="K87" s="6"/>
      <c r="L87" s="6"/>
      <c r="M87" s="6"/>
      <c r="N87" s="6"/>
      <c r="O87" s="6"/>
      <c r="P87" s="6"/>
      <c r="Q87" s="6"/>
      <c r="R87" s="14"/>
      <c r="S87" s="14"/>
      <c r="T87" s="14"/>
      <c r="U87" s="14"/>
      <c r="V87" s="14"/>
      <c r="W87" s="14"/>
      <c r="X87" s="14"/>
    </row>
    <row r="88" spans="1:24">
      <c r="A88" s="6"/>
      <c r="B88" s="6"/>
      <c r="C88" s="6"/>
      <c r="D88" s="6"/>
      <c r="E88" s="6"/>
      <c r="F88" s="6"/>
      <c r="G88" s="6"/>
      <c r="H88" s="6"/>
      <c r="I88" s="6"/>
      <c r="J88" s="6"/>
      <c r="K88" s="6"/>
      <c r="L88" s="6"/>
      <c r="M88" s="6"/>
      <c r="N88" s="6"/>
      <c r="O88" s="6"/>
      <c r="P88" s="6"/>
      <c r="Q88" s="6"/>
      <c r="R88" s="14"/>
      <c r="S88" s="14"/>
      <c r="T88" s="14"/>
      <c r="U88" s="14"/>
      <c r="V88" s="14"/>
      <c r="W88" s="14"/>
      <c r="X88" s="14"/>
    </row>
    <row r="89" spans="1:24">
      <c r="A89" s="6"/>
      <c r="B89" s="6"/>
      <c r="C89" s="6"/>
      <c r="D89" s="6"/>
      <c r="E89" s="6"/>
      <c r="F89" s="6"/>
      <c r="G89" s="6"/>
      <c r="H89" s="6"/>
      <c r="I89" s="6"/>
      <c r="J89" s="6"/>
      <c r="K89" s="6"/>
      <c r="L89" s="6"/>
      <c r="M89" s="6"/>
      <c r="N89" s="6"/>
      <c r="O89" s="6"/>
      <c r="P89" s="6"/>
      <c r="Q89" s="6"/>
      <c r="R89" s="14"/>
      <c r="S89" s="14"/>
      <c r="T89" s="14"/>
      <c r="U89" s="14"/>
      <c r="V89" s="14"/>
      <c r="W89" s="14"/>
      <c r="X89" s="14"/>
    </row>
    <row r="90" spans="1:24">
      <c r="A90" s="6"/>
      <c r="B90" s="6"/>
      <c r="C90" s="6"/>
      <c r="D90" s="6"/>
      <c r="E90" s="6"/>
      <c r="F90" s="6"/>
      <c r="G90" s="6"/>
      <c r="H90" s="6"/>
      <c r="I90" s="6"/>
      <c r="J90" s="6"/>
      <c r="K90" s="6"/>
      <c r="L90" s="6"/>
      <c r="M90" s="6"/>
      <c r="N90" s="6"/>
      <c r="O90" s="6"/>
      <c r="P90" s="6"/>
      <c r="Q90" s="6"/>
      <c r="R90" s="14"/>
      <c r="S90" s="14"/>
      <c r="T90" s="14"/>
      <c r="U90" s="14"/>
      <c r="V90" s="14"/>
      <c r="W90" s="14"/>
      <c r="X90" s="14"/>
    </row>
    <row r="91" spans="1:24">
      <c r="A91" s="6"/>
      <c r="B91" s="6"/>
      <c r="C91" s="6"/>
      <c r="D91" s="6"/>
      <c r="E91" s="6"/>
      <c r="F91" s="6"/>
      <c r="G91" s="6"/>
      <c r="H91" s="6"/>
      <c r="I91" s="6"/>
      <c r="J91" s="6"/>
      <c r="K91" s="6"/>
      <c r="L91" s="6"/>
      <c r="M91" s="6"/>
      <c r="N91" s="6"/>
      <c r="O91" s="6"/>
      <c r="P91" s="6"/>
      <c r="Q91" s="6"/>
      <c r="R91" s="14"/>
      <c r="S91" s="14"/>
      <c r="T91" s="14"/>
      <c r="U91" s="14"/>
      <c r="V91" s="14"/>
      <c r="W91" s="14"/>
      <c r="X91" s="14"/>
    </row>
    <row r="92" spans="1:24">
      <c r="A92" s="6"/>
      <c r="B92" s="6"/>
      <c r="C92" s="6"/>
      <c r="D92" s="6"/>
      <c r="E92" s="6"/>
      <c r="F92" s="6"/>
      <c r="G92" s="6"/>
      <c r="H92" s="6"/>
      <c r="I92" s="6"/>
      <c r="J92" s="6"/>
      <c r="K92" s="6"/>
      <c r="L92" s="6"/>
      <c r="M92" s="6"/>
      <c r="N92" s="6"/>
      <c r="O92" s="6"/>
      <c r="P92" s="6"/>
      <c r="Q92" s="6"/>
      <c r="R92" s="14"/>
      <c r="S92" s="14"/>
      <c r="T92" s="14"/>
      <c r="U92" s="14"/>
      <c r="V92" s="14"/>
      <c r="W92" s="14"/>
      <c r="X92" s="14"/>
    </row>
    <row r="93" spans="1:24">
      <c r="A93" s="6"/>
      <c r="B93" s="6"/>
      <c r="C93" s="6"/>
      <c r="D93" s="6"/>
      <c r="E93" s="6"/>
      <c r="F93" s="6"/>
      <c r="G93" s="6"/>
      <c r="H93" s="6"/>
      <c r="I93" s="6"/>
      <c r="J93" s="6"/>
      <c r="K93" s="6"/>
      <c r="L93" s="6"/>
      <c r="M93" s="6"/>
      <c r="N93" s="6"/>
      <c r="O93" s="6"/>
      <c r="P93" s="6"/>
      <c r="Q93" s="6"/>
      <c r="R93" s="14"/>
      <c r="S93" s="14"/>
      <c r="T93" s="14"/>
      <c r="U93" s="14"/>
      <c r="V93" s="14"/>
      <c r="W93" s="14"/>
      <c r="X93" s="14"/>
    </row>
    <row r="94" spans="1:24">
      <c r="A94" s="6"/>
      <c r="B94" s="6"/>
      <c r="C94" s="6"/>
      <c r="D94" s="6"/>
      <c r="E94" s="6"/>
      <c r="F94" s="6"/>
      <c r="G94" s="6"/>
      <c r="H94" s="6"/>
      <c r="I94" s="6"/>
      <c r="J94" s="6"/>
      <c r="K94" s="6"/>
      <c r="L94" s="6"/>
      <c r="M94" s="6"/>
      <c r="N94" s="6"/>
      <c r="O94" s="6"/>
      <c r="P94" s="6"/>
      <c r="Q94" s="6"/>
      <c r="R94" s="14"/>
      <c r="S94" s="14"/>
      <c r="T94" s="14"/>
      <c r="U94" s="14"/>
      <c r="V94" s="14"/>
      <c r="W94" s="14"/>
      <c r="X94" s="14"/>
    </row>
    <row r="95" spans="1:24">
      <c r="A95" s="6"/>
      <c r="B95" s="6"/>
      <c r="C95" s="6"/>
      <c r="D95" s="6"/>
      <c r="E95" s="6"/>
      <c r="F95" s="6"/>
      <c r="G95" s="6"/>
      <c r="H95" s="6"/>
      <c r="I95" s="6"/>
      <c r="J95" s="6"/>
      <c r="K95" s="6"/>
      <c r="L95" s="6"/>
      <c r="M95" s="6"/>
      <c r="N95" s="6"/>
      <c r="O95" s="6"/>
      <c r="P95" s="6"/>
      <c r="Q95" s="6"/>
      <c r="R95" s="14"/>
      <c r="S95" s="14"/>
      <c r="T95" s="14"/>
      <c r="U95" s="14"/>
      <c r="V95" s="14"/>
      <c r="W95" s="14"/>
      <c r="X95" s="14"/>
    </row>
    <row r="96" spans="1:24">
      <c r="A96" s="6"/>
      <c r="B96" s="6"/>
      <c r="C96" s="6"/>
      <c r="D96" s="6"/>
      <c r="E96" s="6"/>
      <c r="F96" s="6"/>
      <c r="G96" s="6"/>
      <c r="H96" s="6"/>
      <c r="I96" s="6"/>
      <c r="J96" s="6"/>
      <c r="K96" s="6"/>
      <c r="L96" s="6"/>
      <c r="M96" s="6"/>
      <c r="N96" s="6"/>
      <c r="O96" s="6"/>
      <c r="P96" s="6"/>
      <c r="Q96" s="6"/>
      <c r="R96" s="14"/>
      <c r="S96" s="14"/>
      <c r="T96" s="14"/>
      <c r="U96" s="14"/>
      <c r="V96" s="14"/>
      <c r="W96" s="14"/>
      <c r="X96" s="14"/>
    </row>
    <row r="97" spans="1:24">
      <c r="A97" s="6"/>
      <c r="B97" s="6"/>
      <c r="C97" s="6"/>
      <c r="D97" s="6"/>
      <c r="E97" s="6"/>
      <c r="F97" s="6"/>
      <c r="G97" s="6"/>
      <c r="H97" s="6"/>
      <c r="I97" s="6"/>
      <c r="J97" s="6"/>
      <c r="K97" s="6"/>
      <c r="L97" s="6"/>
      <c r="M97" s="6"/>
      <c r="N97" s="6"/>
      <c r="O97" s="6"/>
      <c r="P97" s="6"/>
      <c r="Q97" s="6"/>
      <c r="R97" s="14"/>
      <c r="S97" s="14"/>
      <c r="T97" s="14"/>
      <c r="U97" s="14"/>
      <c r="V97" s="14"/>
      <c r="W97" s="14"/>
      <c r="X97" s="14"/>
    </row>
    <row r="98" spans="1:24">
      <c r="A98" s="6"/>
      <c r="B98" s="6"/>
      <c r="C98" s="6"/>
      <c r="D98" s="6"/>
      <c r="E98" s="6"/>
      <c r="F98" s="6"/>
      <c r="G98" s="6"/>
      <c r="H98" s="6"/>
      <c r="I98" s="6"/>
      <c r="J98" s="6"/>
      <c r="K98" s="6"/>
      <c r="L98" s="6"/>
      <c r="M98" s="6"/>
      <c r="N98" s="6"/>
      <c r="O98" s="6"/>
      <c r="P98" s="6"/>
      <c r="Q98" s="6"/>
      <c r="R98" s="14"/>
      <c r="S98" s="14"/>
      <c r="T98" s="14"/>
      <c r="U98" s="14"/>
      <c r="V98" s="14"/>
      <c r="W98" s="14"/>
      <c r="X98" s="14"/>
    </row>
    <row r="99" spans="1:24">
      <c r="A99" s="6"/>
      <c r="B99" s="6"/>
      <c r="C99" s="6"/>
      <c r="D99" s="6"/>
      <c r="E99" s="6"/>
      <c r="F99" s="6"/>
      <c r="G99" s="6"/>
      <c r="H99" s="6"/>
      <c r="I99" s="6"/>
      <c r="J99" s="6"/>
      <c r="K99" s="6"/>
      <c r="L99" s="6"/>
      <c r="M99" s="6"/>
      <c r="N99" s="6"/>
      <c r="O99" s="6"/>
      <c r="P99" s="6"/>
      <c r="Q99" s="6"/>
      <c r="R99" s="14"/>
      <c r="S99" s="14"/>
      <c r="T99" s="14"/>
      <c r="U99" s="14"/>
      <c r="V99" s="14"/>
      <c r="W99" s="14"/>
      <c r="X99" s="14"/>
    </row>
    <row r="100" spans="1:24">
      <c r="A100" s="6"/>
      <c r="B100" s="6"/>
      <c r="C100" s="6"/>
      <c r="D100" s="6"/>
      <c r="E100" s="6"/>
      <c r="F100" s="6"/>
      <c r="G100" s="6"/>
      <c r="H100" s="6"/>
      <c r="I100" s="6"/>
      <c r="J100" s="6"/>
      <c r="K100" s="6"/>
      <c r="L100" s="6"/>
      <c r="M100" s="6"/>
      <c r="N100" s="6"/>
      <c r="O100" s="6"/>
      <c r="P100" s="6"/>
      <c r="Q100" s="6"/>
      <c r="R100" s="14"/>
      <c r="S100" s="14"/>
      <c r="T100" s="14"/>
      <c r="U100" s="14"/>
      <c r="V100" s="14"/>
      <c r="W100" s="14"/>
      <c r="X100" s="14"/>
    </row>
    <row r="101" spans="1:24">
      <c r="A101" s="6"/>
      <c r="B101" s="6"/>
      <c r="C101" s="6"/>
      <c r="D101" s="6"/>
      <c r="E101" s="6"/>
      <c r="F101" s="6"/>
      <c r="G101" s="6"/>
      <c r="H101" s="6"/>
      <c r="I101" s="6"/>
      <c r="J101" s="6"/>
      <c r="K101" s="6"/>
      <c r="L101" s="6"/>
      <c r="M101" s="6"/>
      <c r="N101" s="6"/>
      <c r="O101" s="6"/>
      <c r="P101" s="6"/>
      <c r="Q101" s="6"/>
      <c r="R101" s="14"/>
      <c r="S101" s="14"/>
      <c r="T101" s="14"/>
      <c r="U101" s="14"/>
      <c r="V101" s="14"/>
      <c r="W101" s="14"/>
      <c r="X101" s="14"/>
    </row>
    <row r="102" spans="1:24">
      <c r="A102" s="6"/>
      <c r="B102" s="6"/>
      <c r="C102" s="6"/>
      <c r="D102" s="6"/>
      <c r="E102" s="6"/>
      <c r="F102" s="6"/>
      <c r="G102" s="6"/>
      <c r="H102" s="6"/>
      <c r="I102" s="6"/>
      <c r="J102" s="6"/>
      <c r="K102" s="6"/>
      <c r="L102" s="6"/>
      <c r="M102" s="6"/>
      <c r="N102" s="6"/>
      <c r="O102" s="6"/>
      <c r="P102" s="6"/>
      <c r="Q102" s="6"/>
      <c r="R102" s="14"/>
      <c r="S102" s="14"/>
      <c r="T102" s="14"/>
      <c r="U102" s="14"/>
      <c r="V102" s="14"/>
      <c r="W102" s="14"/>
      <c r="X102" s="14"/>
    </row>
    <row r="103" spans="1:24">
      <c r="A103" s="6"/>
      <c r="B103" s="6"/>
      <c r="C103" s="6"/>
      <c r="D103" s="6"/>
      <c r="E103" s="6"/>
      <c r="F103" s="6"/>
      <c r="G103" s="6"/>
      <c r="H103" s="6"/>
      <c r="I103" s="6"/>
      <c r="J103" s="6"/>
      <c r="K103" s="6"/>
      <c r="L103" s="6"/>
      <c r="M103" s="6"/>
      <c r="N103" s="6"/>
      <c r="O103" s="6"/>
      <c r="P103" s="6"/>
      <c r="Q103" s="6"/>
      <c r="R103" s="14"/>
      <c r="S103" s="14"/>
      <c r="T103" s="14"/>
      <c r="U103" s="14"/>
      <c r="V103" s="14"/>
      <c r="W103" s="14"/>
      <c r="X103" s="14"/>
    </row>
    <row r="104" spans="1:24">
      <c r="A104" s="6"/>
      <c r="B104" s="6"/>
      <c r="C104" s="6"/>
      <c r="D104" s="6"/>
      <c r="E104" s="6"/>
      <c r="F104" s="6"/>
      <c r="G104" s="6"/>
      <c r="H104" s="6"/>
      <c r="I104" s="6"/>
      <c r="J104" s="6"/>
      <c r="K104" s="6"/>
      <c r="L104" s="6"/>
      <c r="M104" s="6"/>
      <c r="N104" s="6"/>
      <c r="O104" s="6"/>
      <c r="P104" s="6"/>
      <c r="Q104" s="6"/>
      <c r="R104" s="14"/>
      <c r="S104" s="14"/>
      <c r="T104" s="14"/>
      <c r="U104" s="14"/>
      <c r="V104" s="14"/>
      <c r="W104" s="14"/>
      <c r="X104" s="14"/>
    </row>
    <row r="105" spans="1:24">
      <c r="A105" s="6"/>
      <c r="B105" s="6"/>
      <c r="C105" s="6"/>
      <c r="D105" s="6"/>
      <c r="E105" s="6"/>
      <c r="F105" s="6"/>
      <c r="G105" s="6"/>
      <c r="H105" s="6"/>
      <c r="I105" s="6"/>
      <c r="J105" s="6"/>
      <c r="K105" s="6"/>
      <c r="L105" s="6"/>
      <c r="M105" s="6"/>
      <c r="N105" s="6"/>
      <c r="O105" s="6"/>
      <c r="P105" s="6"/>
      <c r="Q105" s="6"/>
      <c r="R105" s="14"/>
      <c r="S105" s="14"/>
      <c r="T105" s="14"/>
      <c r="U105" s="14"/>
      <c r="V105" s="14"/>
      <c r="W105" s="14"/>
      <c r="X105" s="14"/>
    </row>
    <row r="106" spans="1:24">
      <c r="A106" s="6"/>
      <c r="B106" s="6"/>
      <c r="C106" s="6"/>
      <c r="D106" s="6"/>
      <c r="E106" s="6"/>
      <c r="F106" s="6"/>
      <c r="G106" s="6"/>
      <c r="H106" s="6"/>
      <c r="I106" s="6"/>
      <c r="J106" s="6"/>
      <c r="K106" s="6"/>
      <c r="L106" s="6"/>
      <c r="M106" s="6"/>
      <c r="N106" s="6"/>
      <c r="O106" s="6"/>
      <c r="P106" s="6"/>
      <c r="Q106" s="6"/>
      <c r="R106" s="14"/>
      <c r="S106" s="14"/>
      <c r="T106" s="14"/>
      <c r="U106" s="14"/>
      <c r="V106" s="14"/>
      <c r="W106" s="14"/>
      <c r="X106" s="14"/>
    </row>
    <row r="107" spans="1:24">
      <c r="A107" s="6"/>
      <c r="B107" s="6"/>
      <c r="C107" s="6"/>
      <c r="D107" s="6"/>
      <c r="E107" s="6"/>
      <c r="F107" s="6"/>
      <c r="G107" s="6"/>
      <c r="H107" s="6"/>
      <c r="I107" s="6"/>
      <c r="J107" s="6"/>
      <c r="K107" s="6"/>
      <c r="L107" s="6"/>
      <c r="M107" s="6"/>
      <c r="N107" s="6"/>
      <c r="O107" s="6"/>
      <c r="P107" s="6"/>
      <c r="Q107" s="6"/>
      <c r="R107" s="14"/>
      <c r="S107" s="14"/>
      <c r="T107" s="14"/>
      <c r="U107" s="14"/>
      <c r="V107" s="14"/>
      <c r="W107" s="14"/>
      <c r="X107" s="14"/>
    </row>
    <row r="108" spans="1:24">
      <c r="A108" s="6"/>
      <c r="B108" s="6"/>
      <c r="C108" s="6"/>
      <c r="D108" s="6"/>
      <c r="E108" s="6"/>
      <c r="F108" s="6"/>
      <c r="G108" s="6"/>
      <c r="H108" s="6"/>
      <c r="I108" s="6"/>
      <c r="J108" s="6"/>
      <c r="K108" s="6"/>
      <c r="L108" s="6"/>
      <c r="M108" s="6"/>
      <c r="N108" s="6"/>
      <c r="O108" s="6"/>
      <c r="P108" s="6"/>
      <c r="Q108" s="6"/>
      <c r="R108" s="14"/>
      <c r="S108" s="14"/>
      <c r="T108" s="14"/>
      <c r="U108" s="14"/>
      <c r="V108" s="14"/>
      <c r="W108" s="14"/>
      <c r="X108" s="14"/>
    </row>
    <row r="109" spans="1:24">
      <c r="A109" s="6"/>
      <c r="B109" s="6"/>
      <c r="C109" s="6"/>
      <c r="D109" s="6"/>
      <c r="E109" s="6"/>
      <c r="F109" s="6"/>
      <c r="G109" s="6"/>
      <c r="H109" s="6"/>
      <c r="I109" s="6"/>
      <c r="J109" s="6"/>
      <c r="K109" s="6"/>
      <c r="L109" s="6"/>
      <c r="M109" s="6"/>
      <c r="N109" s="6"/>
      <c r="O109" s="6"/>
      <c r="P109" s="6"/>
      <c r="Q109" s="6"/>
      <c r="R109" s="14"/>
      <c r="S109" s="14"/>
      <c r="T109" s="14"/>
      <c r="U109" s="14"/>
      <c r="V109" s="14"/>
      <c r="W109" s="14"/>
      <c r="X109" s="14"/>
    </row>
    <row r="110" spans="1:24">
      <c r="A110" s="6"/>
      <c r="B110" s="6"/>
      <c r="C110" s="6"/>
      <c r="D110" s="6"/>
      <c r="E110" s="6"/>
      <c r="F110" s="6"/>
      <c r="G110" s="6"/>
      <c r="H110" s="6"/>
      <c r="I110" s="6"/>
      <c r="J110" s="6"/>
      <c r="K110" s="6"/>
      <c r="L110" s="6"/>
      <c r="M110" s="6"/>
      <c r="N110" s="6"/>
      <c r="O110" s="6"/>
      <c r="P110" s="6"/>
      <c r="Q110" s="6"/>
      <c r="R110" s="14"/>
      <c r="S110" s="14"/>
      <c r="T110" s="14"/>
      <c r="U110" s="14"/>
      <c r="V110" s="14"/>
      <c r="W110" s="14"/>
      <c r="X110" s="14"/>
    </row>
    <row r="111" spans="1:24">
      <c r="A111" s="6"/>
      <c r="B111" s="6"/>
      <c r="C111" s="6"/>
      <c r="D111" s="6"/>
      <c r="E111" s="6"/>
      <c r="F111" s="6"/>
      <c r="G111" s="6"/>
      <c r="H111" s="6"/>
      <c r="I111" s="6"/>
      <c r="J111" s="6"/>
      <c r="K111" s="6"/>
      <c r="L111" s="6"/>
      <c r="M111" s="6"/>
      <c r="N111" s="6"/>
      <c r="O111" s="6"/>
      <c r="P111" s="6"/>
      <c r="Q111" s="6"/>
      <c r="R111" s="14"/>
      <c r="S111" s="14"/>
      <c r="T111" s="14"/>
      <c r="U111" s="14"/>
      <c r="V111" s="14"/>
      <c r="W111" s="14"/>
      <c r="X111" s="14"/>
    </row>
    <row r="112" spans="1:24">
      <c r="A112" s="6"/>
      <c r="B112" s="6"/>
      <c r="C112" s="6"/>
      <c r="D112" s="6"/>
      <c r="E112" s="6"/>
      <c r="F112" s="6"/>
      <c r="G112" s="6"/>
      <c r="H112" s="6"/>
      <c r="I112" s="6"/>
      <c r="J112" s="6"/>
      <c r="K112" s="6"/>
      <c r="L112" s="6"/>
      <c r="M112" s="6"/>
      <c r="N112" s="6"/>
      <c r="O112" s="6"/>
      <c r="P112" s="6"/>
      <c r="Q112" s="6"/>
      <c r="R112" s="14"/>
      <c r="S112" s="14"/>
      <c r="T112" s="14"/>
      <c r="U112" s="14"/>
      <c r="V112" s="14"/>
      <c r="W112" s="14"/>
      <c r="X112" s="14"/>
    </row>
    <row r="113" spans="1:24">
      <c r="A113" s="6"/>
      <c r="B113" s="6"/>
      <c r="C113" s="6"/>
      <c r="D113" s="6"/>
      <c r="E113" s="6"/>
      <c r="F113" s="6"/>
      <c r="G113" s="6"/>
      <c r="H113" s="6"/>
      <c r="I113" s="6"/>
      <c r="J113" s="6"/>
      <c r="K113" s="6"/>
      <c r="L113" s="6"/>
      <c r="M113" s="6"/>
      <c r="N113" s="6"/>
      <c r="O113" s="6"/>
      <c r="P113" s="6"/>
      <c r="Q113" s="6"/>
      <c r="R113" s="14"/>
      <c r="S113" s="14"/>
      <c r="T113" s="14"/>
      <c r="U113" s="14"/>
      <c r="V113" s="14"/>
      <c r="W113" s="14"/>
      <c r="X113" s="14"/>
    </row>
    <row r="114" spans="1:24">
      <c r="A114" s="6"/>
      <c r="B114" s="6"/>
      <c r="C114" s="6"/>
      <c r="D114" s="6"/>
      <c r="E114" s="6"/>
      <c r="F114" s="6"/>
      <c r="G114" s="6"/>
      <c r="H114" s="6"/>
      <c r="I114" s="6"/>
      <c r="J114" s="6"/>
      <c r="K114" s="6"/>
      <c r="L114" s="6"/>
      <c r="M114" s="6"/>
      <c r="N114" s="6"/>
      <c r="O114" s="6"/>
      <c r="P114" s="6"/>
      <c r="Q114" s="6"/>
      <c r="R114" s="14"/>
      <c r="S114" s="14"/>
      <c r="T114" s="14"/>
      <c r="U114" s="14"/>
      <c r="V114" s="14"/>
      <c r="W114" s="14"/>
      <c r="X114" s="14"/>
    </row>
    <row r="115" spans="1:24">
      <c r="A115" s="6"/>
      <c r="B115" s="6"/>
      <c r="C115" s="6"/>
      <c r="D115" s="6"/>
      <c r="E115" s="6"/>
      <c r="F115" s="6"/>
      <c r="G115" s="6"/>
      <c r="H115" s="6"/>
      <c r="I115" s="6"/>
      <c r="J115" s="6"/>
      <c r="K115" s="6"/>
      <c r="L115" s="6"/>
      <c r="M115" s="6"/>
      <c r="N115" s="6"/>
      <c r="O115" s="6"/>
      <c r="P115" s="6"/>
      <c r="Q115" s="6"/>
      <c r="R115" s="14"/>
      <c r="S115" s="14"/>
      <c r="T115" s="14"/>
      <c r="U115" s="14"/>
      <c r="V115" s="14"/>
      <c r="W115" s="14"/>
      <c r="X115" s="14"/>
    </row>
    <row r="116" spans="1:24">
      <c r="A116" s="6"/>
      <c r="B116" s="6"/>
      <c r="C116" s="6"/>
      <c r="D116" s="6"/>
      <c r="E116" s="6"/>
      <c r="F116" s="6"/>
      <c r="G116" s="6"/>
      <c r="H116" s="6"/>
      <c r="I116" s="6"/>
      <c r="J116" s="6"/>
      <c r="K116" s="6"/>
      <c r="L116" s="6"/>
      <c r="M116" s="6"/>
      <c r="N116" s="6"/>
      <c r="O116" s="6"/>
      <c r="P116" s="6"/>
      <c r="Q116" s="6"/>
      <c r="R116" s="14"/>
      <c r="S116" s="14"/>
      <c r="T116" s="14"/>
      <c r="U116" s="14"/>
      <c r="V116" s="14"/>
      <c r="W116" s="14"/>
      <c r="X116" s="14"/>
    </row>
    <row r="117" spans="1:24">
      <c r="A117" s="6"/>
      <c r="B117" s="6"/>
      <c r="C117" s="6"/>
      <c r="D117" s="6"/>
      <c r="E117" s="6"/>
      <c r="F117" s="6"/>
      <c r="G117" s="6"/>
      <c r="H117" s="6"/>
      <c r="I117" s="6"/>
      <c r="J117" s="6"/>
      <c r="K117" s="6"/>
      <c r="L117" s="6"/>
      <c r="M117" s="6"/>
      <c r="N117" s="6"/>
      <c r="O117" s="6"/>
      <c r="P117" s="6"/>
      <c r="Q117" s="6"/>
      <c r="R117" s="14"/>
      <c r="S117" s="14"/>
      <c r="T117" s="14"/>
      <c r="U117" s="14"/>
      <c r="V117" s="14"/>
      <c r="W117" s="14"/>
      <c r="X117" s="14"/>
    </row>
    <row r="118" spans="1:24">
      <c r="A118" s="6"/>
      <c r="B118" s="6"/>
      <c r="C118" s="6"/>
      <c r="D118" s="6"/>
      <c r="E118" s="6"/>
      <c r="F118" s="6"/>
      <c r="G118" s="6"/>
      <c r="H118" s="6"/>
      <c r="I118" s="6"/>
      <c r="J118" s="6"/>
      <c r="K118" s="6"/>
      <c r="L118" s="6"/>
      <c r="M118" s="6"/>
      <c r="N118" s="6"/>
      <c r="O118" s="6"/>
      <c r="P118" s="6"/>
      <c r="Q118" s="6"/>
      <c r="R118" s="14"/>
      <c r="S118" s="14"/>
      <c r="T118" s="14"/>
      <c r="U118" s="14"/>
      <c r="V118" s="14"/>
      <c r="W118" s="14"/>
      <c r="X118" s="14"/>
    </row>
    <row r="119" spans="1:24">
      <c r="A119" s="6"/>
      <c r="B119" s="6"/>
      <c r="C119" s="6"/>
      <c r="D119" s="6"/>
      <c r="E119" s="6"/>
      <c r="F119" s="6"/>
      <c r="G119" s="6"/>
      <c r="H119" s="6"/>
      <c r="I119" s="6"/>
      <c r="J119" s="6"/>
      <c r="K119" s="6"/>
      <c r="L119" s="6"/>
      <c r="M119" s="6"/>
      <c r="N119" s="6"/>
      <c r="O119" s="6"/>
      <c r="P119" s="6"/>
      <c r="Q119" s="6"/>
      <c r="R119" s="14"/>
      <c r="S119" s="14"/>
      <c r="T119" s="14"/>
      <c r="U119" s="14"/>
      <c r="V119" s="14"/>
      <c r="W119" s="14"/>
      <c r="X119" s="14"/>
    </row>
    <row r="120" spans="1:24">
      <c r="A120" s="6"/>
      <c r="B120" s="6"/>
      <c r="C120" s="6"/>
      <c r="D120" s="6"/>
      <c r="E120" s="6"/>
      <c r="F120" s="6"/>
      <c r="G120" s="6"/>
      <c r="H120" s="6"/>
      <c r="I120" s="6"/>
      <c r="J120" s="6"/>
      <c r="K120" s="6"/>
      <c r="L120" s="6"/>
      <c r="M120" s="6"/>
      <c r="N120" s="6"/>
      <c r="O120" s="6"/>
      <c r="P120" s="6"/>
      <c r="Q120" s="6"/>
      <c r="R120" s="14"/>
      <c r="S120" s="14"/>
      <c r="T120" s="14"/>
      <c r="U120" s="14"/>
      <c r="V120" s="14"/>
      <c r="W120" s="14"/>
      <c r="X120" s="14"/>
    </row>
    <row r="121" spans="1:24">
      <c r="A121" s="6"/>
      <c r="B121" s="6"/>
      <c r="C121" s="6"/>
      <c r="D121" s="6"/>
      <c r="E121" s="6"/>
      <c r="F121" s="6"/>
      <c r="G121" s="6"/>
      <c r="H121" s="6"/>
      <c r="I121" s="6"/>
      <c r="J121" s="6"/>
      <c r="K121" s="6"/>
      <c r="L121" s="6"/>
      <c r="M121" s="6"/>
      <c r="N121" s="6"/>
      <c r="O121" s="6"/>
      <c r="P121" s="6"/>
      <c r="Q121" s="6"/>
      <c r="R121" s="14"/>
      <c r="S121" s="14"/>
      <c r="T121" s="14"/>
      <c r="U121" s="14"/>
      <c r="V121" s="14"/>
      <c r="W121" s="14"/>
      <c r="X121" s="14"/>
    </row>
    <row r="122" spans="1:24">
      <c r="A122" s="6"/>
      <c r="B122" s="6"/>
      <c r="C122" s="6"/>
      <c r="D122" s="6"/>
      <c r="E122" s="6"/>
      <c r="F122" s="6"/>
      <c r="G122" s="6"/>
      <c r="H122" s="6"/>
      <c r="I122" s="6"/>
      <c r="J122" s="6"/>
      <c r="K122" s="6"/>
      <c r="L122" s="6"/>
      <c r="M122" s="6"/>
      <c r="N122" s="6"/>
      <c r="O122" s="6"/>
      <c r="P122" s="6"/>
      <c r="Q122" s="6"/>
      <c r="R122" s="14"/>
      <c r="S122" s="14"/>
      <c r="T122" s="14"/>
      <c r="U122" s="14"/>
      <c r="V122" s="14"/>
      <c r="W122" s="14"/>
      <c r="X122" s="14"/>
    </row>
    <row r="123" spans="1:24">
      <c r="A123" s="6"/>
      <c r="B123" s="6"/>
      <c r="C123" s="6"/>
      <c r="D123" s="6"/>
      <c r="E123" s="6"/>
      <c r="F123" s="6"/>
      <c r="G123" s="6"/>
      <c r="H123" s="6"/>
      <c r="I123" s="6"/>
      <c r="J123" s="6"/>
      <c r="K123" s="6"/>
      <c r="L123" s="6"/>
      <c r="M123" s="6"/>
      <c r="N123" s="6"/>
      <c r="O123" s="6"/>
      <c r="P123" s="6"/>
      <c r="Q123" s="6"/>
      <c r="R123" s="14"/>
      <c r="S123" s="14"/>
      <c r="T123" s="14"/>
      <c r="U123" s="14"/>
      <c r="V123" s="14"/>
      <c r="W123" s="14"/>
      <c r="X123" s="14"/>
    </row>
    <row r="124" spans="1:24">
      <c r="A124" s="6"/>
      <c r="B124" s="6"/>
      <c r="C124" s="6"/>
      <c r="D124" s="6"/>
      <c r="E124" s="6"/>
      <c r="F124" s="6"/>
      <c r="G124" s="6"/>
      <c r="H124" s="6"/>
      <c r="I124" s="6"/>
      <c r="J124" s="6"/>
      <c r="K124" s="6"/>
      <c r="L124" s="6"/>
      <c r="M124" s="6"/>
      <c r="N124" s="6"/>
      <c r="O124" s="6"/>
      <c r="P124" s="6"/>
      <c r="Q124" s="6"/>
      <c r="R124" s="14"/>
      <c r="S124" s="14"/>
      <c r="T124" s="14"/>
      <c r="U124" s="14"/>
      <c r="V124" s="14"/>
      <c r="W124" s="14"/>
      <c r="X124" s="14"/>
    </row>
    <row r="125" spans="1:24">
      <c r="A125" s="6"/>
      <c r="B125" s="6"/>
      <c r="C125" s="6"/>
      <c r="D125" s="6"/>
      <c r="E125" s="6"/>
      <c r="F125" s="6"/>
      <c r="G125" s="6"/>
      <c r="H125" s="6"/>
      <c r="I125" s="6"/>
      <c r="J125" s="6"/>
      <c r="K125" s="6"/>
      <c r="L125" s="6"/>
      <c r="M125" s="6"/>
      <c r="N125" s="6"/>
      <c r="O125" s="6"/>
      <c r="P125" s="6"/>
      <c r="Q125" s="6"/>
      <c r="R125" s="14"/>
      <c r="S125" s="14"/>
      <c r="T125" s="14"/>
      <c r="U125" s="14"/>
      <c r="V125" s="14"/>
      <c r="W125" s="14"/>
      <c r="X125" s="14"/>
    </row>
    <row r="126" spans="1:24">
      <c r="A126" s="6"/>
      <c r="B126" s="6"/>
      <c r="C126" s="6"/>
      <c r="D126" s="6"/>
      <c r="E126" s="6"/>
      <c r="F126" s="6"/>
      <c r="G126" s="6"/>
      <c r="H126" s="6"/>
      <c r="I126" s="6"/>
      <c r="J126" s="6"/>
      <c r="K126" s="6"/>
      <c r="L126" s="6"/>
      <c r="M126" s="6"/>
      <c r="N126" s="6"/>
      <c r="O126" s="6"/>
      <c r="P126" s="6"/>
      <c r="Q126" s="6"/>
      <c r="R126" s="14"/>
      <c r="S126" s="14"/>
      <c r="T126" s="14"/>
      <c r="U126" s="14"/>
      <c r="V126" s="14"/>
      <c r="W126" s="14"/>
      <c r="X126" s="14"/>
    </row>
    <row r="127" spans="1:24">
      <c r="A127" s="6"/>
      <c r="B127" s="6"/>
      <c r="C127" s="6"/>
      <c r="D127" s="6"/>
      <c r="E127" s="6"/>
      <c r="F127" s="6"/>
      <c r="G127" s="6"/>
      <c r="H127" s="6"/>
      <c r="I127" s="6"/>
      <c r="J127" s="6"/>
      <c r="K127" s="6"/>
      <c r="L127" s="6"/>
      <c r="M127" s="6"/>
      <c r="N127" s="6"/>
      <c r="O127" s="6"/>
      <c r="P127" s="6"/>
      <c r="Q127" s="6"/>
      <c r="R127" s="14"/>
      <c r="S127" s="14"/>
      <c r="T127" s="14"/>
      <c r="U127" s="14"/>
      <c r="V127" s="14"/>
      <c r="W127" s="14"/>
      <c r="X127" s="14"/>
    </row>
    <row r="128" spans="1:24">
      <c r="A128" s="6"/>
      <c r="B128" s="6"/>
      <c r="C128" s="6"/>
      <c r="D128" s="6"/>
      <c r="E128" s="6"/>
      <c r="F128" s="6"/>
      <c r="G128" s="6"/>
      <c r="H128" s="6"/>
      <c r="I128" s="6"/>
      <c r="J128" s="6"/>
      <c r="K128" s="6"/>
      <c r="L128" s="6"/>
      <c r="M128" s="6"/>
      <c r="N128" s="6"/>
      <c r="O128" s="6"/>
      <c r="P128" s="6"/>
      <c r="Q128" s="6"/>
      <c r="R128" s="14"/>
      <c r="S128" s="14"/>
      <c r="T128" s="14"/>
      <c r="U128" s="14"/>
      <c r="V128" s="14"/>
      <c r="W128" s="14"/>
      <c r="X128" s="14"/>
    </row>
    <row r="129" spans="1:24">
      <c r="A129" s="6"/>
      <c r="B129" s="6"/>
      <c r="C129" s="6"/>
      <c r="D129" s="6"/>
      <c r="E129" s="6"/>
      <c r="F129" s="6"/>
      <c r="G129" s="6"/>
      <c r="H129" s="6"/>
      <c r="I129" s="6"/>
      <c r="J129" s="6"/>
      <c r="K129" s="6"/>
      <c r="L129" s="6"/>
      <c r="M129" s="6"/>
      <c r="N129" s="6"/>
      <c r="O129" s="6"/>
      <c r="P129" s="6"/>
      <c r="Q129" s="6"/>
      <c r="R129" s="14"/>
      <c r="S129" s="14"/>
      <c r="T129" s="14"/>
      <c r="U129" s="14"/>
      <c r="V129" s="14"/>
      <c r="W129" s="14"/>
      <c r="X129" s="14"/>
    </row>
    <row r="130" spans="1:24">
      <c r="A130" s="6"/>
      <c r="B130" s="6"/>
      <c r="C130" s="6"/>
      <c r="D130" s="6"/>
      <c r="E130" s="6"/>
      <c r="F130" s="6"/>
      <c r="G130" s="6"/>
      <c r="H130" s="6"/>
      <c r="I130" s="6"/>
      <c r="J130" s="6"/>
      <c r="K130" s="6"/>
      <c r="L130" s="6"/>
      <c r="M130" s="6"/>
      <c r="N130" s="6"/>
      <c r="O130" s="6"/>
      <c r="P130" s="6"/>
      <c r="Q130" s="6"/>
      <c r="R130" s="14"/>
      <c r="S130" s="14"/>
      <c r="T130" s="14"/>
      <c r="U130" s="14"/>
      <c r="V130" s="14"/>
      <c r="W130" s="14"/>
      <c r="X130" s="14"/>
    </row>
    <row r="131" spans="1:24">
      <c r="A131" s="6"/>
      <c r="B131" s="6"/>
      <c r="C131" s="6"/>
      <c r="D131" s="6"/>
      <c r="E131" s="6"/>
      <c r="F131" s="6"/>
      <c r="G131" s="6"/>
      <c r="H131" s="6"/>
      <c r="I131" s="6"/>
      <c r="J131" s="6"/>
      <c r="K131" s="6"/>
      <c r="L131" s="6"/>
      <c r="M131" s="6"/>
      <c r="N131" s="6"/>
      <c r="O131" s="6"/>
      <c r="P131" s="6"/>
      <c r="Q131" s="6"/>
      <c r="R131" s="14"/>
      <c r="S131" s="14"/>
      <c r="T131" s="14"/>
      <c r="U131" s="14"/>
      <c r="V131" s="14"/>
      <c r="W131" s="14"/>
      <c r="X131" s="14"/>
    </row>
    <row r="132" spans="1:24">
      <c r="A132" s="6"/>
      <c r="B132" s="6"/>
      <c r="C132" s="6"/>
      <c r="D132" s="6"/>
      <c r="E132" s="6"/>
      <c r="F132" s="6"/>
      <c r="G132" s="6"/>
      <c r="H132" s="6"/>
      <c r="I132" s="6"/>
      <c r="J132" s="6"/>
      <c r="K132" s="6"/>
      <c r="L132" s="6"/>
      <c r="M132" s="6"/>
      <c r="N132" s="6"/>
      <c r="O132" s="6"/>
      <c r="P132" s="6"/>
      <c r="Q132" s="6"/>
      <c r="R132" s="14"/>
      <c r="S132" s="14"/>
      <c r="T132" s="14"/>
      <c r="U132" s="14"/>
      <c r="V132" s="14"/>
      <c r="W132" s="14"/>
      <c r="X132" s="14"/>
    </row>
    <row r="133" spans="1:24">
      <c r="A133" s="6"/>
      <c r="B133" s="6"/>
      <c r="C133" s="6"/>
      <c r="D133" s="6"/>
      <c r="E133" s="6"/>
      <c r="F133" s="6"/>
      <c r="G133" s="6"/>
      <c r="H133" s="6"/>
      <c r="I133" s="6"/>
      <c r="J133" s="6"/>
      <c r="K133" s="6"/>
      <c r="L133" s="6"/>
      <c r="M133" s="6"/>
      <c r="N133" s="6"/>
      <c r="O133" s="6"/>
      <c r="P133" s="6"/>
      <c r="Q133" s="6"/>
      <c r="R133" s="14"/>
      <c r="S133" s="14"/>
      <c r="T133" s="14"/>
      <c r="U133" s="14"/>
      <c r="V133" s="14"/>
      <c r="W133" s="14"/>
      <c r="X133" s="14"/>
    </row>
    <row r="134" spans="1:24">
      <c r="A134" s="6"/>
      <c r="B134" s="6"/>
      <c r="C134" s="6"/>
      <c r="D134" s="6"/>
      <c r="E134" s="6"/>
      <c r="F134" s="6"/>
      <c r="G134" s="6"/>
      <c r="H134" s="6"/>
      <c r="I134" s="6"/>
      <c r="J134" s="6"/>
      <c r="K134" s="6"/>
      <c r="L134" s="6"/>
      <c r="M134" s="6"/>
      <c r="N134" s="6"/>
      <c r="O134" s="6"/>
      <c r="P134" s="6"/>
      <c r="Q134" s="6"/>
      <c r="R134" s="14"/>
      <c r="S134" s="14"/>
      <c r="T134" s="14"/>
      <c r="U134" s="14"/>
      <c r="V134" s="14"/>
      <c r="W134" s="14"/>
      <c r="X134" s="14"/>
    </row>
    <row r="135" spans="1:24">
      <c r="A135" s="6"/>
      <c r="B135" s="6"/>
      <c r="C135" s="6"/>
      <c r="D135" s="6"/>
      <c r="E135" s="6"/>
      <c r="F135" s="6"/>
      <c r="G135" s="6"/>
      <c r="H135" s="6"/>
      <c r="I135" s="6"/>
      <c r="J135" s="6"/>
      <c r="K135" s="6"/>
      <c r="L135" s="6"/>
      <c r="M135" s="6"/>
      <c r="N135" s="6"/>
      <c r="O135" s="6"/>
      <c r="P135" s="6"/>
      <c r="Q135" s="6"/>
      <c r="R135" s="14"/>
      <c r="S135" s="14"/>
      <c r="T135" s="14"/>
      <c r="U135" s="14"/>
      <c r="V135" s="14"/>
      <c r="W135" s="14"/>
      <c r="X135" s="14"/>
    </row>
    <row r="136" spans="1:24">
      <c r="A136" s="6"/>
      <c r="B136" s="6"/>
      <c r="C136" s="6"/>
      <c r="D136" s="6"/>
      <c r="E136" s="6"/>
      <c r="F136" s="6"/>
      <c r="G136" s="6"/>
      <c r="H136" s="6"/>
      <c r="I136" s="6"/>
      <c r="J136" s="6"/>
      <c r="K136" s="6"/>
      <c r="L136" s="6"/>
      <c r="M136" s="6"/>
      <c r="N136" s="6"/>
      <c r="O136" s="6"/>
      <c r="P136" s="6"/>
      <c r="Q136" s="6"/>
      <c r="R136" s="14"/>
      <c r="S136" s="14"/>
      <c r="T136" s="14"/>
      <c r="U136" s="14"/>
      <c r="V136" s="14"/>
      <c r="W136" s="14"/>
      <c r="X136" s="14"/>
    </row>
    <row r="137" spans="1:24">
      <c r="A137" s="6"/>
      <c r="B137" s="6"/>
      <c r="C137" s="6"/>
      <c r="D137" s="6"/>
      <c r="E137" s="6"/>
      <c r="F137" s="6"/>
      <c r="G137" s="6"/>
      <c r="H137" s="6"/>
      <c r="I137" s="6"/>
      <c r="J137" s="6"/>
      <c r="K137" s="6"/>
      <c r="L137" s="6"/>
      <c r="M137" s="6"/>
      <c r="N137" s="6"/>
      <c r="O137" s="6"/>
      <c r="P137" s="6"/>
      <c r="Q137" s="6"/>
      <c r="R137" s="14"/>
      <c r="S137" s="14"/>
      <c r="T137" s="14"/>
      <c r="U137" s="14"/>
      <c r="V137" s="14"/>
      <c r="W137" s="14"/>
      <c r="X137" s="14"/>
    </row>
    <row r="138" spans="1:24">
      <c r="A138" s="6"/>
      <c r="B138" s="6"/>
      <c r="C138" s="6"/>
      <c r="D138" s="6"/>
      <c r="E138" s="6"/>
      <c r="F138" s="6"/>
      <c r="G138" s="6"/>
      <c r="H138" s="6"/>
      <c r="I138" s="6"/>
      <c r="J138" s="6"/>
      <c r="K138" s="6"/>
      <c r="L138" s="6"/>
      <c r="M138" s="6"/>
      <c r="N138" s="6"/>
      <c r="O138" s="6"/>
      <c r="P138" s="6"/>
      <c r="Q138" s="6"/>
      <c r="R138" s="14"/>
      <c r="S138" s="14"/>
      <c r="T138" s="14"/>
      <c r="U138" s="14"/>
      <c r="V138" s="14"/>
      <c r="W138" s="14"/>
      <c r="X138" s="14"/>
    </row>
    <row r="139" spans="1:24">
      <c r="A139" s="6"/>
      <c r="B139" s="6"/>
      <c r="C139" s="6"/>
      <c r="D139" s="6"/>
      <c r="E139" s="6"/>
      <c r="F139" s="6"/>
      <c r="G139" s="6"/>
      <c r="H139" s="6"/>
      <c r="I139" s="6"/>
      <c r="J139" s="6"/>
      <c r="K139" s="6"/>
      <c r="L139" s="6"/>
      <c r="M139" s="6"/>
      <c r="N139" s="6"/>
      <c r="O139" s="6"/>
      <c r="P139" s="6"/>
      <c r="Q139" s="6"/>
      <c r="R139" s="14"/>
      <c r="S139" s="14"/>
      <c r="T139" s="14"/>
      <c r="U139" s="14"/>
      <c r="V139" s="14"/>
      <c r="W139" s="14"/>
      <c r="X139" s="14"/>
    </row>
    <row r="140" spans="1:24">
      <c r="A140" s="6"/>
      <c r="B140" s="6"/>
      <c r="C140" s="6"/>
      <c r="D140" s="6"/>
      <c r="E140" s="6"/>
      <c r="F140" s="6"/>
      <c r="G140" s="6"/>
      <c r="H140" s="6"/>
      <c r="I140" s="6"/>
      <c r="J140" s="6"/>
      <c r="K140" s="6"/>
      <c r="L140" s="6"/>
      <c r="M140" s="6"/>
      <c r="N140" s="6"/>
      <c r="O140" s="6"/>
      <c r="P140" s="6"/>
      <c r="Q140" s="6"/>
      <c r="R140" s="14"/>
      <c r="S140" s="14"/>
      <c r="T140" s="14"/>
      <c r="U140" s="14"/>
      <c r="V140" s="14"/>
      <c r="W140" s="14"/>
      <c r="X140" s="14"/>
    </row>
    <row r="141" spans="1:24">
      <c r="A141" s="6"/>
      <c r="B141" s="6"/>
      <c r="C141" s="6"/>
      <c r="D141" s="6"/>
      <c r="E141" s="6"/>
      <c r="F141" s="6"/>
      <c r="G141" s="6"/>
      <c r="H141" s="6"/>
      <c r="I141" s="6"/>
      <c r="J141" s="6"/>
      <c r="K141" s="6"/>
      <c r="L141" s="6"/>
      <c r="M141" s="6"/>
      <c r="N141" s="6"/>
      <c r="O141" s="6"/>
      <c r="P141" s="6"/>
      <c r="Q141" s="6"/>
      <c r="R141" s="14"/>
      <c r="S141" s="14"/>
      <c r="T141" s="14"/>
      <c r="U141" s="14"/>
      <c r="V141" s="14"/>
      <c r="W141" s="14"/>
      <c r="X141" s="14"/>
    </row>
    <row r="142" spans="1:24">
      <c r="A142" s="6"/>
      <c r="B142" s="6"/>
      <c r="C142" s="6"/>
      <c r="D142" s="6"/>
      <c r="E142" s="6"/>
      <c r="F142" s="6"/>
      <c r="G142" s="6"/>
      <c r="H142" s="6"/>
      <c r="I142" s="6"/>
      <c r="J142" s="6"/>
      <c r="K142" s="6"/>
      <c r="L142" s="6"/>
      <c r="M142" s="6"/>
      <c r="N142" s="6"/>
      <c r="O142" s="6"/>
      <c r="P142" s="6"/>
      <c r="Q142" s="6"/>
      <c r="R142" s="14"/>
      <c r="S142" s="14"/>
      <c r="T142" s="14"/>
      <c r="U142" s="14"/>
      <c r="V142" s="14"/>
      <c r="W142" s="14"/>
      <c r="X142" s="14"/>
    </row>
    <row r="143" spans="1:24">
      <c r="A143" s="6"/>
      <c r="B143" s="6"/>
      <c r="C143" s="6"/>
      <c r="D143" s="6"/>
      <c r="E143" s="6"/>
      <c r="F143" s="6"/>
      <c r="G143" s="6"/>
      <c r="H143" s="6"/>
      <c r="I143" s="6"/>
      <c r="J143" s="6"/>
      <c r="K143" s="6"/>
      <c r="L143" s="6"/>
      <c r="M143" s="6"/>
      <c r="N143" s="6"/>
      <c r="O143" s="6"/>
      <c r="P143" s="6"/>
      <c r="Q143" s="6"/>
      <c r="R143" s="14"/>
      <c r="S143" s="14"/>
      <c r="T143" s="14"/>
      <c r="U143" s="14"/>
      <c r="V143" s="14"/>
      <c r="W143" s="14"/>
      <c r="X143" s="14"/>
    </row>
    <row r="144" spans="1:24">
      <c r="A144" s="6"/>
      <c r="B144" s="6"/>
      <c r="C144" s="6"/>
      <c r="D144" s="6"/>
      <c r="E144" s="6"/>
      <c r="F144" s="6"/>
      <c r="G144" s="6"/>
      <c r="H144" s="6"/>
      <c r="I144" s="6"/>
      <c r="J144" s="6"/>
      <c r="K144" s="6"/>
      <c r="L144" s="6"/>
      <c r="M144" s="6"/>
      <c r="N144" s="6"/>
      <c r="O144" s="6"/>
      <c r="P144" s="6"/>
      <c r="Q144" s="6"/>
      <c r="R144" s="14"/>
      <c r="S144" s="14"/>
      <c r="T144" s="14"/>
      <c r="U144" s="14"/>
      <c r="V144" s="14"/>
      <c r="W144" s="14"/>
      <c r="X144" s="14"/>
    </row>
    <row r="145" spans="1:24">
      <c r="A145" s="6"/>
      <c r="B145" s="6"/>
      <c r="C145" s="6"/>
      <c r="D145" s="6"/>
      <c r="E145" s="6"/>
      <c r="F145" s="6"/>
      <c r="G145" s="6"/>
      <c r="H145" s="6"/>
      <c r="I145" s="6"/>
      <c r="J145" s="6"/>
      <c r="K145" s="6"/>
      <c r="L145" s="6"/>
      <c r="M145" s="6"/>
      <c r="N145" s="6"/>
      <c r="O145" s="6"/>
      <c r="P145" s="6"/>
      <c r="Q145" s="6"/>
      <c r="R145" s="14"/>
      <c r="S145" s="14"/>
      <c r="T145" s="14"/>
      <c r="U145" s="14"/>
      <c r="V145" s="14"/>
      <c r="W145" s="14"/>
      <c r="X145" s="14"/>
    </row>
    <row r="146" spans="1:24">
      <c r="A146" s="6"/>
      <c r="B146" s="6"/>
      <c r="C146" s="6"/>
      <c r="D146" s="6"/>
      <c r="E146" s="6"/>
      <c r="F146" s="6"/>
      <c r="G146" s="6"/>
      <c r="H146" s="6"/>
      <c r="I146" s="6"/>
      <c r="J146" s="6"/>
      <c r="K146" s="6"/>
      <c r="L146" s="6"/>
      <c r="M146" s="6"/>
      <c r="N146" s="6"/>
      <c r="O146" s="6"/>
      <c r="P146" s="6"/>
      <c r="Q146" s="6"/>
      <c r="R146" s="14"/>
      <c r="S146" s="14"/>
      <c r="T146" s="14"/>
      <c r="U146" s="14"/>
      <c r="V146" s="14"/>
      <c r="W146" s="14"/>
      <c r="X146" s="14"/>
    </row>
    <row r="147" spans="1:24">
      <c r="A147" s="6"/>
      <c r="B147" s="6"/>
      <c r="C147" s="6"/>
      <c r="D147" s="6"/>
      <c r="E147" s="6"/>
      <c r="F147" s="6"/>
      <c r="G147" s="6"/>
      <c r="H147" s="6"/>
      <c r="I147" s="6"/>
      <c r="J147" s="6"/>
      <c r="K147" s="6"/>
      <c r="L147" s="6"/>
      <c r="M147" s="6"/>
      <c r="N147" s="6"/>
      <c r="O147" s="6"/>
      <c r="P147" s="6"/>
      <c r="Q147" s="6"/>
      <c r="R147" s="14"/>
      <c r="S147" s="14"/>
      <c r="T147" s="14"/>
      <c r="U147" s="14"/>
      <c r="V147" s="14"/>
      <c r="W147" s="14"/>
      <c r="X147" s="14"/>
    </row>
    <row r="148" spans="1:24">
      <c r="A148" s="6"/>
      <c r="B148" s="6"/>
      <c r="C148" s="6"/>
      <c r="D148" s="6"/>
      <c r="E148" s="6"/>
      <c r="F148" s="6"/>
      <c r="G148" s="6"/>
      <c r="H148" s="6"/>
      <c r="I148" s="6"/>
      <c r="J148" s="6"/>
      <c r="K148" s="6"/>
      <c r="L148" s="6"/>
      <c r="M148" s="6"/>
      <c r="N148" s="6"/>
      <c r="O148" s="6"/>
      <c r="P148" s="6"/>
      <c r="Q148" s="6"/>
      <c r="R148" s="14"/>
      <c r="S148" s="14"/>
      <c r="T148" s="14"/>
      <c r="U148" s="14"/>
      <c r="V148" s="14"/>
      <c r="W148" s="14"/>
      <c r="X148" s="14"/>
    </row>
    <row r="149" spans="1:24">
      <c r="A149" s="6"/>
      <c r="B149" s="6"/>
      <c r="C149" s="6"/>
      <c r="D149" s="6"/>
      <c r="E149" s="6"/>
      <c r="F149" s="6"/>
      <c r="G149" s="6"/>
      <c r="H149" s="6"/>
      <c r="I149" s="6"/>
      <c r="J149" s="6"/>
      <c r="K149" s="6"/>
      <c r="L149" s="6"/>
      <c r="M149" s="6"/>
      <c r="N149" s="6"/>
      <c r="O149" s="6"/>
      <c r="P149" s="6"/>
      <c r="Q149" s="6"/>
      <c r="R149" s="14"/>
      <c r="S149" s="14"/>
      <c r="T149" s="14"/>
      <c r="U149" s="14"/>
      <c r="V149" s="14"/>
      <c r="W149" s="14"/>
      <c r="X149" s="14"/>
    </row>
    <row r="150" spans="1:24">
      <c r="A150" s="6"/>
      <c r="B150" s="6"/>
      <c r="C150" s="6"/>
      <c r="D150" s="6"/>
      <c r="E150" s="6"/>
      <c r="F150" s="6"/>
      <c r="G150" s="6"/>
      <c r="H150" s="6"/>
      <c r="I150" s="6"/>
      <c r="J150" s="6"/>
      <c r="K150" s="6"/>
      <c r="L150" s="6"/>
      <c r="M150" s="6"/>
      <c r="N150" s="6"/>
      <c r="O150" s="6"/>
      <c r="P150" s="6"/>
      <c r="Q150" s="6"/>
      <c r="R150" s="14"/>
      <c r="S150" s="14"/>
      <c r="T150" s="14"/>
      <c r="U150" s="14"/>
      <c r="V150" s="14"/>
      <c r="W150" s="14"/>
      <c r="X150" s="14"/>
    </row>
    <row r="151" spans="1:24">
      <c r="A151" s="6"/>
      <c r="B151" s="6"/>
      <c r="C151" s="6"/>
      <c r="D151" s="6"/>
      <c r="E151" s="6"/>
      <c r="F151" s="6"/>
      <c r="G151" s="6"/>
      <c r="H151" s="6"/>
      <c r="I151" s="6"/>
      <c r="J151" s="6"/>
      <c r="K151" s="6"/>
      <c r="L151" s="6"/>
      <c r="M151" s="6"/>
      <c r="N151" s="6"/>
      <c r="O151" s="6"/>
      <c r="P151" s="6"/>
      <c r="Q151" s="6"/>
      <c r="R151" s="14"/>
      <c r="S151" s="14"/>
      <c r="T151" s="14"/>
      <c r="U151" s="14"/>
      <c r="V151" s="14"/>
      <c r="W151" s="14"/>
      <c r="X151" s="14"/>
    </row>
    <row r="152" spans="1:24">
      <c r="A152" s="6"/>
      <c r="B152" s="6"/>
      <c r="C152" s="6"/>
      <c r="D152" s="6"/>
      <c r="E152" s="6"/>
      <c r="F152" s="6"/>
      <c r="G152" s="6"/>
      <c r="H152" s="6"/>
      <c r="I152" s="6"/>
      <c r="J152" s="6"/>
      <c r="K152" s="6"/>
      <c r="L152" s="6"/>
      <c r="M152" s="6"/>
      <c r="N152" s="6"/>
      <c r="O152" s="6"/>
      <c r="P152" s="6"/>
      <c r="Q152" s="6"/>
      <c r="R152" s="14"/>
      <c r="S152" s="14"/>
      <c r="T152" s="14"/>
      <c r="U152" s="14"/>
      <c r="V152" s="14"/>
      <c r="W152" s="14"/>
      <c r="X152" s="14"/>
    </row>
    <row r="153" spans="1:24">
      <c r="A153" s="6"/>
      <c r="B153" s="6"/>
      <c r="C153" s="6"/>
      <c r="D153" s="6"/>
      <c r="E153" s="6"/>
      <c r="F153" s="6"/>
      <c r="G153" s="6"/>
      <c r="H153" s="6"/>
      <c r="I153" s="6"/>
      <c r="J153" s="6"/>
      <c r="K153" s="6"/>
      <c r="L153" s="6"/>
      <c r="M153" s="6"/>
      <c r="N153" s="6"/>
      <c r="O153" s="6"/>
      <c r="P153" s="6"/>
      <c r="Q153" s="6"/>
      <c r="R153" s="14"/>
      <c r="S153" s="14"/>
      <c r="T153" s="14"/>
      <c r="U153" s="14"/>
      <c r="V153" s="14"/>
      <c r="W153" s="14"/>
      <c r="X153" s="14"/>
    </row>
    <row r="154" spans="1:24">
      <c r="A154" s="6"/>
      <c r="B154" s="6"/>
      <c r="C154" s="6"/>
      <c r="D154" s="6"/>
      <c r="E154" s="6"/>
      <c r="F154" s="6"/>
      <c r="G154" s="6"/>
      <c r="H154" s="6"/>
      <c r="I154" s="6"/>
      <c r="J154" s="6"/>
      <c r="K154" s="6"/>
      <c r="L154" s="6"/>
      <c r="M154" s="6"/>
      <c r="N154" s="6"/>
      <c r="O154" s="6"/>
      <c r="P154" s="6"/>
      <c r="Q154" s="6"/>
      <c r="R154" s="14"/>
      <c r="S154" s="14"/>
      <c r="T154" s="14"/>
      <c r="U154" s="14"/>
      <c r="V154" s="14"/>
      <c r="W154" s="14"/>
      <c r="X154" s="14"/>
    </row>
    <row r="155" spans="1:24">
      <c r="A155" s="6"/>
      <c r="B155" s="6"/>
      <c r="C155" s="6"/>
      <c r="D155" s="6"/>
      <c r="E155" s="6"/>
      <c r="F155" s="6"/>
      <c r="G155" s="6"/>
      <c r="H155" s="6"/>
      <c r="I155" s="6"/>
      <c r="J155" s="6"/>
      <c r="K155" s="6"/>
      <c r="L155" s="6"/>
      <c r="M155" s="6"/>
      <c r="N155" s="6"/>
      <c r="O155" s="6"/>
      <c r="P155" s="6"/>
      <c r="Q155" s="6"/>
      <c r="R155" s="14"/>
      <c r="S155" s="14"/>
      <c r="T155" s="14"/>
      <c r="U155" s="14"/>
      <c r="V155" s="14"/>
      <c r="W155" s="14"/>
      <c r="X155" s="14"/>
    </row>
    <row r="156" spans="1:24">
      <c r="A156" s="6"/>
      <c r="B156" s="6"/>
      <c r="C156" s="6"/>
      <c r="D156" s="6"/>
      <c r="E156" s="6"/>
      <c r="F156" s="6"/>
      <c r="G156" s="6"/>
      <c r="H156" s="6"/>
      <c r="I156" s="6"/>
      <c r="J156" s="6"/>
      <c r="K156" s="6"/>
      <c r="L156" s="6"/>
      <c r="M156" s="6"/>
      <c r="N156" s="6"/>
      <c r="O156" s="6"/>
      <c r="P156" s="6"/>
      <c r="Q156" s="6"/>
      <c r="R156" s="14"/>
      <c r="S156" s="14"/>
      <c r="T156" s="14"/>
      <c r="U156" s="14"/>
      <c r="V156" s="14"/>
      <c r="W156" s="14"/>
      <c r="X156" s="14"/>
    </row>
    <row r="157" spans="1:24">
      <c r="A157" s="6"/>
      <c r="B157" s="6"/>
      <c r="C157" s="6"/>
      <c r="D157" s="6"/>
      <c r="E157" s="6"/>
      <c r="F157" s="6"/>
      <c r="G157" s="6"/>
      <c r="H157" s="6"/>
      <c r="I157" s="6"/>
      <c r="J157" s="6"/>
      <c r="K157" s="6"/>
      <c r="L157" s="6"/>
      <c r="M157" s="6"/>
      <c r="N157" s="6"/>
      <c r="O157" s="6"/>
      <c r="P157" s="6"/>
      <c r="Q157" s="6"/>
      <c r="R157" s="14"/>
      <c r="S157" s="14"/>
      <c r="T157" s="14"/>
      <c r="U157" s="14"/>
      <c r="V157" s="14"/>
      <c r="W157" s="14"/>
      <c r="X157" s="14"/>
    </row>
    <row r="158" spans="1:24">
      <c r="A158" s="6"/>
      <c r="B158" s="6"/>
      <c r="C158" s="6"/>
      <c r="D158" s="6"/>
      <c r="E158" s="6"/>
      <c r="F158" s="6"/>
      <c r="G158" s="6"/>
      <c r="H158" s="6"/>
      <c r="I158" s="6"/>
      <c r="J158" s="6"/>
      <c r="K158" s="6"/>
      <c r="L158" s="6"/>
      <c r="M158" s="6"/>
      <c r="N158" s="6"/>
      <c r="O158" s="6"/>
      <c r="P158" s="6"/>
      <c r="Q158" s="6"/>
      <c r="R158" s="14"/>
      <c r="S158" s="14"/>
      <c r="T158" s="14"/>
      <c r="U158" s="14"/>
      <c r="V158" s="14"/>
      <c r="W158" s="14"/>
      <c r="X158" s="14"/>
    </row>
    <row r="159" spans="1:24">
      <c r="A159" s="6"/>
      <c r="B159" s="6"/>
      <c r="C159" s="6"/>
      <c r="D159" s="6"/>
      <c r="E159" s="6"/>
      <c r="F159" s="6"/>
      <c r="G159" s="6"/>
      <c r="H159" s="6"/>
      <c r="I159" s="6"/>
      <c r="J159" s="6"/>
      <c r="K159" s="6"/>
      <c r="L159" s="6"/>
      <c r="M159" s="6"/>
      <c r="N159" s="6"/>
      <c r="O159" s="6"/>
      <c r="P159" s="6"/>
      <c r="Q159" s="6"/>
      <c r="R159" s="14"/>
      <c r="S159" s="14"/>
      <c r="T159" s="14"/>
      <c r="U159" s="14"/>
      <c r="V159" s="14"/>
      <c r="W159" s="14"/>
      <c r="X159" s="14"/>
    </row>
    <row r="160" spans="1:24">
      <c r="A160" s="6"/>
      <c r="B160" s="6"/>
      <c r="C160" s="6"/>
      <c r="D160" s="6"/>
      <c r="E160" s="6"/>
      <c r="F160" s="6"/>
      <c r="G160" s="6"/>
      <c r="H160" s="6"/>
      <c r="I160" s="6"/>
      <c r="J160" s="6"/>
      <c r="K160" s="6"/>
      <c r="L160" s="6"/>
      <c r="M160" s="6"/>
      <c r="N160" s="6"/>
      <c r="O160" s="6"/>
      <c r="P160" s="6"/>
      <c r="Q160" s="6"/>
      <c r="R160" s="14"/>
      <c r="S160" s="14"/>
      <c r="T160" s="14"/>
      <c r="U160" s="14"/>
      <c r="V160" s="14"/>
      <c r="W160" s="14"/>
      <c r="X160" s="14"/>
    </row>
    <row r="161" spans="1:24">
      <c r="A161" s="6"/>
      <c r="B161" s="6"/>
      <c r="C161" s="6"/>
      <c r="D161" s="6"/>
      <c r="E161" s="6"/>
      <c r="F161" s="6"/>
      <c r="G161" s="6"/>
      <c r="H161" s="6"/>
      <c r="I161" s="6"/>
      <c r="J161" s="6"/>
      <c r="K161" s="6"/>
      <c r="L161" s="6"/>
      <c r="M161" s="6"/>
      <c r="N161" s="6"/>
      <c r="O161" s="6"/>
      <c r="P161" s="6"/>
      <c r="Q161" s="6"/>
      <c r="R161" s="14"/>
      <c r="S161" s="14"/>
      <c r="T161" s="14"/>
      <c r="U161" s="14"/>
      <c r="V161" s="14"/>
      <c r="W161" s="14"/>
      <c r="X161" s="14"/>
    </row>
    <row r="162" spans="1:24">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row>
    <row r="163" spans="1:24">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row>
    <row r="164" spans="1:2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row>
    <row r="165" spans="1:24">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row>
    <row r="166" spans="1:24">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row>
    <row r="167" spans="1:24">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row>
    <row r="168" spans="1:24">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row>
    <row r="169" spans="1:24">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row>
    <row r="170" spans="1:24">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row>
    <row r="171" spans="1:24">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row>
    <row r="172" spans="1:24">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row>
    <row r="173" spans="1:24">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row>
    <row r="174" spans="1:2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row>
    <row r="175" spans="1:24">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row>
    <row r="176" spans="1:24">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row>
    <row r="177" spans="1:24">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row>
    <row r="178" spans="1:24">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row>
    <row r="179" spans="1:24">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row>
    <row r="180" spans="1:24">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row>
    <row r="181" spans="1:24">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row>
    <row r="182" spans="1:24">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row>
    <row r="183" spans="1:24">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row>
    <row r="184" spans="1:2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row>
    <row r="185" spans="1:24">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row>
    <row r="186" spans="1:24">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row>
    <row r="187" spans="1:24">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row>
    <row r="188" spans="1:24">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row>
    <row r="189" spans="1:24">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row>
    <row r="190" spans="1:24">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row>
    <row r="191" spans="1:24">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row>
    <row r="192" spans="1:24">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row>
    <row r="193" spans="1:24">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row>
    <row r="194" spans="1:2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row>
    <row r="195" spans="1:24">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row>
    <row r="196" spans="1:24">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row>
    <row r="197" spans="1:24">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row>
    <row r="198" spans="1:24">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row>
    <row r="199" spans="1:24">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row>
    <row r="200" spans="1:24">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row>
    <row r="201" spans="1:24">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row>
    <row r="202" spans="1:24">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row>
    <row r="203" spans="1:24">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row>
    <row r="204" spans="1:2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row>
    <row r="205" spans="1:24">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row>
    <row r="206" spans="1:24">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row>
    <row r="207" spans="1:24">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row>
    <row r="208" spans="1:24">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row>
    <row r="209" spans="1:24">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row>
    <row r="210" spans="1:24">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row>
    <row r="211" spans="1:24">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row>
    <row r="212" spans="1:24">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row>
    <row r="213" spans="1:24">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row>
    <row r="214" spans="1:2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row>
    <row r="215" spans="1:24">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row>
    <row r="216" spans="1:24">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row>
    <row r="217" spans="1:24">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row>
    <row r="218" spans="1:24">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row>
    <row r="219" spans="1:24">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row>
    <row r="220" spans="1:24">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row>
    <row r="221" spans="1:24">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row>
    <row r="222" spans="1:24">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row>
    <row r="223" spans="1:24">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row>
    <row r="224" spans="1: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row>
    <row r="225" spans="1:24">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row>
    <row r="226" spans="1:24">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row>
    <row r="227" spans="1:24">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row>
    <row r="228" spans="1:24">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row>
    <row r="229" spans="1:24">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row>
    <row r="230" spans="1:24">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row>
    <row r="231" spans="1:24">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row>
    <row r="232" spans="1:24">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row>
    <row r="233" spans="1:24">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row>
    <row r="234" spans="1:2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row>
    <row r="235" spans="1:24">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row>
    <row r="236" spans="1:24">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row>
    <row r="237" spans="1:24">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row>
    <row r="238" spans="1:24">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row>
    <row r="239" spans="1:24">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row>
    <row r="240" spans="1:24">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row>
    <row r="241" spans="1:24">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row>
    <row r="242" spans="1:24">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row>
    <row r="243" spans="1:24">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row>
    <row r="244" spans="1:2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row>
    <row r="245" spans="1:24">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row>
    <row r="246" spans="1:24">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row>
    <row r="247" spans="1:24">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row>
    <row r="248" spans="1:24">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row>
    <row r="249" spans="1:24">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row>
    <row r="250" spans="1:24">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row>
    <row r="251" spans="1:24">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row>
    <row r="252" spans="1:24">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row>
    <row r="253" spans="1:24">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row>
    <row r="254" spans="1:2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row>
    <row r="255" spans="1:24">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row>
    <row r="256" spans="1:24">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row>
    <row r="257" spans="1:24">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row>
    <row r="258" spans="1:24">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row>
    <row r="259" spans="1:24">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row>
    <row r="260" spans="1:24">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row>
    <row r="261" spans="1:24">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row>
    <row r="262" spans="1:24">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row>
    <row r="263" spans="1:24">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row>
    <row r="264" spans="1:2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row>
    <row r="265" spans="1:24">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row>
    <row r="266" spans="1:24">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row>
    <row r="267" spans="1:24">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row>
    <row r="268" spans="1:24">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row>
    <row r="269" spans="1:24">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row>
    <row r="270" spans="1:24">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row>
    <row r="271" spans="1:24">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row>
    <row r="272" spans="1:24">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row>
    <row r="273" spans="1:24">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row>
    <row r="274" spans="1:2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row>
    <row r="275" spans="1:24">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row>
    <row r="276" spans="1:24">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row>
    <row r="277" spans="1:24">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row>
    <row r="278" spans="1:24">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row>
    <row r="279" spans="1:24">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row>
    <row r="280" spans="1:24">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row>
    <row r="281" spans="1:24">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row>
    <row r="282" spans="1:24">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row>
    <row r="283" spans="1:24">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row>
    <row r="284" spans="1:2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row>
    <row r="285" spans="1:24">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row>
    <row r="286" spans="1:24">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row>
    <row r="287" spans="1:24">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row>
    <row r="288" spans="1:24">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row>
    <row r="289" spans="1:24">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row>
    <row r="290" spans="1:24">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row>
    <row r="291" spans="1:24">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row>
    <row r="292" spans="1:24">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row>
    <row r="293" spans="1:24">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row>
    <row r="294" spans="1:2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row>
    <row r="295" spans="1:24">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row>
    <row r="296" spans="1:24">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row>
    <row r="297" spans="1:24">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row>
    <row r="298" spans="1:24">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row>
    <row r="299" spans="1:24">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row>
    <row r="300" spans="1:24">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row>
    <row r="301" spans="1:24">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row>
    <row r="302" spans="1:24">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row>
    <row r="303" spans="1:24">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row>
    <row r="304" spans="1:2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row>
    <row r="305" spans="1:24">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row>
    <row r="306" spans="1:24">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row>
    <row r="307" spans="1:24">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row>
    <row r="308" spans="1:24">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row>
    <row r="309" spans="1:24">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row>
    <row r="310" spans="1:24">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row>
    <row r="311" spans="1:24">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row>
    <row r="312" spans="1:24">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row>
    <row r="313" spans="1:24">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row>
    <row r="314" spans="1:2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row>
    <row r="315" spans="1:24">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row>
    <row r="316" spans="1:24">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row>
    <row r="317" spans="1:24">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row>
    <row r="318" spans="1:24">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row>
    <row r="319" spans="1:24">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row>
    <row r="320" spans="1:24">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row>
    <row r="321" spans="1:24">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row>
    <row r="322" spans="1:24">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row>
    <row r="323" spans="1:24">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row>
    <row r="324" spans="1: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row>
    <row r="325" spans="1:24">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row>
    <row r="326" spans="1:24">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row>
    <row r="327" spans="1:24">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row>
    <row r="328" spans="1:24">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row>
    <row r="329" spans="1:24">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row>
    <row r="330" spans="1:24">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row>
    <row r="331" spans="1:24">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row>
    <row r="332" spans="1:24">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row>
    <row r="333" spans="1:24">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row>
    <row r="334" spans="1:2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row>
    <row r="335" spans="1:24">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row>
    <row r="336" spans="1:24">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row>
    <row r="337" spans="1:24">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row>
    <row r="338" spans="1:24">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row>
    <row r="339" spans="1:24">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row>
    <row r="340" spans="1:24">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row>
    <row r="341" spans="1:24">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row>
    <row r="342" spans="1:24">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row>
    <row r="343" spans="1:24">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row>
    <row r="344" spans="1:2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row>
    <row r="345" spans="1:24">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row>
    <row r="346" spans="1:24">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row>
    <row r="347" spans="1:24">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row>
    <row r="348" spans="1:24">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row>
    <row r="349" spans="1:24">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row>
    <row r="350" spans="1:24">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row>
    <row r="351" spans="1:24">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row>
    <row r="352" spans="1:24">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row>
    <row r="353" spans="1:24">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row>
    <row r="354" spans="1:2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row>
    <row r="355" spans="1:24">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row>
    <row r="356" spans="1:24">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row>
    <row r="357" spans="1:24">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row>
    <row r="358" spans="1:24">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row>
    <row r="359" spans="1:24">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row>
    <row r="360" spans="1:24">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row>
    <row r="361" spans="1:24">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row>
    <row r="362" spans="1:24">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row>
    <row r="363" spans="1:24">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row>
    <row r="364" spans="1:2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row>
    <row r="365" spans="1:24">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row>
    <row r="366" spans="1:24">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row>
    <row r="367" spans="1:24">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row>
    <row r="368" spans="1:24">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row>
    <row r="369" spans="1:24">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row>
    <row r="370" spans="1:24">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row>
    <row r="371" spans="1:24">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row>
    <row r="372" spans="1:24">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row>
    <row r="373" spans="1:24">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row>
    <row r="374" spans="1:2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row>
    <row r="375" spans="1:24">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row>
    <row r="376" spans="1:24">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row>
    <row r="377" spans="1:24">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row>
    <row r="378" spans="1:24">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row>
    <row r="379" spans="1:24">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row>
    <row r="380" spans="1:24">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row>
    <row r="381" spans="1:24">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row>
    <row r="382" spans="1:24">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row>
    <row r="383" spans="1:24">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row>
    <row r="384" spans="1:2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row>
    <row r="385" spans="1:24">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row>
    <row r="386" spans="1:24">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row>
    <row r="387" spans="1:24">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row>
    <row r="388" spans="1:24">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row>
    <row r="389" spans="1:24">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row>
    <row r="390" spans="1:24">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row>
    <row r="391" spans="1:24">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row>
    <row r="392" spans="1:24">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row>
    <row r="393" spans="1:24">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row>
    <row r="394" spans="1:2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row>
    <row r="395" spans="1:24">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row>
    <row r="396" spans="1:24">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row>
    <row r="397" spans="1:24">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row>
    <row r="398" spans="1:24">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row>
    <row r="399" spans="1:24">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row>
    <row r="400" spans="1:24">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row>
    <row r="401" spans="1:24">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row>
    <row r="402" spans="1:24">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row>
    <row r="403" spans="1:24">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row>
    <row r="404" spans="1:2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row>
    <row r="405" spans="1:24">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row>
    <row r="406" spans="1:24">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row>
    <row r="407" spans="1:24">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row>
    <row r="408" spans="1:24">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row>
    <row r="409" spans="1:24">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row>
    <row r="410" spans="1:24">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row>
    <row r="411" spans="1:24">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row>
    <row r="412" spans="1:24">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row>
    <row r="413" spans="1:24">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row>
    <row r="414" spans="1:2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row>
    <row r="415" spans="1:24">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row>
    <row r="416" spans="1:24">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row>
    <row r="417" spans="1:24">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row>
    <row r="418" spans="1:24">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row>
    <row r="419" spans="1:24">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row>
    <row r="420" spans="1:24">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row>
    <row r="421" spans="1:24">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row>
    <row r="422" spans="1:24">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row>
    <row r="423" spans="1:24">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row>
    <row r="424" spans="1: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row>
    <row r="425" spans="1:24">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row>
    <row r="426" spans="1:24">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row>
    <row r="427" spans="1:24">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row>
    <row r="428" spans="1:24">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row>
    <row r="429" spans="1:24">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row>
    <row r="430" spans="1:24">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row>
    <row r="431" spans="1:24">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row>
    <row r="432" spans="1:24">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row>
    <row r="433" spans="1:24">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row>
    <row r="434" spans="1:2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row>
    <row r="435" spans="1:24">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row>
    <row r="436" spans="1:24">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row>
    <row r="437" spans="1:24">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row>
    <row r="438" spans="1:24">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row>
    <row r="439" spans="1:24">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row>
    <row r="440" spans="1:24">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row>
    <row r="441" spans="1:24">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row>
    <row r="442" spans="1:24">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row>
    <row r="443" spans="1:24">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row>
    <row r="444" spans="1:2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row>
    <row r="445" spans="1:24">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row>
    <row r="446" spans="1:24">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row>
    <row r="447" spans="1:24">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row>
    <row r="448" spans="1:24">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row>
    <row r="449" spans="1:24">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row>
    <row r="450" spans="1:24">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row>
    <row r="451" spans="1:24">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row>
    <row r="452" spans="1:24">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row>
    <row r="453" spans="1:24">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row>
    <row r="454" spans="1:2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row>
    <row r="455" spans="1:24">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row>
    <row r="456" spans="1:24">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row>
    <row r="457" spans="1:24">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row>
    <row r="458" spans="1:24">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row>
    <row r="459" spans="1:24">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row>
    <row r="460" spans="1:24">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row>
    <row r="461" spans="1:24">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row>
    <row r="462" spans="1:24">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row>
    <row r="463" spans="1:24">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row>
    <row r="464" spans="1:2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row>
    <row r="465" spans="1:24">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row>
    <row r="466" spans="1:24">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row>
    <row r="467" spans="1:24">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row>
    <row r="468" spans="1:24">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row>
    <row r="469" spans="1:24">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row>
    <row r="470" spans="1:24">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row>
    <row r="471" spans="1:24">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row>
    <row r="472" spans="1:24">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row>
    <row r="473" spans="1:24">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row>
    <row r="474" spans="1:2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row>
    <row r="475" spans="1:24">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row>
    <row r="476" spans="1:24">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row>
    <row r="477" spans="1:24">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row>
    <row r="478" spans="1:24">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row>
    <row r="479" spans="1:24">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row>
    <row r="480" spans="1:24">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row>
    <row r="481" spans="1:24">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row>
    <row r="482" spans="1:24">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row>
    <row r="483" spans="1:24">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row>
    <row r="484" spans="1:2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row>
    <row r="485" spans="1:24">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row>
    <row r="486" spans="1:24">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row>
    <row r="487" spans="1:24">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row>
    <row r="488" spans="1:24">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row>
    <row r="489" spans="1:24">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row>
    <row r="490" spans="1:24">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row>
    <row r="491" spans="1:24">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row>
    <row r="492" spans="1:24">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row>
    <row r="493" spans="1:24">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row>
    <row r="494" spans="1:2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row>
    <row r="495" spans="1:24">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row>
    <row r="496" spans="1:24">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row>
    <row r="497" spans="1:24">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row>
    <row r="498" spans="1:24">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row>
    <row r="499" spans="1:24">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row>
    <row r="500" spans="1:24">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row>
    <row r="501" spans="1:24">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row>
    <row r="502" spans="1:24">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row>
    <row r="503" spans="1:24">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row>
    <row r="504" spans="1:2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row>
    <row r="505" spans="1:24">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row>
    <row r="506" spans="1:24">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row>
    <row r="507" spans="1:24">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row>
    <row r="508" spans="1:24">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row>
    <row r="509" spans="1:24">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row>
    <row r="510" spans="1:24">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row>
    <row r="511" spans="1:24">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row>
    <row r="512" spans="1:24">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row>
    <row r="513" spans="1:24">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row>
    <row r="514" spans="1:2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row>
    <row r="515" spans="1:24">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row>
    <row r="516" spans="1:24">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row>
    <row r="517" spans="1:24">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row>
    <row r="518" spans="1:24">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row>
    <row r="519" spans="1:24">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row>
    <row r="520" spans="1:24">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row>
    <row r="521" spans="1:24">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row>
    <row r="522" spans="1:24">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row>
    <row r="523" spans="1:24">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row>
    <row r="524" spans="1: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row>
    <row r="525" spans="1:24">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row>
    <row r="526" spans="1:24">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row>
    <row r="527" spans="1:24">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row>
    <row r="528" spans="1:24">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row>
    <row r="529" spans="1:24">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row>
    <row r="530" spans="1:24">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row>
    <row r="531" spans="1:24">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row>
    <row r="532" spans="1:24">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row>
    <row r="533" spans="1:24">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row>
    <row r="534" spans="1:2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row>
    <row r="535" spans="1:24">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row>
    <row r="536" spans="1:24">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row>
    <row r="537" spans="1:24">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row>
    <row r="538" spans="1:24">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row>
    <row r="539" spans="1:24">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row>
    <row r="540" spans="1:24">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row>
    <row r="541" spans="1:24">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row>
    <row r="542" spans="1:24">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row>
    <row r="543" spans="1:24">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row>
    <row r="544" spans="1:2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row>
    <row r="545" spans="1:24">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row>
    <row r="546" spans="1:24">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row>
    <row r="547" spans="1:24">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row>
    <row r="548" spans="1:24">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row>
    <row r="549" spans="1:24">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row>
    <row r="550" spans="1:24">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row>
    <row r="551" spans="1:24">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row>
    <row r="552" spans="1:24">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row>
    <row r="553" spans="1:24">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row>
    <row r="554" spans="1:2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row>
    <row r="555" spans="1:24">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row>
    <row r="556" spans="1:24">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row>
    <row r="557" spans="1:24">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row>
    <row r="558" spans="1:24">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row>
    <row r="559" spans="1:24">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row>
    <row r="560" spans="1:24">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row>
    <row r="561" spans="1:24">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row>
    <row r="562" spans="1:24">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row>
    <row r="563" spans="1:24">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row>
    <row r="564" spans="1:2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row>
    <row r="565" spans="1:24">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row>
    <row r="566" spans="1:24">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row>
    <row r="567" spans="1:24">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row>
    <row r="568" spans="1:24">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row>
    <row r="569" spans="1:24">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row>
    <row r="570" spans="1:24">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row>
    <row r="571" spans="1:24">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row>
    <row r="572" spans="1:24">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row>
    <row r="573" spans="1:24">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row>
    <row r="574" spans="1:2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row>
    <row r="575" spans="1:24">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row>
    <row r="576" spans="1:24">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row>
    <row r="577" spans="1:24">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row>
    <row r="578" spans="1:24">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row>
    <row r="579" spans="1:24">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row>
    <row r="580" spans="1:24">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row>
    <row r="581" spans="1:24">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row>
    <row r="582" spans="1:24">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row>
    <row r="583" spans="1:24">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row>
    <row r="584" spans="1:2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row>
    <row r="585" spans="1:24">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row>
    <row r="586" spans="1:24">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row>
    <row r="587" spans="1:24">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row>
    <row r="588" spans="1:24">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row>
    <row r="589" spans="1:24">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row>
    <row r="590" spans="1:24">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row>
    <row r="591" spans="1:24">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row>
    <row r="592" spans="1:24">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row>
    <row r="593" spans="1:24">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row>
    <row r="594" spans="1:2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row>
    <row r="595" spans="1:24">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row>
    <row r="596" spans="1:24">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row>
    <row r="597" spans="1:24">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row>
    <row r="598" spans="1:24">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row>
    <row r="599" spans="1:24">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row>
    <row r="600" spans="1:24">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row>
    <row r="601" spans="1:24">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row>
    <row r="602" spans="1:24">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row>
    <row r="603" spans="1:24">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row>
    <row r="604" spans="1:2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row>
    <row r="605" spans="1:24">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row>
    <row r="606" spans="1:24">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row>
    <row r="607" spans="1:24">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row>
    <row r="608" spans="1:24">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row>
    <row r="609" spans="1:24">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row>
    <row r="610" spans="1:24">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row>
    <row r="611" spans="1:24">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row>
    <row r="612" spans="1:24">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row>
    <row r="613" spans="1:24">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row>
    <row r="614" spans="1:2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row>
    <row r="615" spans="1:24">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row>
    <row r="616" spans="1:24">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row>
    <row r="617" spans="1:24">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row>
    <row r="618" spans="1:24">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row>
    <row r="619" spans="1:24">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row>
    <row r="620" spans="1:24">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row>
    <row r="621" spans="1:24">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row>
    <row r="622" spans="1:24">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row>
    <row r="623" spans="1:24">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row>
    <row r="624" spans="1: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row>
    <row r="625" spans="1:24">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row>
    <row r="626" spans="1:24">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row>
    <row r="627" spans="1:24">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row>
    <row r="628" spans="1:24">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row>
    <row r="629" spans="1:24">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row>
    <row r="630" spans="1:24">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row>
    <row r="631" spans="1:24">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row>
    <row r="632" spans="1:24">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row>
    <row r="633" spans="1:24">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row>
    <row r="634" spans="1:2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row>
    <row r="635" spans="1:24">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row>
    <row r="636" spans="1:24">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row>
    <row r="637" spans="1:24">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row>
    <row r="638" spans="1:24">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row>
    <row r="639" spans="1:24">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row>
    <row r="640" spans="1:24">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row>
    <row r="641" spans="1:24">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row>
    <row r="642" spans="1:24">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row>
    <row r="643" spans="1:24">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row>
    <row r="644" spans="1:2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row>
    <row r="645" spans="1:24">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row>
    <row r="646" spans="1:24">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row>
    <row r="647" spans="1:24">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row>
    <row r="648" spans="1:24">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row>
    <row r="649" spans="1:24">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row>
    <row r="650" spans="1:24">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row>
    <row r="651" spans="1:24">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row>
    <row r="652" spans="1:24">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row>
    <row r="653" spans="1:24">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row>
    <row r="654" spans="1:2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row>
    <row r="655" spans="1:24">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row>
    <row r="656" spans="1:24">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row>
    <row r="657" spans="1:24">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row>
    <row r="658" spans="1:24">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row>
    <row r="659" spans="1:24">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row>
    <row r="660" spans="1:24">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row>
    <row r="661" spans="1:24">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row>
    <row r="662" spans="1:24">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row>
    <row r="663" spans="1:24">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row>
    <row r="664" spans="1:2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row>
    <row r="665" spans="1:24">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row>
    <row r="666" spans="1:24">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row>
    <row r="667" spans="1:24">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row>
    <row r="668" spans="1:24">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row>
    <row r="669" spans="1:24">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row>
    <row r="670" spans="1:24">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row>
    <row r="671" spans="1:24">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row>
    <row r="672" spans="1:24">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row>
    <row r="673" spans="1:24">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row>
    <row r="674" spans="1:2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row>
    <row r="675" spans="1:24">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row>
    <row r="676" spans="1:24">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row>
    <row r="677" spans="1:24">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row>
    <row r="678" spans="1:24">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row>
    <row r="679" spans="1:24">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row>
    <row r="680" spans="1:24">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row>
    <row r="681" spans="1:24">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row>
    <row r="682" spans="1:24">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row>
    <row r="683" spans="1:24">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row>
    <row r="684" spans="1:2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row>
    <row r="685" spans="1:24">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row>
    <row r="686" spans="1:24">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row>
    <row r="687" spans="1:24">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row>
    <row r="688" spans="1:24">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row>
    <row r="689" spans="1:24">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row>
    <row r="690" spans="1:24">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row>
    <row r="691" spans="1:24">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row>
    <row r="692" spans="1:24">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row>
    <row r="693" spans="1:24">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row>
    <row r="694" spans="1:2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row>
    <row r="695" spans="1:24">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row>
    <row r="696" spans="1:24">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row>
    <row r="697" spans="1:24">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row>
    <row r="698" spans="1:24">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row>
    <row r="699" spans="1:24">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row>
    <row r="700" spans="1:24">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row>
    <row r="701" spans="1:24">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row>
    <row r="702" spans="1:24">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row>
    <row r="703" spans="1:24">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row>
    <row r="704" spans="1:2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row>
    <row r="705" spans="1:24">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row>
    <row r="706" spans="1:24">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row>
    <row r="707" spans="1:24">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row>
    <row r="708" spans="1:24">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row>
    <row r="709" spans="1:24">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row>
    <row r="710" spans="1:24">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row>
    <row r="711" spans="1:24">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row>
    <row r="712" spans="1:24">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row>
    <row r="713" spans="1:24">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row>
    <row r="714" spans="1:2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row>
    <row r="715" spans="1:24">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row>
    <row r="716" spans="1:24">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row>
    <row r="717" spans="1:24">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row>
    <row r="718" spans="1:24">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row>
    <row r="719" spans="1:24">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row>
    <row r="720" spans="1:24">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row>
    <row r="721" spans="1:24">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row>
    <row r="722" spans="1:24">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row>
    <row r="723" spans="1:24">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row>
    <row r="724" spans="1: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row>
    <row r="725" spans="1:24">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row>
    <row r="726" spans="1:24">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row>
    <row r="727" spans="1:24">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row>
    <row r="728" spans="1:24">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row>
    <row r="729" spans="1:24">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row>
    <row r="730" spans="1:24">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row>
    <row r="731" spans="1:24">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row>
    <row r="732" spans="1:24">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row>
    <row r="733" spans="1:24">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row>
    <row r="734" spans="1:2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row>
    <row r="735" spans="1:24">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row>
    <row r="736" spans="1:24">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row>
    <row r="737" spans="1:24">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row>
    <row r="738" spans="1:24">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row>
    <row r="739" spans="1:24">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row>
    <row r="740" spans="1:24">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row>
    <row r="741" spans="1:24">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row>
    <row r="742" spans="1:24">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row>
    <row r="743" spans="1:24">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row>
    <row r="744" spans="1:2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row>
    <row r="745" spans="1:24">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row>
    <row r="746" spans="1:24">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row>
    <row r="747" spans="1:24">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row>
    <row r="748" spans="1:24">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row>
    <row r="749" spans="1:24">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row>
    <row r="750" spans="1:24">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row>
    <row r="751" spans="1:24">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row>
    <row r="752" spans="1:24">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row>
    <row r="753" spans="1:24">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row>
    <row r="754" spans="1:2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row>
    <row r="755" spans="1:24">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row>
    <row r="756" spans="1:24">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row>
    <row r="757" spans="1:24">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row>
    <row r="758" spans="1:24">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row>
    <row r="759" spans="1:24">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row>
    <row r="760" spans="1:24">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row>
    <row r="761" spans="1:24">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row>
    <row r="762" spans="1:24">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row>
    <row r="763" spans="1:24">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row>
    <row r="764" spans="1:2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row>
    <row r="765" spans="1:24">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row>
    <row r="766" spans="1:24">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row>
    <row r="767" spans="1:24">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row>
    <row r="768" spans="1:24">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row>
    <row r="769" spans="1:24">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row>
    <row r="770" spans="1:24">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row>
    <row r="771" spans="1:24">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row>
    <row r="772" spans="1:24">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row>
    <row r="773" spans="1:24">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row>
    <row r="774" spans="1:2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row>
    <row r="775" spans="1:24">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row>
    <row r="776" spans="1:24">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row>
    <row r="777" spans="1:24">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row>
    <row r="778" spans="1:24">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row>
    <row r="779" spans="1:24">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row>
    <row r="780" spans="1:24">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row>
    <row r="781" spans="1:24">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row>
    <row r="782" spans="1:24">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row>
    <row r="783" spans="1:24">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row>
    <row r="784" spans="1:2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row>
    <row r="785" spans="1:24">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row>
    <row r="786" spans="1:24">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row>
    <row r="787" spans="1:24">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row>
    <row r="788" spans="1:24">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row>
    <row r="789" spans="1:24">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row>
    <row r="790" spans="1:24">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row>
    <row r="791" spans="1:24">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row>
    <row r="792" spans="1:24">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row>
    <row r="793" spans="1:24">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row>
    <row r="794" spans="1:2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row>
    <row r="795" spans="1:24">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row>
    <row r="796" spans="1:24">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row>
    <row r="797" spans="1:24">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row>
    <row r="798" spans="1:24">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row>
    <row r="799" spans="1:24">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row>
    <row r="800" spans="1:24">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row>
    <row r="801" spans="1:24">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row>
    <row r="802" spans="1:24">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row>
    <row r="803" spans="1:24">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row>
    <row r="804" spans="1:2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row>
    <row r="805" spans="1:24">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row>
    <row r="806" spans="1:24">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row>
    <row r="807" spans="1:24">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row>
    <row r="808" spans="1:24">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row>
    <row r="809" spans="1:24">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row>
    <row r="810" spans="1:24">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row>
    <row r="811" spans="1:24">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row>
    <row r="812" spans="1:24">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row>
    <row r="813" spans="1:24">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row>
    <row r="814" spans="1:2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row>
    <row r="815" spans="1:24">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row>
    <row r="816" spans="1:24">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row>
    <row r="817" spans="1:24">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row>
    <row r="818" spans="1:24">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row>
    <row r="819" spans="1:24">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row>
    <row r="820" spans="1:24">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row>
    <row r="821" spans="1:24">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row>
    <row r="822" spans="1:24">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row>
    <row r="823" spans="1:24">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row>
    <row r="824" spans="1: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row>
    <row r="825" spans="1:24">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row>
    <row r="826" spans="1:24">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row>
    <row r="827" spans="1:24">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row>
    <row r="828" spans="1:24">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row>
    <row r="829" spans="1:24">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row>
    <row r="830" spans="1:24">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row>
    <row r="831" spans="1:24">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row>
    <row r="832" spans="1:24">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row>
    <row r="833" spans="1:24">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row>
    <row r="834" spans="1:2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row>
    <row r="835" spans="1:24">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row>
    <row r="836" spans="1:24">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row>
    <row r="837" spans="1:24">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row>
    <row r="838" spans="1:24">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row>
    <row r="839" spans="1:24">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row>
    <row r="840" spans="1:24">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row>
    <row r="841" spans="1:24">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row>
    <row r="842" spans="1:24">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row>
    <row r="843" spans="1:24">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row>
    <row r="844" spans="1:2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row>
    <row r="845" spans="1:24">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row>
    <row r="846" spans="1:24">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row>
    <row r="847" spans="1:24">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row>
    <row r="848" spans="1:24">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row>
    <row r="849" spans="1:24">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row>
    <row r="850" spans="1:24">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row>
    <row r="851" spans="1:24">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row>
    <row r="852" spans="1:24">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row>
    <row r="853" spans="1:24">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row>
    <row r="854" spans="1:2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row>
    <row r="855" spans="1:24">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row>
    <row r="856" spans="1:24">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row>
    <row r="857" spans="1:24">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row>
    <row r="858" spans="1:24">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row>
    <row r="859" spans="1:24">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row>
    <row r="860" spans="1:24">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row>
    <row r="861" spans="1:24">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row>
    <row r="862" spans="1:24">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row>
    <row r="863" spans="1:24">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row>
    <row r="864" spans="1:2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row>
    <row r="865" spans="1:24">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row>
    <row r="866" spans="1:24">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row>
    <row r="867" spans="1:24">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row>
    <row r="868" spans="1:24">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row>
    <row r="869" spans="1:24">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row>
    <row r="870" spans="1:24">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row>
    <row r="871" spans="1:24">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row>
    <row r="872" spans="1:24">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row>
    <row r="873" spans="1:24">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row>
    <row r="874" spans="1:2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row>
    <row r="875" spans="1:24">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row>
    <row r="876" spans="1:24">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row>
    <row r="877" spans="1:24">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row>
    <row r="878" spans="1:24">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row>
    <row r="879" spans="1:24">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row>
    <row r="880" spans="1:24">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row>
    <row r="881" spans="1:24">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row>
    <row r="882" spans="1:24">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row>
    <row r="883" spans="1:24">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row>
    <row r="884" spans="1:2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row>
    <row r="885" spans="1:24">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row>
    <row r="886" spans="1:24">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row>
    <row r="887" spans="1:24">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row>
    <row r="888" spans="1:24">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row>
    <row r="889" spans="1:24">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row>
    <row r="890" spans="1:24">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row>
    <row r="891" spans="1:24">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row>
    <row r="892" spans="1:24">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row>
    <row r="893" spans="1:24">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row>
    <row r="894" spans="1:2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row>
    <row r="895" spans="1:24">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row>
    <row r="896" spans="1:24">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row>
    <row r="897" spans="1:24">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row>
    <row r="898" spans="1:24">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row>
    <row r="899" spans="1:24">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row>
    <row r="900" spans="1:24">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row>
    <row r="901" spans="1:24">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row>
    <row r="902" spans="1:24">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row>
    <row r="903" spans="1:24">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row>
    <row r="904" spans="1:2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row>
    <row r="905" spans="1:24">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row>
    <row r="906" spans="1:24">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row>
    <row r="907" spans="1:24">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row>
    <row r="908" spans="1:24">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row>
    <row r="909" spans="1:24">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row>
    <row r="910" spans="1:24">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row>
    <row r="911" spans="1:24">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row>
    <row r="912" spans="1:24">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row>
    <row r="913" spans="1:24">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row>
    <row r="914" spans="1:2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row>
    <row r="915" spans="1:24">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row>
    <row r="916" spans="1:24">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row>
    <row r="917" spans="1:24">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row>
    <row r="918" spans="1:24">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row>
    <row r="919" spans="1:24">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row>
    <row r="920" spans="1:24">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row>
    <row r="921" spans="1:24">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row>
    <row r="922" spans="1:24">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row>
    <row r="923" spans="1:24">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row>
    <row r="924" spans="1: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row>
    <row r="925" spans="1:24">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row>
    <row r="926" spans="1:24">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row>
    <row r="927" spans="1:24">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row>
    <row r="928" spans="1:24">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row>
    <row r="929" spans="1:24">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row>
    <row r="930" spans="1:24">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row>
    <row r="931" spans="1:24">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row>
    <row r="932" spans="1:24">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row>
    <row r="933" spans="1:24">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row>
    <row r="934" spans="1:2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row>
    <row r="935" spans="1:24">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row>
    <row r="936" spans="1:24">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row>
    <row r="937" spans="1:24">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row>
    <row r="938" spans="1:24">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row>
    <row r="939" spans="1:24">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row>
    <row r="940" spans="1:24">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row>
    <row r="941" spans="1:24">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row>
    <row r="942" spans="1:24">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row>
    <row r="943" spans="1:24">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row>
    <row r="944" spans="1:2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row>
    <row r="945" spans="1:24">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row>
    <row r="946" spans="1:24">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row>
    <row r="947" spans="1:24">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row>
    <row r="948" spans="1:24">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row>
    <row r="949" spans="1:24">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row>
    <row r="950" spans="1:24">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row>
    <row r="951" spans="1:24">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row>
    <row r="952" spans="1:24">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row>
    <row r="953" spans="1:24">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row>
    <row r="954" spans="1:2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row>
    <row r="955" spans="1:24">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row>
    <row r="956" spans="1:24">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row>
    <row r="957" spans="1:24">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row>
    <row r="958" spans="1:24">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row>
    <row r="959" spans="1:24">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row>
    <row r="960" spans="1:24">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row>
    <row r="961" spans="1:24">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row>
    <row r="962" spans="1:24">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row>
    <row r="963" spans="1:24">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row>
    <row r="964" spans="1:2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row>
    <row r="965" spans="1:24">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row>
    <row r="966" spans="1:24">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row>
    <row r="967" spans="1:24">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row>
    <row r="968" spans="1:24">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row>
    <row r="969" spans="1:24">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row>
    <row r="970" spans="1:24">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row>
    <row r="971" spans="1:24">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row>
    <row r="972" spans="1:24">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row>
    <row r="973" spans="1:24">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row>
    <row r="974" spans="1:2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row>
    <row r="975" spans="1:24">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row>
    <row r="976" spans="1:24">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row>
    <row r="977" spans="1:24">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row>
    <row r="978" spans="1:24">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row>
    <row r="979" spans="1:24">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row>
    <row r="980" spans="1:24">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row>
    <row r="981" spans="1:24">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row>
    <row r="982" spans="1:24">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row>
    <row r="983" spans="1:24">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row>
    <row r="984" spans="1:2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row>
    <row r="985" spans="1:24">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row>
    <row r="986" spans="1:24">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row>
    <row r="987" spans="1:24">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row>
    <row r="988" spans="1:24">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row>
    <row r="989" spans="1:24">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row>
    <row r="990" spans="1:24">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row>
    <row r="991" spans="1:24">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row>
    <row r="992" spans="1:24">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row>
    <row r="993" spans="1:24">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row>
    <row r="994" spans="1:2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row>
    <row r="995" spans="1:24">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row>
    <row r="996" spans="1:24">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row>
    <row r="997" spans="1:24">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row>
    <row r="998" spans="1:24">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row>
    <row r="999" spans="1:24">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row>
  </sheetData>
  <mergeCells count="4">
    <mergeCell ref="A2:A3"/>
    <mergeCell ref="B2:F3"/>
    <mergeCell ref="G2:K3"/>
    <mergeCell ref="B23:K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5"/>
  <sheetViews>
    <sheetView workbookViewId="0">
      <pane ySplit="1" topLeftCell="A2" activePane="bottomLeft" state="frozen"/>
      <selection pane="bottomLeft" activeCell="G5" sqref="G5"/>
    </sheetView>
  </sheetViews>
  <sheetFormatPr defaultColWidth="11.19921875" defaultRowHeight="15" customHeight="1"/>
  <cols>
    <col min="1" max="1" width="38.09765625" bestFit="1" customWidth="1"/>
    <col min="2" max="2" width="11.69921875" customWidth="1"/>
    <col min="3" max="3" width="7.09765625" customWidth="1"/>
  </cols>
  <sheetData>
    <row r="1" spans="1:26" ht="15.6">
      <c r="A1" s="53"/>
      <c r="B1" s="54" t="s">
        <v>105</v>
      </c>
      <c r="C1" s="54" t="s">
        <v>106</v>
      </c>
      <c r="D1" s="54" t="s">
        <v>107</v>
      </c>
      <c r="E1" s="54" t="s">
        <v>108</v>
      </c>
      <c r="F1" s="54" t="s">
        <v>109</v>
      </c>
      <c r="G1" s="54" t="s">
        <v>64</v>
      </c>
      <c r="H1" s="54" t="s">
        <v>65</v>
      </c>
      <c r="I1" s="54" t="s">
        <v>66</v>
      </c>
      <c r="J1" s="54" t="s">
        <v>67</v>
      </c>
      <c r="K1" s="54" t="s">
        <v>68</v>
      </c>
      <c r="L1" s="6"/>
      <c r="M1" s="6"/>
      <c r="N1" s="6"/>
      <c r="O1" s="6"/>
      <c r="P1" s="6"/>
      <c r="Q1" s="6"/>
      <c r="R1" s="6"/>
      <c r="S1" s="6"/>
      <c r="T1" s="6"/>
      <c r="U1" s="6"/>
      <c r="V1" s="6"/>
      <c r="W1" s="6"/>
      <c r="X1" s="6"/>
      <c r="Y1" s="6"/>
      <c r="Z1" s="6"/>
    </row>
    <row r="2" spans="1:26" ht="15.6">
      <c r="A2" s="782" t="s">
        <v>672</v>
      </c>
      <c r="B2" s="769" t="s">
        <v>70</v>
      </c>
      <c r="C2" s="770"/>
      <c r="D2" s="770"/>
      <c r="E2" s="770"/>
      <c r="F2" s="771"/>
      <c r="G2" s="775" t="s">
        <v>71</v>
      </c>
      <c r="H2" s="770"/>
      <c r="I2" s="770"/>
      <c r="J2" s="770"/>
      <c r="K2" s="776"/>
      <c r="L2" s="15"/>
      <c r="M2" s="6"/>
      <c r="N2" s="6"/>
      <c r="O2" s="6"/>
      <c r="P2" s="6"/>
      <c r="Q2" s="6"/>
      <c r="R2" s="6"/>
      <c r="S2" s="6"/>
      <c r="T2" s="6"/>
      <c r="U2" s="6"/>
      <c r="V2" s="6"/>
      <c r="W2" s="6"/>
      <c r="X2" s="6"/>
      <c r="Y2" s="6"/>
      <c r="Z2" s="6"/>
    </row>
    <row r="3" spans="1:26" ht="15.6">
      <c r="A3" s="772"/>
      <c r="B3" s="772"/>
      <c r="C3" s="773"/>
      <c r="D3" s="773"/>
      <c r="E3" s="773"/>
      <c r="F3" s="774"/>
      <c r="G3" s="777"/>
      <c r="H3" s="773"/>
      <c r="I3" s="773"/>
      <c r="J3" s="773"/>
      <c r="K3" s="778"/>
      <c r="L3" s="15"/>
      <c r="M3" s="6"/>
      <c r="N3" s="6"/>
      <c r="O3" s="6"/>
      <c r="P3" s="6"/>
      <c r="Q3" s="6"/>
      <c r="R3" s="6"/>
      <c r="S3" s="6"/>
      <c r="T3" s="6"/>
      <c r="U3" s="6"/>
      <c r="V3" s="6"/>
      <c r="W3" s="6"/>
      <c r="X3" s="6"/>
      <c r="Y3" s="6"/>
      <c r="Z3" s="6"/>
    </row>
    <row r="4" spans="1:26" ht="15.6">
      <c r="A4" s="55" t="s">
        <v>111</v>
      </c>
      <c r="B4" s="17">
        <f>'INPUT-Y'!F65</f>
        <v>1551.7</v>
      </c>
      <c r="C4" s="18">
        <f>'INPUT-Y'!G65</f>
        <v>1658.6</v>
      </c>
      <c r="D4" s="18">
        <f>'INPUT-Y'!H65</f>
        <v>4360.6000000000004</v>
      </c>
      <c r="E4" s="18">
        <f>'INPUT-Y'!I65</f>
        <v>6763.2</v>
      </c>
      <c r="F4" s="19">
        <f>'INPUT-Y'!J65</f>
        <v>7773.1</v>
      </c>
      <c r="G4" s="20">
        <f t="shared" ref="G4:K4" si="0">SUM(G5:G15)</f>
        <v>16014.355664341356</v>
      </c>
      <c r="H4" s="20">
        <f t="shared" si="0"/>
        <v>18523.997544726535</v>
      </c>
      <c r="I4" s="20">
        <f t="shared" si="0"/>
        <v>18079.06988648741</v>
      </c>
      <c r="J4" s="20">
        <f t="shared" si="0"/>
        <v>17686.418259909482</v>
      </c>
      <c r="K4" s="21">
        <f t="shared" si="0"/>
        <v>16776.880820639275</v>
      </c>
      <c r="L4" s="56"/>
      <c r="M4" s="57"/>
      <c r="N4" s="57"/>
      <c r="O4" s="57"/>
      <c r="P4" s="57"/>
      <c r="Q4" s="57"/>
      <c r="R4" s="57"/>
      <c r="S4" s="58"/>
      <c r="T4" s="58"/>
      <c r="U4" s="58"/>
      <c r="V4" s="58"/>
      <c r="W4" s="58"/>
      <c r="X4" s="58"/>
      <c r="Y4" s="58"/>
      <c r="Z4" s="58"/>
    </row>
    <row r="5" spans="1:26" ht="15.6">
      <c r="A5" s="716" t="s">
        <v>112</v>
      </c>
      <c r="B5" s="24">
        <f>'INPUT-Y'!F3</f>
        <v>68</v>
      </c>
      <c r="C5" s="25">
        <f>'INPUT-Y'!G3</f>
        <v>223</v>
      </c>
      <c r="D5" s="25">
        <f>'INPUT-Y'!H3</f>
        <v>609.4</v>
      </c>
      <c r="E5" s="25">
        <f>'INPUT-Y'!I3</f>
        <v>105.4</v>
      </c>
      <c r="F5" s="26">
        <f>'INPUT-Y'!J3</f>
        <v>135.4</v>
      </c>
      <c r="G5" s="27">
        <f>CF!G44</f>
        <v>624.61339539299058</v>
      </c>
      <c r="H5" s="27">
        <f>CF!H44</f>
        <v>36.557808915044461</v>
      </c>
      <c r="I5" s="27">
        <f>CF!I44</f>
        <v>46.163366555504354</v>
      </c>
      <c r="J5" s="27">
        <f>CF!J44</f>
        <v>154.57384875949163</v>
      </c>
      <c r="K5" s="28">
        <f>CF!K44</f>
        <v>359.25194218023478</v>
      </c>
      <c r="L5" s="56"/>
      <c r="M5" s="57"/>
      <c r="N5" s="57"/>
      <c r="O5" s="57"/>
      <c r="P5" s="57"/>
      <c r="Q5" s="57"/>
      <c r="R5" s="57"/>
      <c r="S5" s="6"/>
      <c r="T5" s="6"/>
      <c r="U5" s="6"/>
      <c r="V5" s="6"/>
      <c r="W5" s="6"/>
      <c r="X5" s="6"/>
      <c r="Y5" s="6"/>
      <c r="Z5" s="6"/>
    </row>
    <row r="6" spans="1:26" ht="15.6">
      <c r="A6" s="23" t="s">
        <v>113</v>
      </c>
      <c r="B6" s="24">
        <f>'INPUT-Y'!F6</f>
        <v>0</v>
      </c>
      <c r="C6" s="25">
        <f>'INPUT-Y'!G6</f>
        <v>8.1999999999999993</v>
      </c>
      <c r="D6" s="25">
        <f>'INPUT-Y'!H6</f>
        <v>252</v>
      </c>
      <c r="E6" s="25">
        <f>'INPUT-Y'!I6</f>
        <v>12</v>
      </c>
      <c r="F6" s="26">
        <f>'INPUT-Y'!J6</f>
        <v>0</v>
      </c>
      <c r="G6" s="27">
        <f t="shared" ref="G6:K6" si="1">F6</f>
        <v>0</v>
      </c>
      <c r="H6" s="27">
        <f t="shared" si="1"/>
        <v>0</v>
      </c>
      <c r="I6" s="27">
        <f t="shared" si="1"/>
        <v>0</v>
      </c>
      <c r="J6" s="27">
        <f t="shared" si="1"/>
        <v>0</v>
      </c>
      <c r="K6" s="28">
        <f t="shared" si="1"/>
        <v>0</v>
      </c>
      <c r="L6" s="56"/>
      <c r="M6" s="57"/>
      <c r="N6" s="57"/>
      <c r="O6" s="57"/>
      <c r="P6" s="57"/>
      <c r="Q6" s="57"/>
      <c r="R6" s="57"/>
      <c r="S6" s="6"/>
      <c r="T6" s="6"/>
      <c r="U6" s="6"/>
      <c r="V6" s="6"/>
      <c r="W6" s="6"/>
      <c r="X6" s="6"/>
      <c r="Y6" s="6"/>
      <c r="Z6" s="6"/>
    </row>
    <row r="7" spans="1:26" ht="15.6">
      <c r="A7" s="23" t="s">
        <v>114</v>
      </c>
      <c r="B7" s="24">
        <f>'INPUT-Y'!F10</f>
        <v>257</v>
      </c>
      <c r="C7" s="25">
        <f>'INPUT-Y'!G10</f>
        <v>227.4</v>
      </c>
      <c r="D7" s="25">
        <f>'INPUT-Y'!H10</f>
        <v>245.5</v>
      </c>
      <c r="E7" s="25">
        <f>'INPUT-Y'!I10</f>
        <v>688.2</v>
      </c>
      <c r="F7" s="26">
        <f>'INPUT-Y'!J10</f>
        <v>1434.3</v>
      </c>
      <c r="G7" s="27">
        <f>G47*IS!G4</f>
        <v>957.15038474406151</v>
      </c>
      <c r="H7" s="27">
        <f>H47*IS!H4</f>
        <v>1941.3500167280024</v>
      </c>
      <c r="I7" s="27">
        <f>I47*IS!I4</f>
        <v>1839.3805955168948</v>
      </c>
      <c r="J7" s="27">
        <f>J47*IS!J4</f>
        <v>1677.7311140849777</v>
      </c>
      <c r="K7" s="28">
        <f>K47*IS!K4</f>
        <v>1517.8821512211437</v>
      </c>
      <c r="L7" s="56"/>
      <c r="M7" s="57"/>
      <c r="N7" s="57"/>
      <c r="O7" s="57"/>
      <c r="P7" s="57"/>
      <c r="Q7" s="57"/>
      <c r="R7" s="57"/>
      <c r="S7" s="6"/>
      <c r="T7" s="6"/>
      <c r="U7" s="6"/>
      <c r="V7" s="6"/>
      <c r="W7" s="6"/>
      <c r="X7" s="6"/>
      <c r="Y7" s="6"/>
      <c r="Z7" s="6"/>
    </row>
    <row r="8" spans="1:26" ht="15.6">
      <c r="A8" s="23" t="s">
        <v>115</v>
      </c>
      <c r="B8" s="24">
        <f>'INPUT-Y'!F19</f>
        <v>16.2</v>
      </c>
      <c r="C8" s="25">
        <f>'INPUT-Y'!G19</f>
        <v>26.2</v>
      </c>
      <c r="D8" s="25">
        <f>'INPUT-Y'!H19</f>
        <v>24.7</v>
      </c>
      <c r="E8" s="25">
        <f>'INPUT-Y'!I19</f>
        <v>314.3</v>
      </c>
      <c r="F8" s="26">
        <f>'INPUT-Y'!J19</f>
        <v>152</v>
      </c>
      <c r="G8" s="27">
        <f>-IS!G5*(G52)</f>
        <v>231.55151962097017</v>
      </c>
      <c r="H8" s="27">
        <f>-IS!H5*(H52)</f>
        <v>406.70972776404449</v>
      </c>
      <c r="I8" s="27">
        <f>-IS!I5*(I52)</f>
        <v>463.14039562450296</v>
      </c>
      <c r="J8" s="27">
        <f>-IS!J5*(J52)</f>
        <v>528.45203374277264</v>
      </c>
      <c r="K8" s="28">
        <f>-IS!K5*(K52)</f>
        <v>526.6111982715687</v>
      </c>
      <c r="L8" s="56"/>
      <c r="M8" s="6"/>
      <c r="N8" s="6"/>
      <c r="O8" s="6"/>
      <c r="P8" s="6"/>
      <c r="Q8" s="6"/>
      <c r="R8" s="57"/>
      <c r="S8" s="6"/>
      <c r="T8" s="6"/>
      <c r="U8" s="6"/>
      <c r="V8" s="6"/>
      <c r="W8" s="6"/>
      <c r="X8" s="6"/>
      <c r="Y8" s="6"/>
      <c r="Z8" s="6"/>
    </row>
    <row r="9" spans="1:26" ht="15.6">
      <c r="A9" s="23" t="s">
        <v>116</v>
      </c>
      <c r="B9" s="24">
        <f>'INPUT-Y'!F22</f>
        <v>0.7</v>
      </c>
      <c r="C9" s="25">
        <f>'INPUT-Y'!G22</f>
        <v>1.1000000000000001</v>
      </c>
      <c r="D9" s="25">
        <f>'INPUT-Y'!H22</f>
        <v>98.2</v>
      </c>
      <c r="E9" s="25">
        <f>'INPUT-Y'!I22</f>
        <v>70.5</v>
      </c>
      <c r="F9" s="26">
        <f>'INPUT-Y'!J22</f>
        <v>57.6</v>
      </c>
      <c r="G9" s="27">
        <f t="shared" ref="G9:K9" si="2">AVERAGE(D9:F9)</f>
        <v>75.433333333333323</v>
      </c>
      <c r="H9" s="27">
        <f t="shared" si="2"/>
        <v>67.844444444444434</v>
      </c>
      <c r="I9" s="27">
        <f t="shared" si="2"/>
        <v>66.959259259259255</v>
      </c>
      <c r="J9" s="27">
        <f t="shared" si="2"/>
        <v>70.079012345679004</v>
      </c>
      <c r="K9" s="28">
        <f t="shared" si="2"/>
        <v>68.29423868312756</v>
      </c>
      <c r="L9" s="56"/>
      <c r="M9" s="57"/>
      <c r="N9" s="57"/>
      <c r="O9" s="57"/>
      <c r="P9" s="57"/>
      <c r="Q9" s="57"/>
      <c r="R9" s="57"/>
      <c r="S9" s="6"/>
      <c r="T9" s="6"/>
      <c r="U9" s="6"/>
      <c r="V9" s="6"/>
      <c r="W9" s="6"/>
      <c r="X9" s="6"/>
      <c r="Y9" s="6"/>
      <c r="Z9" s="6"/>
    </row>
    <row r="10" spans="1:26" ht="15.6">
      <c r="A10" s="23" t="s">
        <v>117</v>
      </c>
      <c r="B10" s="24">
        <f>'INPUT-Y'!F38</f>
        <v>1163.7</v>
      </c>
      <c r="C10" s="25">
        <f>'INPUT-Y'!G38</f>
        <v>1107.4000000000001</v>
      </c>
      <c r="D10" s="25">
        <f>'INPUT-Y'!H38</f>
        <v>2871.2</v>
      </c>
      <c r="E10" s="25">
        <f>'INPUT-Y'!I38</f>
        <v>5239.7</v>
      </c>
      <c r="F10" s="26">
        <f>'INPUT-Y'!J38</f>
        <v>5330.2</v>
      </c>
      <c r="G10" s="27">
        <f>'PP&amp;E'!G8</f>
        <v>10111.450000000001</v>
      </c>
      <c r="H10" s="27">
        <f>'PP&amp;E'!H8</f>
        <v>14947.45</v>
      </c>
      <c r="I10" s="27">
        <f>'PP&amp;E'!I8</f>
        <v>13998.45</v>
      </c>
      <c r="J10" s="27">
        <f>'PP&amp;E'!J8</f>
        <v>13049.45</v>
      </c>
      <c r="K10" s="28">
        <f>'PP&amp;E'!K8</f>
        <v>12100.45</v>
      </c>
      <c r="L10" s="56"/>
      <c r="M10" s="57"/>
      <c r="N10" s="57"/>
      <c r="O10" s="57"/>
      <c r="P10" s="57"/>
      <c r="Q10" s="57"/>
      <c r="R10" s="57"/>
      <c r="S10" s="6"/>
      <c r="T10" s="6"/>
      <c r="U10" s="6"/>
      <c r="V10" s="6"/>
      <c r="W10" s="6"/>
      <c r="X10" s="6"/>
      <c r="Y10" s="6"/>
      <c r="Z10" s="6"/>
    </row>
    <row r="11" spans="1:26" ht="15.6">
      <c r="A11" s="23" t="s">
        <v>118</v>
      </c>
      <c r="B11" s="24">
        <f>'INPUT-Y'!F41</f>
        <v>0</v>
      </c>
      <c r="C11" s="25">
        <f>'INPUT-Y'!G41</f>
        <v>0</v>
      </c>
      <c r="D11" s="25">
        <f>'INPUT-Y'!H41</f>
        <v>0</v>
      </c>
      <c r="E11" s="25">
        <f>'INPUT-Y'!I41</f>
        <v>0</v>
      </c>
      <c r="F11" s="26">
        <f>'INPUT-Y'!J41</f>
        <v>27.8</v>
      </c>
      <c r="G11" s="27">
        <v>27.8</v>
      </c>
      <c r="H11" s="27">
        <v>27.8</v>
      </c>
      <c r="I11" s="27">
        <v>27.8</v>
      </c>
      <c r="J11" s="27">
        <v>27.8</v>
      </c>
      <c r="K11" s="28">
        <v>27.8</v>
      </c>
      <c r="L11" s="56"/>
      <c r="M11" s="57"/>
      <c r="N11" s="57"/>
      <c r="O11" s="57"/>
      <c r="P11" s="57"/>
      <c r="Q11" s="57"/>
      <c r="R11" s="57"/>
      <c r="S11" s="6"/>
      <c r="T11" s="6"/>
      <c r="U11" s="6"/>
      <c r="V11" s="6"/>
      <c r="W11" s="6"/>
      <c r="X11" s="6"/>
      <c r="Y11" s="6"/>
      <c r="Z11" s="6"/>
    </row>
    <row r="12" spans="1:26" ht="15.6">
      <c r="A12" s="59" t="s">
        <v>119</v>
      </c>
      <c r="B12" s="24">
        <f>'INPUT-Y'!F44</f>
        <v>5.6</v>
      </c>
      <c r="C12" s="25">
        <f>'INPUT-Y'!G44</f>
        <v>6.6</v>
      </c>
      <c r="D12" s="25">
        <f>'INPUT-Y'!H44</f>
        <v>6.4</v>
      </c>
      <c r="E12" s="25">
        <f>'INPUT-Y'!I44</f>
        <v>19.2</v>
      </c>
      <c r="F12" s="26">
        <f>'INPUT-Y'!J44</f>
        <v>16.7</v>
      </c>
      <c r="G12" s="27">
        <f>'PP&amp;E'!G44</f>
        <v>7.657031250000002</v>
      </c>
      <c r="H12" s="27">
        <f>'PP&amp;E'!H44</f>
        <v>10.085546875</v>
      </c>
      <c r="I12" s="27">
        <f>'PP&amp;E'!I44</f>
        <v>10.976269531250001</v>
      </c>
      <c r="J12" s="27">
        <f>'PP&amp;E'!J44</f>
        <v>12.132250976562501</v>
      </c>
      <c r="K12" s="28">
        <f>'PP&amp;E'!K44</f>
        <v>10.391290283203125</v>
      </c>
      <c r="L12" s="56"/>
      <c r="M12" s="57"/>
      <c r="N12" s="57"/>
      <c r="O12" s="57"/>
      <c r="P12" s="57"/>
      <c r="Q12" s="57"/>
      <c r="R12" s="57"/>
      <c r="S12" s="6"/>
      <c r="T12" s="6"/>
      <c r="U12" s="6"/>
      <c r="V12" s="6"/>
      <c r="W12" s="6"/>
      <c r="X12" s="6"/>
      <c r="Y12" s="6"/>
      <c r="Z12" s="6"/>
    </row>
    <row r="13" spans="1:26" ht="15.6">
      <c r="A13" s="23" t="s">
        <v>120</v>
      </c>
      <c r="B13" s="24">
        <f>'INPUT-Y'!F50</f>
        <v>5.6</v>
      </c>
      <c r="C13" s="25">
        <f>'INPUT-Y'!G50</f>
        <v>18</v>
      </c>
      <c r="D13" s="25">
        <f>'INPUT-Y'!H50</f>
        <v>215.8</v>
      </c>
      <c r="E13" s="25">
        <f>'INPUT-Y'!I50</f>
        <v>262.8</v>
      </c>
      <c r="F13" s="26">
        <f>'INPUT-Y'!J50</f>
        <v>541.4</v>
      </c>
      <c r="G13" s="27">
        <f>'PP&amp;E'!G35</f>
        <v>3839.8999999999996</v>
      </c>
      <c r="H13" s="27">
        <f>'PP&amp;E'!H35</f>
        <v>947.39999999999964</v>
      </c>
      <c r="I13" s="27">
        <f>'PP&amp;E'!I35</f>
        <v>1487.3999999999996</v>
      </c>
      <c r="J13" s="27">
        <f>'PP&amp;E'!J35</f>
        <v>2027.3999999999996</v>
      </c>
      <c r="K13" s="28">
        <f>'PP&amp;E'!K35</f>
        <v>2027.3999999999996</v>
      </c>
      <c r="L13" s="56"/>
      <c r="M13" s="57"/>
      <c r="N13" s="57"/>
      <c r="O13" s="57"/>
      <c r="P13" s="57"/>
      <c r="Q13" s="57"/>
      <c r="R13" s="57"/>
      <c r="S13" s="6"/>
      <c r="T13" s="6"/>
      <c r="U13" s="6"/>
      <c r="V13" s="6"/>
      <c r="W13" s="6"/>
      <c r="X13" s="6"/>
      <c r="Y13" s="6"/>
      <c r="Z13" s="6"/>
    </row>
    <row r="14" spans="1:26" ht="15.6">
      <c r="A14" s="23" t="s">
        <v>121</v>
      </c>
      <c r="B14" s="24">
        <f>'INPUT-Y'!F53</f>
        <v>0.2</v>
      </c>
      <c r="C14" s="25">
        <f>'INPUT-Y'!G53</f>
        <v>0</v>
      </c>
      <c r="D14" s="25">
        <f>'INPUT-Y'!H53</f>
        <v>0</v>
      </c>
      <c r="E14" s="25">
        <f>'INPUT-Y'!I53</f>
        <v>2.6</v>
      </c>
      <c r="F14" s="26">
        <f>'INPUT-Y'!J53</f>
        <v>0</v>
      </c>
      <c r="G14" s="27">
        <f>87</f>
        <v>87</v>
      </c>
      <c r="H14" s="27">
        <f t="shared" ref="H14:K14" si="3">G14</f>
        <v>87</v>
      </c>
      <c r="I14" s="27">
        <f t="shared" si="3"/>
        <v>87</v>
      </c>
      <c r="J14" s="27">
        <f t="shared" si="3"/>
        <v>87</v>
      </c>
      <c r="K14" s="28">
        <f t="shared" si="3"/>
        <v>87</v>
      </c>
      <c r="L14" s="56"/>
      <c r="M14" s="57"/>
      <c r="N14" s="57"/>
      <c r="O14" s="57"/>
      <c r="P14" s="57"/>
      <c r="Q14" s="57"/>
      <c r="R14" s="57"/>
      <c r="S14" s="6"/>
      <c r="T14" s="6"/>
      <c r="U14" s="6"/>
      <c r="V14" s="6"/>
      <c r="W14" s="6"/>
      <c r="X14" s="6"/>
      <c r="Y14" s="6"/>
      <c r="Z14" s="6"/>
    </row>
    <row r="15" spans="1:26" ht="15.6">
      <c r="A15" s="23" t="s">
        <v>122</v>
      </c>
      <c r="B15" s="24">
        <f>'INPUT-Y'!F59</f>
        <v>34</v>
      </c>
      <c r="C15" s="25">
        <f>'INPUT-Y'!G59</f>
        <v>29.8</v>
      </c>
      <c r="D15" s="25">
        <f>'INPUT-Y'!H59</f>
        <v>36.5</v>
      </c>
      <c r="E15" s="25">
        <f>'INPUT-Y'!I59</f>
        <v>47.9</v>
      </c>
      <c r="F15" s="26">
        <f>'INPUT-Y'!J59</f>
        <v>51.8</v>
      </c>
      <c r="G15" s="27">
        <f t="shared" ref="G15:K15" si="4">F15</f>
        <v>51.8</v>
      </c>
      <c r="H15" s="27">
        <f t="shared" si="4"/>
        <v>51.8</v>
      </c>
      <c r="I15" s="27">
        <f t="shared" si="4"/>
        <v>51.8</v>
      </c>
      <c r="J15" s="27">
        <f t="shared" si="4"/>
        <v>51.8</v>
      </c>
      <c r="K15" s="28">
        <f t="shared" si="4"/>
        <v>51.8</v>
      </c>
      <c r="L15" s="56"/>
      <c r="M15" s="57"/>
      <c r="N15" s="57"/>
      <c r="O15" s="57"/>
      <c r="P15" s="57"/>
      <c r="Q15" s="57"/>
      <c r="R15" s="57"/>
      <c r="S15" s="6"/>
      <c r="T15" s="6"/>
      <c r="U15" s="6"/>
      <c r="V15" s="6"/>
      <c r="W15" s="6"/>
      <c r="X15" s="6"/>
      <c r="Y15" s="6"/>
      <c r="Z15" s="6"/>
    </row>
    <row r="16" spans="1:26" ht="15.6">
      <c r="A16" s="44"/>
      <c r="B16" s="24"/>
      <c r="C16" s="25"/>
      <c r="D16" s="25"/>
      <c r="E16" s="25"/>
      <c r="F16" s="26"/>
      <c r="G16" s="38"/>
      <c r="H16" s="38"/>
      <c r="I16" s="38"/>
      <c r="J16" s="38"/>
      <c r="K16" s="39"/>
      <c r="L16" s="56"/>
      <c r="M16" s="57"/>
      <c r="N16" s="57"/>
      <c r="O16" s="57"/>
      <c r="P16" s="57"/>
      <c r="Q16" s="57"/>
      <c r="R16" s="57"/>
      <c r="S16" s="6"/>
      <c r="T16" s="6"/>
      <c r="U16" s="6"/>
      <c r="V16" s="6"/>
      <c r="W16" s="6"/>
      <c r="X16" s="6"/>
      <c r="Y16" s="6"/>
      <c r="Z16" s="6"/>
    </row>
    <row r="17" spans="1:26" ht="15.6">
      <c r="A17" s="60" t="s">
        <v>123</v>
      </c>
      <c r="B17" s="30">
        <f>'INPUT-Y'!F66</f>
        <v>401</v>
      </c>
      <c r="C17" s="31">
        <f>'INPUT-Y'!G66</f>
        <v>340.6</v>
      </c>
      <c r="D17" s="31">
        <f>'INPUT-Y'!H66</f>
        <v>1952.6</v>
      </c>
      <c r="E17" s="31">
        <f>'INPUT-Y'!I66</f>
        <v>4183.6000000000004</v>
      </c>
      <c r="F17" s="32">
        <f>'INPUT-Y'!J66</f>
        <v>4305.2</v>
      </c>
      <c r="G17" s="40">
        <f t="shared" ref="G17:K17" si="5">SUM(G18:G23)</f>
        <v>11874.588208272728</v>
      </c>
      <c r="H17" s="40">
        <f t="shared" si="5"/>
        <v>13907.156442247073</v>
      </c>
      <c r="I17" s="40">
        <f t="shared" si="5"/>
        <v>12837.723490327382</v>
      </c>
      <c r="J17" s="40">
        <f t="shared" si="5"/>
        <v>11905.550734034186</v>
      </c>
      <c r="K17" s="41">
        <f t="shared" si="5"/>
        <v>10436.556204197674</v>
      </c>
      <c r="L17" s="56"/>
      <c r="M17" s="57"/>
      <c r="N17" s="57"/>
      <c r="O17" s="57"/>
      <c r="P17" s="57"/>
      <c r="Q17" s="57"/>
      <c r="R17" s="57"/>
      <c r="S17" s="6"/>
      <c r="T17" s="6"/>
      <c r="U17" s="6"/>
      <c r="V17" s="6"/>
      <c r="W17" s="6"/>
      <c r="X17" s="6"/>
      <c r="Y17" s="6"/>
      <c r="Z17" s="6"/>
    </row>
    <row r="18" spans="1:26" ht="15.6">
      <c r="A18" s="23" t="s">
        <v>124</v>
      </c>
      <c r="B18" s="24">
        <f>'INPUT-Y'!F67-'INPUT-Y'!F77</f>
        <v>89.899999999999991</v>
      </c>
      <c r="C18" s="25">
        <f>'INPUT-Y'!G67-'INPUT-Y'!G77</f>
        <v>97.5</v>
      </c>
      <c r="D18" s="25">
        <f>'INPUT-Y'!H67-'INPUT-Y'!H77</f>
        <v>421.80000000000007</v>
      </c>
      <c r="E18" s="25">
        <f>'INPUT-Y'!I67-'INPUT-Y'!I77</f>
        <v>282.79999999999995</v>
      </c>
      <c r="F18" s="26">
        <f>'INPUT-Y'!J67-'INPUT-Y'!J77</f>
        <v>500.19999999999993</v>
      </c>
      <c r="G18" s="38">
        <v>2500</v>
      </c>
      <c r="H18" s="27">
        <f>-IS!H5*H57</f>
        <v>2800.2076071016181</v>
      </c>
      <c r="I18" s="27">
        <f>-IS!I5*I57</f>
        <v>2271.4104158092</v>
      </c>
      <c r="J18" s="27">
        <f>-IS!J5*J57</f>
        <v>1840.9041320182757</v>
      </c>
      <c r="K18" s="28">
        <f>-IS!K5*K57</f>
        <v>1492.6769695618766</v>
      </c>
      <c r="L18" s="56"/>
      <c r="M18" s="57"/>
      <c r="N18" s="57"/>
      <c r="O18" s="57"/>
      <c r="P18" s="57"/>
      <c r="Q18" s="57"/>
      <c r="R18" s="57"/>
      <c r="S18" s="6"/>
      <c r="T18" s="6"/>
      <c r="U18" s="6"/>
      <c r="V18" s="6"/>
      <c r="W18" s="6"/>
      <c r="X18" s="6"/>
      <c r="Y18" s="6"/>
      <c r="Z18" s="6"/>
    </row>
    <row r="19" spans="1:26" ht="15.6">
      <c r="A19" s="23" t="s">
        <v>125</v>
      </c>
      <c r="B19" s="24">
        <f>'INPUT-Y'!F77</f>
        <v>45.2</v>
      </c>
      <c r="C19" s="25">
        <f>'INPUT-Y'!G77</f>
        <v>5.9</v>
      </c>
      <c r="D19" s="25">
        <f>'INPUT-Y'!H77</f>
        <v>106.4</v>
      </c>
      <c r="E19" s="25">
        <f>'INPUT-Y'!I77</f>
        <v>553.6</v>
      </c>
      <c r="F19" s="26">
        <f>'INPUT-Y'!J77</f>
        <v>600.9</v>
      </c>
      <c r="G19" s="27">
        <f t="shared" ref="G19:K19" si="6">G64</f>
        <v>660.99</v>
      </c>
      <c r="H19" s="27">
        <f t="shared" si="6"/>
        <v>727.08900000000006</v>
      </c>
      <c r="I19" s="27">
        <f t="shared" si="6"/>
        <v>799.79790000000003</v>
      </c>
      <c r="J19" s="27">
        <f t="shared" si="6"/>
        <v>879.77769000000001</v>
      </c>
      <c r="K19" s="28">
        <f t="shared" si="6"/>
        <v>967.75545899999997</v>
      </c>
      <c r="L19" s="56"/>
      <c r="M19" s="57"/>
      <c r="N19" s="57"/>
      <c r="O19" s="57"/>
      <c r="P19" s="57"/>
      <c r="Q19" s="57"/>
      <c r="R19" s="57"/>
      <c r="S19" s="6"/>
      <c r="T19" s="6"/>
      <c r="U19" s="6"/>
      <c r="V19" s="6"/>
      <c r="W19" s="6"/>
      <c r="X19" s="6"/>
      <c r="Y19" s="6"/>
      <c r="Z19" s="6"/>
    </row>
    <row r="20" spans="1:26" ht="15.6">
      <c r="A20" s="23" t="s">
        <v>126</v>
      </c>
      <c r="B20" s="24">
        <f>'INPUT-Y'!F83+'INPUT-Y'!F88+ 'INPUT-Y'!F94</f>
        <v>0.5</v>
      </c>
      <c r="C20" s="25">
        <f>'INPUT-Y'!G83+'INPUT-Y'!G88+ 'INPUT-Y'!G94</f>
        <v>3.9</v>
      </c>
      <c r="D20" s="25">
        <f>'INPUT-Y'!H83+'INPUT-Y'!H88+ 'INPUT-Y'!H94</f>
        <v>3.6</v>
      </c>
      <c r="E20" s="25">
        <f>'INPUT-Y'!I83+'INPUT-Y'!I88+ 'INPUT-Y'!I94</f>
        <v>3.5</v>
      </c>
      <c r="F20" s="26">
        <f>'INPUT-Y'!J83+'INPUT-Y'!J88+ 'INPUT-Y'!J94</f>
        <v>3.2</v>
      </c>
      <c r="G20" s="38">
        <f t="shared" ref="G20:K20" si="7">F20</f>
        <v>3.2</v>
      </c>
      <c r="H20" s="38">
        <f t="shared" si="7"/>
        <v>3.2</v>
      </c>
      <c r="I20" s="38">
        <f t="shared" si="7"/>
        <v>3.2</v>
      </c>
      <c r="J20" s="38">
        <f t="shared" si="7"/>
        <v>3.2</v>
      </c>
      <c r="K20" s="39">
        <f t="shared" si="7"/>
        <v>3.2</v>
      </c>
      <c r="L20" s="56"/>
      <c r="M20" s="57"/>
      <c r="N20" s="57"/>
      <c r="O20" s="57"/>
      <c r="P20" s="57"/>
      <c r="Q20" s="57"/>
      <c r="R20" s="57"/>
      <c r="S20" s="6"/>
      <c r="T20" s="6"/>
      <c r="U20" s="6"/>
      <c r="V20" s="6"/>
      <c r="W20" s="6"/>
      <c r="X20" s="6"/>
      <c r="Y20" s="6"/>
      <c r="Z20" s="6"/>
    </row>
    <row r="21" spans="1:26" ht="15.6">
      <c r="A21" s="23" t="s">
        <v>127</v>
      </c>
      <c r="B21" s="24">
        <f>'INPUT-Y'!F90</f>
        <v>264.5</v>
      </c>
      <c r="C21" s="25">
        <f>'INPUT-Y'!G90</f>
        <v>232.4</v>
      </c>
      <c r="D21" s="25">
        <f>'INPUT-Y'!H90</f>
        <v>1420.3</v>
      </c>
      <c r="E21" s="25">
        <f>'INPUT-Y'!I90</f>
        <v>3343.1</v>
      </c>
      <c r="F21" s="26">
        <f>'INPUT-Y'!J90</f>
        <v>3200.6</v>
      </c>
      <c r="G21" s="27">
        <f>Debt!J52/1000000</f>
        <v>8672.3132082727279</v>
      </c>
      <c r="H21" s="27">
        <f>Debt!K52/1000000</f>
        <v>10336.700585145454</v>
      </c>
      <c r="I21" s="27">
        <f>Debt!L52/1000000</f>
        <v>9721.3879620181815</v>
      </c>
      <c r="J21" s="27">
        <f>Debt!M52/1000000</f>
        <v>9137.6753388909092</v>
      </c>
      <c r="K21" s="28">
        <f>Debt!N52/1000000</f>
        <v>7926.7605238545457</v>
      </c>
      <c r="L21" s="56"/>
      <c r="M21" s="57"/>
      <c r="N21" s="57"/>
      <c r="O21" s="57"/>
      <c r="P21" s="57"/>
      <c r="Q21" s="57"/>
      <c r="R21" s="57"/>
      <c r="S21" s="6"/>
      <c r="T21" s="6"/>
      <c r="U21" s="6"/>
      <c r="V21" s="6"/>
      <c r="W21" s="6"/>
      <c r="X21" s="6"/>
      <c r="Y21" s="6"/>
      <c r="Z21" s="6"/>
    </row>
    <row r="22" spans="1:26" ht="15.6">
      <c r="A22" s="23" t="s">
        <v>128</v>
      </c>
      <c r="B22" s="24">
        <f>'INPUT-Y'!F79</f>
        <v>13.6</v>
      </c>
      <c r="C22" s="25">
        <f>'INPUT-Y'!G79</f>
        <v>17.3</v>
      </c>
      <c r="D22" s="25">
        <f>'INPUT-Y'!H79</f>
        <v>20.8</v>
      </c>
      <c r="E22" s="25">
        <f>'INPUT-Y'!I79</f>
        <v>31.6</v>
      </c>
      <c r="F22" s="26">
        <f>'INPUT-Y'!J79</f>
        <v>35.700000000000003</v>
      </c>
      <c r="G22" s="27">
        <f t="shared" ref="G22:K22" si="8">F22*1.05</f>
        <v>37.485000000000007</v>
      </c>
      <c r="H22" s="27">
        <f t="shared" si="8"/>
        <v>39.35925000000001</v>
      </c>
      <c r="I22" s="27">
        <f t="shared" si="8"/>
        <v>41.327212500000009</v>
      </c>
      <c r="J22" s="27">
        <f t="shared" si="8"/>
        <v>43.39357312500001</v>
      </c>
      <c r="K22" s="28">
        <f t="shared" si="8"/>
        <v>45.56325178125001</v>
      </c>
      <c r="L22" s="56"/>
      <c r="M22" s="57"/>
      <c r="N22" s="57"/>
      <c r="O22" s="57"/>
      <c r="P22" s="57"/>
      <c r="Q22" s="57"/>
      <c r="R22" s="57"/>
      <c r="S22" s="6"/>
      <c r="T22" s="6"/>
      <c r="U22" s="6"/>
      <c r="V22" s="6"/>
      <c r="W22" s="6"/>
      <c r="X22" s="6"/>
      <c r="Y22" s="6"/>
      <c r="Z22" s="6"/>
    </row>
    <row r="23" spans="1:26" ht="15.6">
      <c r="A23" s="23" t="s">
        <v>129</v>
      </c>
      <c r="B23" s="24">
        <f>'INPUT-Y'!F95</f>
        <v>0.9</v>
      </c>
      <c r="C23" s="25">
        <f>'INPUT-Y'!G95</f>
        <v>0.9</v>
      </c>
      <c r="D23" s="25">
        <f>'INPUT-Y'!H95</f>
        <v>0.6</v>
      </c>
      <c r="E23" s="25">
        <f>'INPUT-Y'!I95</f>
        <v>0.6</v>
      </c>
      <c r="F23" s="26">
        <f>'INPUT-Y'!J95</f>
        <v>0.3</v>
      </c>
      <c r="G23" s="38">
        <f t="shared" ref="G23:K23" si="9">$E$23</f>
        <v>0.6</v>
      </c>
      <c r="H23" s="38">
        <f t="shared" si="9"/>
        <v>0.6</v>
      </c>
      <c r="I23" s="38">
        <f t="shared" si="9"/>
        <v>0.6</v>
      </c>
      <c r="J23" s="38">
        <f t="shared" si="9"/>
        <v>0.6</v>
      </c>
      <c r="K23" s="39">
        <f t="shared" si="9"/>
        <v>0.6</v>
      </c>
      <c r="L23" s="56"/>
      <c r="M23" s="57"/>
      <c r="N23" s="57"/>
      <c r="O23" s="57"/>
      <c r="P23" s="57"/>
      <c r="Q23" s="57"/>
      <c r="R23" s="57"/>
      <c r="S23" s="6"/>
      <c r="T23" s="6"/>
      <c r="U23" s="6"/>
      <c r="V23" s="6"/>
      <c r="W23" s="6"/>
      <c r="X23" s="6"/>
      <c r="Y23" s="6"/>
      <c r="Z23" s="6"/>
    </row>
    <row r="24" spans="1:26" ht="15.6">
      <c r="A24" s="29"/>
      <c r="B24" s="24"/>
      <c r="C24" s="25"/>
      <c r="D24" s="25"/>
      <c r="E24" s="25"/>
      <c r="F24" s="26"/>
      <c r="G24" s="38"/>
      <c r="H24" s="38"/>
      <c r="I24" s="38"/>
      <c r="J24" s="38"/>
      <c r="K24" s="39"/>
      <c r="L24" s="56"/>
      <c r="M24" s="57"/>
      <c r="N24" s="57"/>
      <c r="O24" s="57"/>
      <c r="P24" s="57"/>
      <c r="Q24" s="57"/>
      <c r="R24" s="57"/>
      <c r="S24" s="6"/>
      <c r="T24" s="6"/>
      <c r="U24" s="6"/>
      <c r="V24" s="6"/>
      <c r="W24" s="6"/>
      <c r="X24" s="6"/>
      <c r="Y24" s="6"/>
      <c r="Z24" s="6"/>
    </row>
    <row r="25" spans="1:26" ht="15.6">
      <c r="A25" s="60" t="s">
        <v>130</v>
      </c>
      <c r="B25" s="30">
        <f>'INPUT-Y'!F96</f>
        <v>1150.7</v>
      </c>
      <c r="C25" s="31">
        <f>'INPUT-Y'!G96</f>
        <v>1318</v>
      </c>
      <c r="D25" s="31">
        <f>'INPUT-Y'!H96</f>
        <v>2408</v>
      </c>
      <c r="E25" s="31">
        <f>'INPUT-Y'!I96</f>
        <v>2579.6</v>
      </c>
      <c r="F25" s="32">
        <f>'INPUT-Y'!J96</f>
        <v>3467.9</v>
      </c>
      <c r="G25" s="40">
        <f>SUM(G26:G33)</f>
        <v>4139.7674560686282</v>
      </c>
      <c r="H25" s="40">
        <f t="shared" ref="H25:K25" si="10">SUM(H26:H33)</f>
        <v>4616.8411024794605</v>
      </c>
      <c r="I25" s="40">
        <f t="shared" si="10"/>
        <v>5241.3463961600273</v>
      </c>
      <c r="J25" s="40">
        <f t="shared" si="10"/>
        <v>5780.8675258752955</v>
      </c>
      <c r="K25" s="630">
        <f t="shared" si="10"/>
        <v>6340.3246164415996</v>
      </c>
      <c r="L25" s="56"/>
      <c r="M25" s="57"/>
      <c r="N25" s="57"/>
      <c r="O25" s="57"/>
      <c r="P25" s="57"/>
      <c r="Q25" s="57"/>
      <c r="R25" s="57"/>
      <c r="S25" s="6"/>
      <c r="T25" s="6"/>
      <c r="U25" s="6"/>
      <c r="V25" s="6"/>
      <c r="W25" s="6"/>
      <c r="X25" s="6"/>
      <c r="Y25" s="6"/>
      <c r="Z25" s="6"/>
    </row>
    <row r="26" spans="1:26" ht="15.6">
      <c r="A26" s="23" t="s">
        <v>131</v>
      </c>
      <c r="B26" s="24">
        <f>'INPUT-Y'!F99</f>
        <v>744.9</v>
      </c>
      <c r="C26" s="25">
        <f>'INPUT-Y'!G99</f>
        <v>970.9</v>
      </c>
      <c r="D26" s="25">
        <f>'INPUT-Y'!H99</f>
        <v>1941.8</v>
      </c>
      <c r="E26" s="25">
        <f>'INPUT-Y'!I99</f>
        <v>2038.9</v>
      </c>
      <c r="F26" s="26">
        <f>'INPUT-Y'!J99</f>
        <v>2711.8</v>
      </c>
      <c r="G26" s="27">
        <v>3037</v>
      </c>
      <c r="H26" s="27">
        <f t="shared" ref="H26:K26" si="11">G26</f>
        <v>3037</v>
      </c>
      <c r="I26" s="27">
        <f t="shared" si="11"/>
        <v>3037</v>
      </c>
      <c r="J26" s="27">
        <f t="shared" si="11"/>
        <v>3037</v>
      </c>
      <c r="K26" s="28">
        <f t="shared" si="11"/>
        <v>3037</v>
      </c>
      <c r="L26" s="56"/>
      <c r="M26" s="57"/>
      <c r="N26" s="57"/>
      <c r="O26" s="57"/>
      <c r="P26" s="57"/>
      <c r="Q26" s="57"/>
      <c r="R26" s="57"/>
      <c r="S26" s="6"/>
      <c r="T26" s="6"/>
      <c r="U26" s="6"/>
      <c r="V26" s="6"/>
      <c r="W26" s="6"/>
      <c r="X26" s="6"/>
      <c r="Y26" s="6"/>
      <c r="Z26" s="6"/>
    </row>
    <row r="27" spans="1:26" ht="15.6">
      <c r="A27" s="23" t="s">
        <v>132</v>
      </c>
      <c r="B27" s="24">
        <f>'INPUT-Y'!F101</f>
        <v>2</v>
      </c>
      <c r="C27" s="25">
        <f>'INPUT-Y'!G101</f>
        <v>28.9</v>
      </c>
      <c r="D27" s="25">
        <f>'INPUT-Y'!H101</f>
        <v>29</v>
      </c>
      <c r="E27" s="25">
        <f>'INPUT-Y'!I101</f>
        <v>38.700000000000003</v>
      </c>
      <c r="F27" s="26">
        <f>'INPUT-Y'!J101</f>
        <v>38.200000000000003</v>
      </c>
      <c r="G27" s="38">
        <f t="shared" ref="G27:K27" si="12">F27</f>
        <v>38.200000000000003</v>
      </c>
      <c r="H27" s="38">
        <f t="shared" si="12"/>
        <v>38.200000000000003</v>
      </c>
      <c r="I27" s="38">
        <f t="shared" si="12"/>
        <v>38.200000000000003</v>
      </c>
      <c r="J27" s="38">
        <f t="shared" si="12"/>
        <v>38.200000000000003</v>
      </c>
      <c r="K27" s="39">
        <f t="shared" si="12"/>
        <v>38.200000000000003</v>
      </c>
      <c r="L27" s="56"/>
      <c r="M27" s="57"/>
      <c r="N27" s="57"/>
      <c r="O27" s="57"/>
      <c r="P27" s="57"/>
      <c r="Q27" s="57"/>
      <c r="R27" s="57"/>
      <c r="S27" s="6"/>
      <c r="T27" s="6"/>
      <c r="U27" s="6"/>
      <c r="V27" s="6"/>
      <c r="W27" s="6"/>
      <c r="X27" s="6"/>
      <c r="Y27" s="6"/>
      <c r="Z27" s="6"/>
    </row>
    <row r="28" spans="1:26" ht="15.6">
      <c r="A28" s="23" t="s">
        <v>133</v>
      </c>
      <c r="B28" s="24">
        <f>'INPUT-Y'!F103</f>
        <v>0</v>
      </c>
      <c r="C28" s="25">
        <f>'INPUT-Y'!G103</f>
        <v>0</v>
      </c>
      <c r="D28" s="25">
        <f>'INPUT-Y'!H103</f>
        <v>0</v>
      </c>
      <c r="E28" s="25">
        <f>'INPUT-Y'!I103</f>
        <v>0</v>
      </c>
      <c r="F28" s="26">
        <f>'INPUT-Y'!J103</f>
        <v>0</v>
      </c>
      <c r="G28" s="38">
        <f t="shared" ref="G28:K28" si="13">F28</f>
        <v>0</v>
      </c>
      <c r="H28" s="38">
        <f t="shared" si="13"/>
        <v>0</v>
      </c>
      <c r="I28" s="38">
        <f t="shared" si="13"/>
        <v>0</v>
      </c>
      <c r="J28" s="38">
        <f t="shared" si="13"/>
        <v>0</v>
      </c>
      <c r="K28" s="39">
        <f t="shared" si="13"/>
        <v>0</v>
      </c>
      <c r="L28" s="56"/>
      <c r="M28" s="57"/>
      <c r="N28" s="57"/>
      <c r="O28" s="57"/>
      <c r="P28" s="57"/>
      <c r="Q28" s="57"/>
      <c r="R28" s="57"/>
      <c r="S28" s="6"/>
      <c r="T28" s="6"/>
      <c r="U28" s="6"/>
      <c r="V28" s="6"/>
      <c r="W28" s="6"/>
      <c r="X28" s="6"/>
      <c r="Y28" s="6"/>
      <c r="Z28" s="6"/>
    </row>
    <row r="29" spans="1:26" ht="15.6">
      <c r="A29" s="23" t="s">
        <v>134</v>
      </c>
      <c r="B29" s="24">
        <f>'INPUT-Y'!F104</f>
        <v>0</v>
      </c>
      <c r="C29" s="25">
        <f>'INPUT-Y'!G104</f>
        <v>0</v>
      </c>
      <c r="D29" s="25">
        <f>'INPUT-Y'!H104</f>
        <v>0</v>
      </c>
      <c r="E29" s="25">
        <f>'INPUT-Y'!I104</f>
        <v>0</v>
      </c>
      <c r="F29" s="26">
        <f>'INPUT-Y'!J104</f>
        <v>0</v>
      </c>
      <c r="G29" s="38">
        <f t="shared" ref="G29:K29" si="14">F29</f>
        <v>0</v>
      </c>
      <c r="H29" s="38">
        <f t="shared" si="14"/>
        <v>0</v>
      </c>
      <c r="I29" s="38">
        <f t="shared" si="14"/>
        <v>0</v>
      </c>
      <c r="J29" s="38">
        <f t="shared" si="14"/>
        <v>0</v>
      </c>
      <c r="K29" s="39">
        <f t="shared" si="14"/>
        <v>0</v>
      </c>
      <c r="L29" s="56"/>
      <c r="M29" s="57"/>
      <c r="N29" s="57"/>
      <c r="O29" s="57"/>
      <c r="P29" s="57"/>
      <c r="Q29" s="57"/>
      <c r="R29" s="57"/>
      <c r="S29" s="6"/>
      <c r="T29" s="6"/>
      <c r="U29" s="6"/>
      <c r="V29" s="6"/>
      <c r="W29" s="6"/>
      <c r="X29" s="6"/>
      <c r="Y29" s="6"/>
      <c r="Z29" s="6"/>
    </row>
    <row r="30" spans="1:26" ht="15.6">
      <c r="A30" s="23" t="s">
        <v>135</v>
      </c>
      <c r="B30" s="24">
        <f>'INPUT-Y'!F107</f>
        <v>49.1</v>
      </c>
      <c r="C30" s="25">
        <f>'INPUT-Y'!G107</f>
        <v>56.3</v>
      </c>
      <c r="D30" s="25">
        <f>'INPUT-Y'!H107</f>
        <v>61</v>
      </c>
      <c r="E30" s="25">
        <f>'INPUT-Y'!I107</f>
        <v>78.8</v>
      </c>
      <c r="F30" s="26">
        <f>'INPUT-Y'!J107</f>
        <v>87.3</v>
      </c>
      <c r="G30" s="27">
        <f>F30*1.05</f>
        <v>91.665000000000006</v>
      </c>
      <c r="H30" s="27">
        <f t="shared" ref="H30:K30" si="15">G30*1.05</f>
        <v>96.248250000000013</v>
      </c>
      <c r="I30" s="27">
        <f t="shared" si="15"/>
        <v>101.06066250000002</v>
      </c>
      <c r="J30" s="27">
        <f t="shared" si="15"/>
        <v>106.11369562500002</v>
      </c>
      <c r="K30" s="27">
        <f t="shared" si="15"/>
        <v>111.41938040625003</v>
      </c>
      <c r="L30" s="56"/>
      <c r="M30" s="57"/>
      <c r="N30" s="57"/>
      <c r="O30" s="57"/>
      <c r="P30" s="57"/>
      <c r="Q30" s="57"/>
      <c r="R30" s="57"/>
      <c r="S30" s="6"/>
      <c r="T30" s="6"/>
      <c r="U30" s="6"/>
      <c r="V30" s="6"/>
      <c r="W30" s="6"/>
      <c r="X30" s="6"/>
      <c r="Y30" s="6"/>
      <c r="Z30" s="6"/>
    </row>
    <row r="31" spans="1:26" ht="15.6">
      <c r="A31" s="23" t="s">
        <v>136</v>
      </c>
      <c r="B31" s="24">
        <f>'INPUT-Y'!F110</f>
        <v>168.4</v>
      </c>
      <c r="C31" s="25">
        <f>'INPUT-Y'!G110</f>
        <v>120</v>
      </c>
      <c r="D31" s="25">
        <f>'INPUT-Y'!H110</f>
        <v>145.1</v>
      </c>
      <c r="E31" s="25">
        <f>'INPUT-Y'!I110</f>
        <v>164.8</v>
      </c>
      <c r="F31" s="26">
        <f>'INPUT-Y'!J110</f>
        <v>220</v>
      </c>
      <c r="G31" s="35">
        <f>'Owners equity'!G29</f>
        <v>559.96399815196116</v>
      </c>
      <c r="H31" s="35">
        <f>'Owners equity'!H29</f>
        <v>978.71115671557448</v>
      </c>
      <c r="I31" s="35">
        <f>'Owners equity'!I29</f>
        <v>1496.0890606102612</v>
      </c>
      <c r="J31" s="35">
        <f>'Owners equity'!J29</f>
        <v>2027.3185633323778</v>
      </c>
      <c r="K31" s="36">
        <f>'Owners equity'!K29</f>
        <v>2577.2870905733967</v>
      </c>
      <c r="L31" s="628"/>
      <c r="M31" s="57"/>
      <c r="N31" s="57"/>
      <c r="O31" s="57"/>
      <c r="P31" s="57"/>
      <c r="Q31" s="57"/>
      <c r="R31" s="57"/>
      <c r="S31" s="6"/>
      <c r="T31" s="6"/>
      <c r="U31" s="6"/>
      <c r="V31" s="6"/>
      <c r="W31" s="6"/>
      <c r="X31" s="6"/>
      <c r="Y31" s="6"/>
      <c r="Z31" s="6"/>
    </row>
    <row r="32" spans="1:26" ht="15.6">
      <c r="A32" s="694" t="s">
        <v>137</v>
      </c>
      <c r="B32" s="61">
        <f>'INPUT-Y'!F114</f>
        <v>186.4</v>
      </c>
      <c r="C32" s="62">
        <f>'INPUT-Y'!G114</f>
        <v>141.80000000000001</v>
      </c>
      <c r="D32" s="62">
        <f>'INPUT-Y'!H114</f>
        <v>231.1</v>
      </c>
      <c r="E32" s="62">
        <f>'INPUT-Y'!I114</f>
        <v>258.5</v>
      </c>
      <c r="F32" s="63">
        <f>'INPUT-Y'!J114</f>
        <v>410.7</v>
      </c>
      <c r="G32" s="64">
        <f>(0.5*G73*IS!G18)+F32</f>
        <v>412.88249999999999</v>
      </c>
      <c r="H32" s="64">
        <f>(0.5*H73*IS!H18)+G32</f>
        <v>415.174125</v>
      </c>
      <c r="I32" s="64">
        <f>(0.5*I73*IS!I18)+H32</f>
        <v>417.58033125000003</v>
      </c>
      <c r="J32" s="64">
        <f>(0.5*J73*IS!J18)+I32</f>
        <v>420.10684781250001</v>
      </c>
      <c r="K32" s="64">
        <f>(0.5*K73*IS!K18)+J32</f>
        <v>422.75969020312499</v>
      </c>
      <c r="L32" s="629"/>
      <c r="M32" s="65"/>
      <c r="N32" s="65"/>
      <c r="O32" s="65"/>
      <c r="P32" s="65"/>
      <c r="Q32" s="65"/>
      <c r="R32" s="65"/>
      <c r="S32" s="66"/>
      <c r="T32" s="66"/>
      <c r="U32" s="66"/>
      <c r="V32" s="66"/>
      <c r="W32" s="66"/>
      <c r="X32" s="66"/>
      <c r="Y32" s="66"/>
      <c r="Z32" s="66"/>
    </row>
    <row r="33" spans="1:26" ht="18.600000000000001" customHeight="1">
      <c r="A33" s="625" t="s">
        <v>436</v>
      </c>
      <c r="B33" s="24"/>
      <c r="C33" s="25"/>
      <c r="D33" s="25"/>
      <c r="E33" s="25"/>
      <c r="F33" s="26"/>
      <c r="G33" s="758">
        <f>-SUM(G26:G32)-SUM(G18:G23)+SUM(G5:G15)</f>
        <v>5.5957916667466634E-2</v>
      </c>
      <c r="H33" s="759">
        <f t="shared" ref="H33:K33" si="16">-SUM(H26:H32)-SUM(H18:H23)+SUM(H5:H15)</f>
        <v>51.507570763886179</v>
      </c>
      <c r="I33" s="759">
        <f t="shared" si="16"/>
        <v>151.41634179976609</v>
      </c>
      <c r="J33" s="759">
        <f t="shared" si="16"/>
        <v>152.12841910541829</v>
      </c>
      <c r="K33" s="760">
        <f t="shared" si="16"/>
        <v>153.65845525882833</v>
      </c>
      <c r="L33" s="15"/>
      <c r="M33" s="6"/>
      <c r="N33" s="6"/>
      <c r="O33" s="6"/>
      <c r="P33" s="6"/>
      <c r="Q33" s="6"/>
      <c r="R33" s="6"/>
      <c r="S33" s="6"/>
      <c r="T33" s="6"/>
      <c r="U33" s="6"/>
      <c r="V33" s="6"/>
      <c r="W33" s="6"/>
      <c r="X33" s="6"/>
      <c r="Y33" s="6"/>
      <c r="Z33" s="6"/>
    </row>
    <row r="34" spans="1:26" ht="15.6">
      <c r="A34" s="68" t="s">
        <v>138</v>
      </c>
      <c r="B34" s="624">
        <f t="shared" ref="B34:K34" si="17">SUM(B25,B17)-B4</f>
        <v>0</v>
      </c>
      <c r="C34" s="624">
        <f t="shared" si="17"/>
        <v>0</v>
      </c>
      <c r="D34" s="624">
        <f t="shared" si="17"/>
        <v>0</v>
      </c>
      <c r="E34" s="624">
        <f t="shared" si="17"/>
        <v>0</v>
      </c>
      <c r="F34" s="624">
        <f t="shared" si="17"/>
        <v>0</v>
      </c>
      <c r="G34" s="627">
        <f t="shared" si="17"/>
        <v>0</v>
      </c>
      <c r="H34" s="624">
        <f t="shared" si="17"/>
        <v>0</v>
      </c>
      <c r="I34" s="624">
        <f t="shared" si="17"/>
        <v>0</v>
      </c>
      <c r="J34" s="624">
        <f t="shared" si="17"/>
        <v>0</v>
      </c>
      <c r="K34" s="631">
        <f t="shared" si="17"/>
        <v>0</v>
      </c>
      <c r="L34" s="15"/>
      <c r="M34" s="6"/>
      <c r="N34" s="6"/>
      <c r="O34" s="6"/>
      <c r="P34" s="6"/>
      <c r="Q34" s="6"/>
      <c r="R34" s="6"/>
      <c r="S34" s="6"/>
      <c r="T34" s="6"/>
      <c r="U34" s="6"/>
      <c r="V34" s="6"/>
      <c r="W34" s="6"/>
      <c r="X34" s="6"/>
      <c r="Y34" s="6"/>
      <c r="Z34" s="6"/>
    </row>
    <row r="35" spans="1:26" ht="15.6">
      <c r="A35" s="52"/>
      <c r="B35" s="52"/>
      <c r="C35" s="52"/>
      <c r="D35" s="52"/>
      <c r="E35" s="52"/>
      <c r="F35" s="52"/>
      <c r="G35" s="626"/>
      <c r="H35" s="626"/>
      <c r="I35" s="626"/>
      <c r="J35" s="626"/>
      <c r="K35" s="626"/>
      <c r="L35" s="6"/>
      <c r="M35" s="6"/>
      <c r="N35" s="6"/>
      <c r="O35" s="6"/>
      <c r="P35" s="6"/>
      <c r="Q35" s="6"/>
      <c r="R35" s="6"/>
      <c r="S35" s="6"/>
      <c r="T35" s="6"/>
      <c r="U35" s="6"/>
      <c r="V35" s="6"/>
      <c r="W35" s="6"/>
      <c r="X35" s="6"/>
      <c r="Y35" s="6"/>
      <c r="Z35" s="6"/>
    </row>
    <row r="36" spans="1:26" ht="15.6">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6" hidden="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6">
      <c r="A38" s="6"/>
      <c r="B38" s="6"/>
      <c r="C38" s="6"/>
      <c r="D38" s="6"/>
      <c r="E38" s="6"/>
      <c r="F38" s="6"/>
      <c r="G38" s="632"/>
      <c r="H38" s="632"/>
      <c r="I38" s="632"/>
      <c r="J38" s="632"/>
      <c r="K38" s="632"/>
      <c r="L38" s="6"/>
      <c r="M38" s="6"/>
      <c r="N38" s="6"/>
      <c r="O38" s="6"/>
      <c r="P38" s="6"/>
      <c r="Q38" s="6"/>
      <c r="R38" s="6"/>
      <c r="S38" s="6"/>
      <c r="T38" s="6"/>
      <c r="U38" s="6"/>
      <c r="V38" s="6"/>
      <c r="W38" s="6"/>
      <c r="X38" s="6"/>
      <c r="Y38" s="6"/>
      <c r="Z38" s="6"/>
    </row>
    <row r="39" spans="1:26" ht="15.6">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6">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6">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6">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6">
      <c r="A43" s="783"/>
      <c r="B43" s="784"/>
      <c r="C43" s="784"/>
      <c r="D43" s="784"/>
      <c r="E43" s="784"/>
      <c r="F43" s="784"/>
      <c r="G43" s="784"/>
      <c r="H43" s="784"/>
      <c r="I43" s="784"/>
      <c r="J43" s="784"/>
      <c r="K43" s="785"/>
      <c r="L43" s="6"/>
      <c r="M43" s="6"/>
      <c r="N43" s="6"/>
      <c r="O43" s="6"/>
      <c r="P43" s="6"/>
      <c r="Q43" s="6"/>
      <c r="R43" s="6"/>
      <c r="S43" s="6"/>
      <c r="T43" s="6"/>
      <c r="U43" s="6"/>
      <c r="V43" s="6"/>
      <c r="W43" s="6"/>
      <c r="X43" s="6"/>
      <c r="Y43" s="6"/>
      <c r="Z43" s="6"/>
    </row>
    <row r="44" spans="1:26" ht="18.600000000000001">
      <c r="A44" s="69" t="s">
        <v>139</v>
      </c>
      <c r="B44" s="70"/>
      <c r="C44" s="71"/>
      <c r="D44" s="71"/>
      <c r="E44" s="71"/>
      <c r="F44" s="71"/>
      <c r="G44" s="6"/>
      <c r="H44" s="6"/>
      <c r="I44" s="6"/>
      <c r="J44" s="6"/>
      <c r="K44" s="6"/>
      <c r="L44" s="6"/>
      <c r="M44" s="6"/>
      <c r="N44" s="6"/>
      <c r="O44" s="6"/>
      <c r="P44" s="6"/>
      <c r="Q44" s="6"/>
      <c r="R44" s="6"/>
      <c r="S44" s="6"/>
      <c r="T44" s="6"/>
      <c r="U44" s="6"/>
      <c r="V44" s="6"/>
      <c r="W44" s="6"/>
      <c r="X44" s="6"/>
      <c r="Y44" s="6"/>
      <c r="Z44" s="6"/>
    </row>
    <row r="45" spans="1:26" ht="15.6">
      <c r="A45" s="72"/>
      <c r="B45" s="71"/>
      <c r="C45" s="71"/>
      <c r="D45" s="71"/>
      <c r="E45" s="71"/>
      <c r="F45" s="71"/>
      <c r="G45" s="6"/>
      <c r="H45" s="6"/>
      <c r="I45" s="6"/>
      <c r="J45" s="6"/>
      <c r="K45" s="6"/>
      <c r="L45" s="6"/>
      <c r="M45" s="6"/>
      <c r="N45" s="6"/>
      <c r="O45" s="6"/>
      <c r="P45" s="6"/>
      <c r="Q45" s="6"/>
      <c r="R45" s="6"/>
      <c r="S45" s="6"/>
      <c r="T45" s="6"/>
      <c r="U45" s="6"/>
      <c r="V45" s="6"/>
      <c r="W45" s="6"/>
      <c r="X45" s="6"/>
      <c r="Y45" s="6"/>
      <c r="Z45" s="6"/>
    </row>
    <row r="46" spans="1:26" ht="15.6">
      <c r="A46" s="73" t="s">
        <v>140</v>
      </c>
      <c r="B46" s="74"/>
      <c r="C46" s="75"/>
      <c r="D46" s="75"/>
      <c r="E46" s="75"/>
      <c r="F46" s="75"/>
      <c r="G46" s="67"/>
      <c r="H46" s="67"/>
      <c r="I46" s="67"/>
      <c r="J46" s="67"/>
      <c r="K46" s="67"/>
      <c r="L46" s="6"/>
      <c r="M46" s="6"/>
      <c r="N46" s="6"/>
      <c r="O46" s="6"/>
      <c r="P46" s="6"/>
      <c r="Q46" s="6"/>
      <c r="R46" s="6"/>
      <c r="S46" s="6"/>
      <c r="T46" s="6"/>
      <c r="U46" s="6"/>
      <c r="V46" s="6"/>
      <c r="W46" s="6"/>
      <c r="X46" s="6"/>
      <c r="Y46" s="6"/>
      <c r="Z46" s="6"/>
    </row>
    <row r="47" spans="1:26" ht="15.6">
      <c r="A47" s="59" t="s">
        <v>141</v>
      </c>
      <c r="B47" s="76"/>
      <c r="C47" s="77">
        <f>AVERAGE(B7:C7)/IS!C4</f>
        <v>0.44926729734743087</v>
      </c>
      <c r="D47" s="77">
        <f>AVERAGE(C7:D7)/IS!D4</f>
        <v>0.42260947274352095</v>
      </c>
      <c r="E47" s="77">
        <f>AVERAGE(D7:E7)/IS!E4</f>
        <v>0.40266517164050369</v>
      </c>
      <c r="F47" s="78">
        <f>AVERAGE(E7:F7)/IS!F4</f>
        <v>0.71010371361659419</v>
      </c>
      <c r="G47" s="79">
        <f>F47-5%</f>
        <v>0.66010371361659415</v>
      </c>
      <c r="H47" s="79">
        <f t="shared" ref="H47:K47" si="18">G47-5%</f>
        <v>0.6101037136165941</v>
      </c>
      <c r="I47" s="79">
        <f t="shared" si="18"/>
        <v>0.56010371361659406</v>
      </c>
      <c r="J47" s="79">
        <f t="shared" si="18"/>
        <v>0.51010371361659401</v>
      </c>
      <c r="K47" s="79">
        <f t="shared" si="18"/>
        <v>0.46010371361659402</v>
      </c>
      <c r="L47" s="15"/>
      <c r="M47" s="6"/>
      <c r="N47" s="6"/>
      <c r="O47" s="6"/>
      <c r="P47" s="6"/>
      <c r="Q47" s="6"/>
      <c r="R47" s="6"/>
      <c r="S47" s="6"/>
      <c r="T47" s="6"/>
      <c r="U47" s="6"/>
      <c r="V47" s="6"/>
      <c r="W47" s="6"/>
      <c r="X47" s="6"/>
      <c r="Y47" s="6"/>
      <c r="Z47" s="6"/>
    </row>
    <row r="48" spans="1:26" ht="15.6">
      <c r="A48" s="59" t="s">
        <v>142</v>
      </c>
      <c r="B48" s="24"/>
      <c r="C48" s="81">
        <f>IS!C4/AVERAGE(B7:C7)</f>
        <v>2.225846407927333</v>
      </c>
      <c r="D48" s="81">
        <f>IS!D4/AVERAGE(C7:D7)</f>
        <v>2.3662507929794883</v>
      </c>
      <c r="E48" s="81">
        <f>IS!E4/AVERAGE(D7:E7)</f>
        <v>2.4834529292063832</v>
      </c>
      <c r="F48" s="82">
        <f>IS!F4/AVERAGE(E7:F7)</f>
        <v>1.4082449941107185</v>
      </c>
      <c r="G48" s="83">
        <f t="shared" ref="G48:K48" si="19">1/G47</f>
        <v>1.5149134588581132</v>
      </c>
      <c r="H48" s="83">
        <f t="shared" si="19"/>
        <v>1.6390655845580173</v>
      </c>
      <c r="I48" s="83">
        <f t="shared" si="19"/>
        <v>1.7853836275124695</v>
      </c>
      <c r="J48" s="83">
        <f t="shared" si="19"/>
        <v>1.9603856496359946</v>
      </c>
      <c r="K48" s="84">
        <f t="shared" si="19"/>
        <v>2.1734230139974557</v>
      </c>
      <c r="L48" s="15"/>
      <c r="M48" s="6"/>
      <c r="N48" s="6"/>
      <c r="O48" s="6"/>
      <c r="P48" s="6"/>
      <c r="Q48" s="6"/>
      <c r="R48" s="6"/>
      <c r="S48" s="6"/>
      <c r="T48" s="6"/>
      <c r="U48" s="6"/>
      <c r="V48" s="6"/>
      <c r="W48" s="6"/>
      <c r="X48" s="6"/>
      <c r="Y48" s="6"/>
      <c r="Z48" s="6"/>
    </row>
    <row r="49" spans="1:26" ht="15.6">
      <c r="A49" s="59" t="s">
        <v>143</v>
      </c>
      <c r="B49" s="24"/>
      <c r="C49" s="81">
        <f t="shared" ref="C49:F49" si="20">365/C48</f>
        <v>163.98256353181227</v>
      </c>
      <c r="D49" s="81">
        <f t="shared" si="20"/>
        <v>154.25245755138516</v>
      </c>
      <c r="E49" s="81">
        <f t="shared" si="20"/>
        <v>146.97278764878385</v>
      </c>
      <c r="F49" s="82">
        <f t="shared" si="20"/>
        <v>259.18785547005689</v>
      </c>
      <c r="G49" s="27">
        <f t="shared" ref="G49:K49" si="21">360/G48</f>
        <v>237.63733690197387</v>
      </c>
      <c r="H49" s="27">
        <f t="shared" si="21"/>
        <v>219.63733690197387</v>
      </c>
      <c r="I49" s="27">
        <f t="shared" si="21"/>
        <v>201.63733690197384</v>
      </c>
      <c r="J49" s="27">
        <f t="shared" si="21"/>
        <v>183.63733690197384</v>
      </c>
      <c r="K49" s="28">
        <f t="shared" si="21"/>
        <v>165.63733690197384</v>
      </c>
      <c r="L49" s="15"/>
      <c r="M49" s="6"/>
      <c r="N49" s="6"/>
      <c r="O49" s="6"/>
      <c r="P49" s="6"/>
      <c r="Q49" s="6"/>
      <c r="R49" s="6"/>
      <c r="S49" s="6"/>
      <c r="T49" s="6"/>
      <c r="U49" s="6"/>
      <c r="V49" s="6"/>
      <c r="W49" s="6"/>
      <c r="X49" s="6"/>
      <c r="Y49" s="6"/>
      <c r="Z49" s="6"/>
    </row>
    <row r="50" spans="1:26" ht="15.6">
      <c r="A50" s="59"/>
      <c r="B50" s="24"/>
      <c r="C50" s="25"/>
      <c r="D50" s="25"/>
      <c r="E50" s="25"/>
      <c r="F50" s="26"/>
      <c r="G50" s="38"/>
      <c r="H50" s="38"/>
      <c r="I50" s="38"/>
      <c r="J50" s="38"/>
      <c r="K50" s="39"/>
      <c r="L50" s="15"/>
      <c r="M50" s="6"/>
      <c r="N50" s="6"/>
      <c r="O50" s="6"/>
      <c r="P50" s="6"/>
      <c r="Q50" s="6"/>
      <c r="R50" s="6"/>
      <c r="S50" s="6"/>
      <c r="T50" s="6"/>
      <c r="U50" s="6"/>
      <c r="V50" s="6"/>
      <c r="W50" s="6"/>
      <c r="X50" s="6"/>
      <c r="Y50" s="6"/>
      <c r="Z50" s="6"/>
    </row>
    <row r="51" spans="1:26" ht="15.6">
      <c r="A51" s="44" t="s">
        <v>115</v>
      </c>
      <c r="B51" s="24"/>
      <c r="C51" s="25"/>
      <c r="D51" s="25"/>
      <c r="E51" s="25"/>
      <c r="F51" s="26"/>
      <c r="G51" s="38"/>
      <c r="H51" s="38"/>
      <c r="I51" s="38"/>
      <c r="J51" s="38"/>
      <c r="K51" s="39"/>
      <c r="L51" s="15"/>
      <c r="M51" s="6"/>
      <c r="N51" s="6"/>
      <c r="O51" s="6"/>
      <c r="P51" s="6"/>
      <c r="Q51" s="6"/>
      <c r="R51" s="6"/>
      <c r="S51" s="6"/>
      <c r="T51" s="6"/>
      <c r="U51" s="6"/>
      <c r="V51" s="6"/>
      <c r="W51" s="6"/>
      <c r="X51" s="6"/>
      <c r="Y51" s="6"/>
      <c r="Z51" s="6"/>
    </row>
    <row r="52" spans="1:26" ht="15.6">
      <c r="A52" s="59" t="s">
        <v>144</v>
      </c>
      <c r="B52" s="24"/>
      <c r="C52" s="85">
        <f>AVERAGE(B8:C8)/-IS!C5</f>
        <v>9.3268807743070822E-2</v>
      </c>
      <c r="D52" s="85">
        <f>AVERAGE(C8:D8)/-IS!D5</f>
        <v>0.10039447731755424</v>
      </c>
      <c r="E52" s="85">
        <f>AVERAGE(D8:E8)/-IS!E5</f>
        <v>0.3325485579752796</v>
      </c>
      <c r="F52" s="86">
        <f>AVERAGE(E8:F8)/-IS!F5</f>
        <v>0.31820663300122831</v>
      </c>
      <c r="G52" s="87">
        <f>$F$52+5%</f>
        <v>0.3682066330012283</v>
      </c>
      <c r="H52" s="87">
        <f>AVERAGE(C52:G52)</f>
        <v>0.24252502180767227</v>
      </c>
      <c r="I52" s="87">
        <f t="shared" ref="I52:K52" si="22">AVERAGE(D52:H52)</f>
        <v>0.27237626462059256</v>
      </c>
      <c r="J52" s="87">
        <f t="shared" si="22"/>
        <v>0.30677262208120021</v>
      </c>
      <c r="K52" s="715">
        <f t="shared" si="22"/>
        <v>0.3016174349023843</v>
      </c>
      <c r="L52" s="15"/>
      <c r="M52" s="6"/>
      <c r="N52" s="6"/>
      <c r="O52" s="6"/>
      <c r="P52" s="6"/>
      <c r="Q52" s="6"/>
      <c r="R52" s="6"/>
      <c r="S52" s="6"/>
      <c r="T52" s="6"/>
      <c r="U52" s="6"/>
      <c r="V52" s="6"/>
      <c r="W52" s="6"/>
      <c r="X52" s="6"/>
      <c r="Y52" s="6"/>
      <c r="Z52" s="6"/>
    </row>
    <row r="53" spans="1:26" ht="15.6">
      <c r="A53" s="59" t="s">
        <v>145</v>
      </c>
      <c r="B53" s="24"/>
      <c r="C53" s="81">
        <f>-IS!C5/AVERAGE(B8:C8)</f>
        <v>10.721698113207548</v>
      </c>
      <c r="D53" s="81">
        <f>-IS!D5/AVERAGE(C8:D8)</f>
        <v>9.9607072691552059</v>
      </c>
      <c r="E53" s="81">
        <f>-IS!E5/AVERAGE(D8:E8)</f>
        <v>3.0070796460176989</v>
      </c>
      <c r="F53" s="82">
        <f>-IS!F5/AVERAGE(E8:F8)</f>
        <v>3.1426120523268284</v>
      </c>
      <c r="G53" s="83">
        <f t="shared" ref="G53:K53" si="23">1/G52</f>
        <v>2.7158663380098971</v>
      </c>
      <c r="H53" s="83">
        <f t="shared" si="23"/>
        <v>4.123285888385662</v>
      </c>
      <c r="I53" s="83">
        <f t="shared" si="23"/>
        <v>3.6713918571170412</v>
      </c>
      <c r="J53" s="83">
        <f t="shared" si="23"/>
        <v>3.259743301784304</v>
      </c>
      <c r="K53" s="84">
        <f t="shared" si="23"/>
        <v>3.3154582072606007</v>
      </c>
      <c r="L53" s="15"/>
      <c r="M53" s="6"/>
      <c r="N53" s="6"/>
      <c r="O53" s="6"/>
      <c r="P53" s="6"/>
      <c r="Q53" s="6"/>
      <c r="R53" s="6"/>
      <c r="S53" s="6"/>
      <c r="T53" s="6"/>
      <c r="U53" s="6"/>
      <c r="V53" s="6"/>
      <c r="W53" s="6"/>
      <c r="X53" s="6"/>
      <c r="Y53" s="6"/>
      <c r="Z53" s="6"/>
    </row>
    <row r="54" spans="1:26" ht="15.6">
      <c r="A54" s="59" t="s">
        <v>146</v>
      </c>
      <c r="B54" s="24"/>
      <c r="C54" s="81">
        <f t="shared" ref="C54:F54" si="24">360/C53</f>
        <v>33.576770787505495</v>
      </c>
      <c r="D54" s="81">
        <f t="shared" si="24"/>
        <v>36.142011834319526</v>
      </c>
      <c r="E54" s="81">
        <f t="shared" si="24"/>
        <v>119.71748087110065</v>
      </c>
      <c r="F54" s="82">
        <f t="shared" si="24"/>
        <v>114.55438788044219</v>
      </c>
      <c r="G54" s="27">
        <f t="shared" ref="G54:K54" si="25">360/G53</f>
        <v>132.55438788044219</v>
      </c>
      <c r="H54" s="27">
        <f t="shared" si="25"/>
        <v>87.309007850762015</v>
      </c>
      <c r="I54" s="27">
        <f t="shared" si="25"/>
        <v>98.055455263413322</v>
      </c>
      <c r="J54" s="27">
        <f t="shared" si="25"/>
        <v>110.43814394923207</v>
      </c>
      <c r="K54" s="28">
        <f t="shared" si="25"/>
        <v>108.58227656485835</v>
      </c>
      <c r="L54" s="15"/>
      <c r="M54" s="6"/>
      <c r="N54" s="6"/>
      <c r="O54" s="6"/>
      <c r="P54" s="6"/>
      <c r="Q54" s="6"/>
      <c r="R54" s="6"/>
      <c r="S54" s="6"/>
      <c r="T54" s="6"/>
      <c r="U54" s="6"/>
      <c r="V54" s="6"/>
      <c r="W54" s="6"/>
      <c r="X54" s="6"/>
      <c r="Y54" s="6"/>
      <c r="Z54" s="6"/>
    </row>
    <row r="55" spans="1:26" ht="15.6">
      <c r="A55" s="59"/>
      <c r="B55" s="24"/>
      <c r="C55" s="25"/>
      <c r="D55" s="25"/>
      <c r="E55" s="25"/>
      <c r="F55" s="89"/>
      <c r="G55" s="38"/>
      <c r="H55" s="38"/>
      <c r="I55" s="38"/>
      <c r="J55" s="38"/>
      <c r="K55" s="39"/>
      <c r="L55" s="15"/>
      <c r="M55" s="6"/>
      <c r="N55" s="6"/>
      <c r="O55" s="6"/>
      <c r="P55" s="6"/>
      <c r="Q55" s="6"/>
      <c r="R55" s="6"/>
      <c r="S55" s="6"/>
      <c r="T55" s="6"/>
      <c r="U55" s="6"/>
      <c r="V55" s="6"/>
      <c r="W55" s="6"/>
      <c r="X55" s="6"/>
      <c r="Y55" s="6"/>
      <c r="Z55" s="6"/>
    </row>
    <row r="56" spans="1:26" ht="15.6">
      <c r="A56" s="44" t="s">
        <v>147</v>
      </c>
      <c r="B56" s="24"/>
      <c r="C56" s="25"/>
      <c r="D56" s="25"/>
      <c r="E56" s="25"/>
      <c r="F56" s="26"/>
      <c r="G56" s="38"/>
      <c r="H56" s="38"/>
      <c r="I56" s="38"/>
      <c r="J56" s="38"/>
      <c r="K56" s="39"/>
      <c r="L56" s="15"/>
      <c r="M56" s="6"/>
      <c r="N56" s="6"/>
      <c r="O56" s="6"/>
      <c r="P56" s="6"/>
      <c r="Q56" s="6"/>
      <c r="R56" s="6"/>
      <c r="S56" s="6"/>
      <c r="T56" s="6"/>
      <c r="U56" s="6"/>
      <c r="V56" s="6"/>
      <c r="W56" s="6"/>
      <c r="X56" s="6"/>
      <c r="Y56" s="6"/>
      <c r="Z56" s="6"/>
    </row>
    <row r="57" spans="1:26" ht="15.6">
      <c r="A57" s="59" t="s">
        <v>148</v>
      </c>
      <c r="B57" s="24"/>
      <c r="C57" s="85">
        <f>AVERAGE(B18:C18)/-IS!C5</f>
        <v>0.41223053233611961</v>
      </c>
      <c r="D57" s="85">
        <f>AVERAGE(C18:D18)/-IS!D5</f>
        <v>1.0242603550295859</v>
      </c>
      <c r="E57" s="85">
        <f>AVERAGE(D18:E18)/-IS!E5</f>
        <v>0.69119089660584665</v>
      </c>
      <c r="F57" s="86">
        <f>AVERAGE(E18:F18)/-IS!F5</f>
        <v>0.5343250989490923</v>
      </c>
      <c r="G57" s="90">
        <f>AVERAGE(F18:G18)/-IS!G5</f>
        <v>2.3854163041956555</v>
      </c>
      <c r="H57" s="91">
        <f>G57*0.7</f>
        <v>1.6697914129369589</v>
      </c>
      <c r="I57" s="91">
        <f t="shared" ref="I57:K57" si="26">H57*0.8</f>
        <v>1.3358331303495672</v>
      </c>
      <c r="J57" s="91">
        <f t="shared" si="26"/>
        <v>1.0686665042796537</v>
      </c>
      <c r="K57" s="92">
        <f t="shared" si="26"/>
        <v>0.85493320342372303</v>
      </c>
      <c r="L57" s="15"/>
      <c r="M57" s="6"/>
      <c r="N57" s="6"/>
      <c r="O57" s="6"/>
      <c r="P57" s="6"/>
      <c r="Q57" s="6"/>
      <c r="R57" s="6"/>
      <c r="S57" s="6"/>
      <c r="T57" s="6"/>
      <c r="U57" s="6"/>
      <c r="V57" s="6"/>
      <c r="W57" s="6"/>
      <c r="X57" s="6"/>
      <c r="Y57" s="6"/>
      <c r="Z57" s="6"/>
    </row>
    <row r="58" spans="1:26" ht="15.6">
      <c r="A58" s="59" t="s">
        <v>149</v>
      </c>
      <c r="B58" s="24"/>
      <c r="C58" s="93">
        <f>-IS!C5/AVERAGE(B18:C18)</f>
        <v>2.425827107790822</v>
      </c>
      <c r="D58" s="93">
        <f>-IS!D5/AVERAGE(C18:D18)</f>
        <v>0.9763142692085498</v>
      </c>
      <c r="E58" s="93">
        <f>-IS!E5/AVERAGE(D18:E18)</f>
        <v>1.4467783139369854</v>
      </c>
      <c r="F58" s="94">
        <f>-IS!F5/AVERAGE(E18:F18)</f>
        <v>1.871519795657727</v>
      </c>
      <c r="G58" s="83">
        <f t="shared" ref="G58:K58" si="27">1/G57</f>
        <v>0.41921403749992081</v>
      </c>
      <c r="H58" s="83">
        <f t="shared" si="27"/>
        <v>0.59887719642845827</v>
      </c>
      <c r="I58" s="83">
        <f t="shared" si="27"/>
        <v>0.74859649553557284</v>
      </c>
      <c r="J58" s="83">
        <f t="shared" si="27"/>
        <v>0.93574561941946599</v>
      </c>
      <c r="K58" s="84">
        <f t="shared" si="27"/>
        <v>1.1696820242743324</v>
      </c>
      <c r="L58" s="15"/>
      <c r="M58" s="6"/>
      <c r="N58" s="6"/>
      <c r="O58" s="6"/>
      <c r="P58" s="6"/>
      <c r="Q58" s="6"/>
      <c r="R58" s="6"/>
      <c r="S58" s="6"/>
      <c r="T58" s="6"/>
      <c r="U58" s="6"/>
      <c r="V58" s="6"/>
      <c r="W58" s="6"/>
      <c r="X58" s="6"/>
      <c r="Y58" s="6"/>
      <c r="Z58" s="6"/>
    </row>
    <row r="59" spans="1:26" ht="15.6">
      <c r="A59" s="59" t="s">
        <v>150</v>
      </c>
      <c r="B59" s="24"/>
      <c r="C59" s="81">
        <f t="shared" ref="C59:F59" si="28">360/C58</f>
        <v>148.40299164100307</v>
      </c>
      <c r="D59" s="81">
        <f t="shared" si="28"/>
        <v>368.73372781065098</v>
      </c>
      <c r="E59" s="81">
        <f t="shared" si="28"/>
        <v>248.82872277810478</v>
      </c>
      <c r="F59" s="82">
        <f t="shared" si="28"/>
        <v>192.35703562167325</v>
      </c>
      <c r="G59" s="27">
        <f t="shared" ref="G59:K59" si="29">360/G58</f>
        <v>858.74986951043593</v>
      </c>
      <c r="H59" s="27">
        <f t="shared" si="29"/>
        <v>601.12490865730524</v>
      </c>
      <c r="I59" s="27">
        <f t="shared" si="29"/>
        <v>480.89992692584417</v>
      </c>
      <c r="J59" s="27">
        <f t="shared" si="29"/>
        <v>384.71994154067534</v>
      </c>
      <c r="K59" s="28">
        <f t="shared" si="29"/>
        <v>307.7759532325403</v>
      </c>
      <c r="L59" s="15"/>
      <c r="M59" s="6"/>
      <c r="N59" s="6"/>
      <c r="O59" s="6"/>
      <c r="P59" s="6"/>
      <c r="Q59" s="6"/>
      <c r="R59" s="6"/>
      <c r="S59" s="6"/>
      <c r="T59" s="6"/>
      <c r="U59" s="6"/>
      <c r="V59" s="6"/>
      <c r="W59" s="6"/>
      <c r="X59" s="6"/>
      <c r="Y59" s="6"/>
      <c r="Z59" s="6"/>
    </row>
    <row r="60" spans="1:26" ht="15.6">
      <c r="A60" s="59"/>
      <c r="B60" s="24"/>
      <c r="C60" s="25"/>
      <c r="D60" s="25"/>
      <c r="E60" s="25"/>
      <c r="F60" s="26"/>
      <c r="G60" s="38"/>
      <c r="H60" s="38"/>
      <c r="I60" s="38"/>
      <c r="J60" s="38"/>
      <c r="K60" s="39"/>
      <c r="L60" s="15"/>
      <c r="M60" s="6"/>
      <c r="N60" s="6"/>
      <c r="O60" s="6"/>
      <c r="P60" s="6"/>
      <c r="Q60" s="6"/>
      <c r="R60" s="6"/>
      <c r="S60" s="6"/>
      <c r="T60" s="6"/>
      <c r="U60" s="6"/>
      <c r="V60" s="6"/>
      <c r="W60" s="6"/>
      <c r="X60" s="6"/>
      <c r="Y60" s="6"/>
      <c r="Z60" s="6"/>
    </row>
    <row r="61" spans="1:26" ht="15.6">
      <c r="A61" s="95" t="s">
        <v>151</v>
      </c>
      <c r="B61" s="24"/>
      <c r="C61" s="25"/>
      <c r="D61" s="25"/>
      <c r="E61" s="25"/>
      <c r="F61" s="26"/>
      <c r="G61" s="38"/>
      <c r="H61" s="38"/>
      <c r="I61" s="38"/>
      <c r="J61" s="38"/>
      <c r="K61" s="39"/>
      <c r="L61" s="15"/>
      <c r="M61" s="6"/>
      <c r="N61" s="6"/>
      <c r="O61" s="6"/>
      <c r="P61" s="6"/>
      <c r="Q61" s="6"/>
      <c r="R61" s="6"/>
      <c r="S61" s="6"/>
      <c r="T61" s="6"/>
      <c r="U61" s="6"/>
      <c r="V61" s="6"/>
      <c r="W61" s="6"/>
      <c r="X61" s="6"/>
      <c r="Y61" s="6"/>
      <c r="Z61" s="6"/>
    </row>
    <row r="62" spans="1:26" ht="15.6">
      <c r="A62" s="96" t="s">
        <v>152</v>
      </c>
      <c r="B62" s="97">
        <v>0</v>
      </c>
      <c r="C62" s="98">
        <f>B19</f>
        <v>45.2</v>
      </c>
      <c r="D62" s="98">
        <f>C19</f>
        <v>5.9</v>
      </c>
      <c r="E62" s="98">
        <f>D19</f>
        <v>106.4</v>
      </c>
      <c r="F62" s="99">
        <f>E19</f>
        <v>553.6</v>
      </c>
      <c r="G62" s="100">
        <f t="shared" ref="G62:K62" si="30">F64</f>
        <v>600.9</v>
      </c>
      <c r="H62" s="100">
        <f t="shared" si="30"/>
        <v>660.99</v>
      </c>
      <c r="I62" s="100">
        <f t="shared" si="30"/>
        <v>727.08900000000006</v>
      </c>
      <c r="J62" s="100">
        <f t="shared" si="30"/>
        <v>799.79790000000003</v>
      </c>
      <c r="K62" s="101">
        <f t="shared" si="30"/>
        <v>879.77769000000001</v>
      </c>
      <c r="L62" s="15"/>
      <c r="M62" s="6"/>
      <c r="N62" s="6"/>
      <c r="O62" s="6"/>
      <c r="P62" s="6"/>
      <c r="Q62" s="6"/>
      <c r="R62" s="6"/>
      <c r="S62" s="6"/>
      <c r="T62" s="6"/>
      <c r="U62" s="6"/>
      <c r="V62" s="6"/>
      <c r="W62" s="6"/>
      <c r="X62" s="6"/>
      <c r="Y62" s="6"/>
      <c r="Z62" s="6"/>
    </row>
    <row r="63" spans="1:26" ht="15.6">
      <c r="A63" s="96" t="s">
        <v>153</v>
      </c>
      <c r="B63" s="97">
        <v>0</v>
      </c>
      <c r="C63" s="98">
        <f t="shared" ref="C63:F63" si="31">C64-C62</f>
        <v>-39.300000000000004</v>
      </c>
      <c r="D63" s="98">
        <f t="shared" si="31"/>
        <v>100.5</v>
      </c>
      <c r="E63" s="98">
        <f t="shared" si="31"/>
        <v>447.20000000000005</v>
      </c>
      <c r="F63" s="99">
        <f t="shared" si="31"/>
        <v>47.299999999999955</v>
      </c>
      <c r="G63" s="100">
        <f t="shared" ref="G63:K63" si="32">0.1*G62</f>
        <v>60.09</v>
      </c>
      <c r="H63" s="100">
        <f t="shared" si="32"/>
        <v>66.099000000000004</v>
      </c>
      <c r="I63" s="100">
        <f t="shared" si="32"/>
        <v>72.708900000000014</v>
      </c>
      <c r="J63" s="100">
        <f t="shared" si="32"/>
        <v>79.979790000000008</v>
      </c>
      <c r="K63" s="101">
        <f t="shared" si="32"/>
        <v>87.977769000000009</v>
      </c>
      <c r="L63" s="15"/>
      <c r="M63" s="6"/>
      <c r="N63" s="6"/>
      <c r="O63" s="6"/>
      <c r="P63" s="6"/>
      <c r="Q63" s="6"/>
      <c r="R63" s="6"/>
      <c r="S63" s="6"/>
      <c r="T63" s="6"/>
      <c r="U63" s="6"/>
      <c r="V63" s="6"/>
      <c r="W63" s="6"/>
      <c r="X63" s="6"/>
      <c r="Y63" s="6"/>
      <c r="Z63" s="6"/>
    </row>
    <row r="64" spans="1:26" ht="15.6">
      <c r="A64" s="96" t="s">
        <v>154</v>
      </c>
      <c r="B64" s="97">
        <v>0</v>
      </c>
      <c r="C64" s="98">
        <f>C19</f>
        <v>5.9</v>
      </c>
      <c r="D64" s="98">
        <f>D19</f>
        <v>106.4</v>
      </c>
      <c r="E64" s="98">
        <f>E19</f>
        <v>553.6</v>
      </c>
      <c r="F64" s="99">
        <f>F19</f>
        <v>600.9</v>
      </c>
      <c r="G64" s="100">
        <f t="shared" ref="G64:K64" si="33">SUM(G62:G63)</f>
        <v>660.99</v>
      </c>
      <c r="H64" s="100">
        <f t="shared" si="33"/>
        <v>727.08900000000006</v>
      </c>
      <c r="I64" s="100">
        <f t="shared" si="33"/>
        <v>799.79790000000003</v>
      </c>
      <c r="J64" s="100">
        <f t="shared" si="33"/>
        <v>879.77769000000001</v>
      </c>
      <c r="K64" s="101">
        <f t="shared" si="33"/>
        <v>967.75545899999997</v>
      </c>
      <c r="L64" s="15"/>
      <c r="M64" s="6"/>
      <c r="N64" s="6"/>
      <c r="O64" s="6"/>
      <c r="P64" s="6"/>
      <c r="Q64" s="6"/>
      <c r="R64" s="6"/>
      <c r="S64" s="6"/>
      <c r="T64" s="6"/>
      <c r="U64" s="6"/>
      <c r="V64" s="6"/>
      <c r="W64" s="6"/>
      <c r="X64" s="6"/>
      <c r="Y64" s="6"/>
      <c r="Z64" s="6"/>
    </row>
    <row r="65" spans="1:26" ht="15.6">
      <c r="A65" s="96"/>
      <c r="B65" s="102"/>
      <c r="C65" s="103"/>
      <c r="D65" s="103"/>
      <c r="E65" s="104"/>
      <c r="F65" s="105"/>
      <c r="G65" s="38"/>
      <c r="H65" s="38"/>
      <c r="I65" s="38"/>
      <c r="J65" s="38"/>
      <c r="K65" s="39"/>
      <c r="L65" s="15"/>
      <c r="M65" s="6"/>
      <c r="N65" s="6"/>
      <c r="O65" s="6"/>
      <c r="P65" s="6"/>
      <c r="Q65" s="6"/>
      <c r="R65" s="6"/>
      <c r="S65" s="6"/>
      <c r="T65" s="6"/>
      <c r="U65" s="6"/>
      <c r="V65" s="6"/>
      <c r="W65" s="6"/>
      <c r="X65" s="6"/>
      <c r="Y65" s="6"/>
      <c r="Z65" s="6"/>
    </row>
    <row r="66" spans="1:26" ht="15.6">
      <c r="A66" s="44" t="s">
        <v>128</v>
      </c>
      <c r="B66" s="24"/>
      <c r="C66" s="25"/>
      <c r="D66" s="104"/>
      <c r="E66" s="104"/>
      <c r="F66" s="105"/>
      <c r="G66" s="38"/>
      <c r="H66" s="38"/>
      <c r="I66" s="38"/>
      <c r="J66" s="38"/>
      <c r="K66" s="39"/>
      <c r="L66" s="15"/>
      <c r="M66" s="6"/>
      <c r="N66" s="6"/>
      <c r="O66" s="6"/>
      <c r="P66" s="6"/>
      <c r="Q66" s="6"/>
      <c r="R66" s="6"/>
      <c r="S66" s="6"/>
      <c r="T66" s="6"/>
      <c r="U66" s="6"/>
      <c r="V66" s="6"/>
      <c r="W66" s="6"/>
      <c r="X66" s="6"/>
      <c r="Y66" s="6"/>
      <c r="Z66" s="6"/>
    </row>
    <row r="67" spans="1:26" ht="15.6">
      <c r="A67" s="59" t="s">
        <v>155</v>
      </c>
      <c r="B67" s="106"/>
      <c r="C67" s="107">
        <f>(C22-B22)/IS!C18</f>
        <v>1.7677974199713335E-2</v>
      </c>
      <c r="D67" s="107">
        <f>(D22-C22)/IS!D18</f>
        <v>1.8686599038974905E-2</v>
      </c>
      <c r="E67" s="107">
        <f>(E22-D22)/IS!E18</f>
        <v>3.717728055077453E-2</v>
      </c>
      <c r="F67" s="108">
        <f>(F22-E22)/IS!F18</f>
        <v>1.3898305084745767E-2</v>
      </c>
      <c r="G67" s="91">
        <f>(G22-F22)/IS!G18</f>
        <v>5.2505559697592543E-3</v>
      </c>
      <c r="H67" s="91">
        <f>(H22-G22)/IS!H18</f>
        <v>4.4758512664994712E-3</v>
      </c>
      <c r="I67" s="91">
        <f>(I22-H22)/IS!I18</f>
        <v>3.8037235165740307E-3</v>
      </c>
      <c r="J67" s="91">
        <f>(J22-I22)/IS!J18</f>
        <v>3.8897700794319466E-3</v>
      </c>
      <c r="K67" s="92">
        <f>(K22-J22)/IS!K18</f>
        <v>3.9450960351030372E-3</v>
      </c>
      <c r="L67" s="15"/>
      <c r="M67" s="6"/>
      <c r="N67" s="6"/>
      <c r="O67" s="6"/>
      <c r="P67" s="6"/>
      <c r="Q67" s="6"/>
      <c r="R67" s="6"/>
      <c r="S67" s="6"/>
      <c r="T67" s="6"/>
      <c r="U67" s="6"/>
      <c r="V67" s="6"/>
      <c r="W67" s="6"/>
      <c r="X67" s="6"/>
      <c r="Y67" s="6"/>
      <c r="Z67" s="6"/>
    </row>
    <row r="68" spans="1:26" ht="15.6">
      <c r="A68" s="59"/>
      <c r="B68" s="24"/>
      <c r="C68" s="25"/>
      <c r="D68" s="104"/>
      <c r="E68" s="104"/>
      <c r="F68" s="105"/>
      <c r="G68" s="38"/>
      <c r="H68" s="38"/>
      <c r="I68" s="38"/>
      <c r="J68" s="38"/>
      <c r="K68" s="39"/>
      <c r="L68" s="15"/>
      <c r="M68" s="6"/>
      <c r="N68" s="6"/>
      <c r="O68" s="6"/>
      <c r="P68" s="6"/>
      <c r="Q68" s="6"/>
      <c r="R68" s="6"/>
      <c r="S68" s="6"/>
      <c r="T68" s="6"/>
      <c r="U68" s="6"/>
      <c r="V68" s="6"/>
      <c r="W68" s="6"/>
      <c r="X68" s="6"/>
      <c r="Y68" s="6"/>
      <c r="Z68" s="6"/>
    </row>
    <row r="69" spans="1:26" ht="15.6">
      <c r="A69" s="44" t="s">
        <v>129</v>
      </c>
      <c r="B69" s="109"/>
      <c r="C69" s="110"/>
      <c r="D69" s="110"/>
      <c r="E69" s="110"/>
      <c r="F69" s="111"/>
      <c r="G69" s="38"/>
      <c r="H69" s="38"/>
      <c r="I69" s="38"/>
      <c r="J69" s="38"/>
      <c r="K69" s="39"/>
      <c r="L69" s="15"/>
      <c r="M69" s="6"/>
      <c r="N69" s="6"/>
      <c r="O69" s="6"/>
      <c r="P69" s="6"/>
      <c r="Q69" s="6"/>
      <c r="R69" s="6"/>
      <c r="S69" s="6"/>
      <c r="T69" s="6"/>
      <c r="U69" s="6"/>
      <c r="V69" s="6"/>
      <c r="W69" s="6"/>
      <c r="X69" s="6"/>
      <c r="Y69" s="6"/>
      <c r="Z69" s="6"/>
    </row>
    <row r="70" spans="1:26" ht="15.6">
      <c r="A70" s="59" t="s">
        <v>156</v>
      </c>
      <c r="B70" s="24"/>
      <c r="C70" s="112">
        <f>(C23-B23)/IS!C18</f>
        <v>0</v>
      </c>
      <c r="D70" s="112">
        <f>(D23-C23)/IS!D18</f>
        <v>-1.6017084890549921E-3</v>
      </c>
      <c r="E70" s="112">
        <f>(E23-D23)/IS!E18</f>
        <v>0</v>
      </c>
      <c r="F70" s="113">
        <f>(F23-E23)/IS!F18</f>
        <v>-1.0169491525423729E-3</v>
      </c>
      <c r="G70" s="114">
        <f>(G23-F23)/IS!G18</f>
        <v>8.8244638147214169E-4</v>
      </c>
      <c r="H70" s="114">
        <f>(H23-G23)/IS!H18</f>
        <v>0</v>
      </c>
      <c r="I70" s="114">
        <f>(I23-H23)/IS!I18</f>
        <v>0</v>
      </c>
      <c r="J70" s="114">
        <f>(J23-I23)/IS!J18</f>
        <v>0</v>
      </c>
      <c r="K70" s="115">
        <f>(K23-J23)/IS!K18</f>
        <v>0</v>
      </c>
      <c r="L70" s="15"/>
      <c r="M70" s="6"/>
      <c r="N70" s="6"/>
      <c r="O70" s="6"/>
      <c r="P70" s="6"/>
      <c r="Q70" s="6"/>
      <c r="R70" s="6"/>
      <c r="S70" s="6"/>
      <c r="T70" s="6"/>
      <c r="U70" s="6"/>
      <c r="V70" s="6"/>
      <c r="W70" s="6"/>
      <c r="X70" s="6"/>
      <c r="Y70" s="6"/>
      <c r="Z70" s="6"/>
    </row>
    <row r="71" spans="1:26" ht="15.6">
      <c r="A71" s="59"/>
      <c r="B71" s="24"/>
      <c r="C71" s="25"/>
      <c r="D71" s="104"/>
      <c r="E71" s="25"/>
      <c r="F71" s="26"/>
      <c r="G71" s="38"/>
      <c r="H71" s="38"/>
      <c r="I71" s="38"/>
      <c r="J71" s="38"/>
      <c r="K71" s="39"/>
      <c r="L71" s="15"/>
      <c r="M71" s="6"/>
      <c r="N71" s="6"/>
      <c r="O71" s="6"/>
      <c r="P71" s="6"/>
      <c r="Q71" s="6"/>
      <c r="R71" s="6"/>
      <c r="S71" s="6"/>
      <c r="T71" s="6"/>
      <c r="U71" s="6"/>
      <c r="V71" s="6"/>
      <c r="W71" s="6"/>
      <c r="X71" s="6"/>
      <c r="Y71" s="6"/>
      <c r="Z71" s="6"/>
    </row>
    <row r="72" spans="1:26" ht="15.6">
      <c r="A72" s="44" t="s">
        <v>135</v>
      </c>
      <c r="B72" s="109"/>
      <c r="C72" s="110">
        <f t="shared" ref="C72:F72" si="34">C37</f>
        <v>0</v>
      </c>
      <c r="D72" s="110">
        <f t="shared" si="34"/>
        <v>0</v>
      </c>
      <c r="E72" s="110">
        <f t="shared" si="34"/>
        <v>0</v>
      </c>
      <c r="F72" s="111">
        <f t="shared" si="34"/>
        <v>0</v>
      </c>
      <c r="G72" s="38"/>
      <c r="H72" s="38"/>
      <c r="I72" s="38"/>
      <c r="J72" s="38"/>
      <c r="K72" s="39"/>
      <c r="L72" s="15"/>
      <c r="M72" s="6"/>
      <c r="N72" s="6"/>
      <c r="O72" s="6"/>
      <c r="P72" s="6"/>
      <c r="Q72" s="6"/>
      <c r="R72" s="6"/>
      <c r="S72" s="6"/>
      <c r="T72" s="6"/>
      <c r="U72" s="6"/>
      <c r="V72" s="6"/>
      <c r="W72" s="6"/>
      <c r="X72" s="6"/>
      <c r="Y72" s="6"/>
      <c r="Z72" s="6"/>
    </row>
    <row r="73" spans="1:26" ht="15.6">
      <c r="A73" s="59" t="s">
        <v>156</v>
      </c>
      <c r="B73" s="24"/>
      <c r="C73" s="85">
        <f>(C30-B30)/IS!C18</f>
        <v>3.4400382226469163E-2</v>
      </c>
      <c r="D73" s="85">
        <f>(D30-C30)/IS!D18</f>
        <v>2.5093432995194887E-2</v>
      </c>
      <c r="E73" s="85">
        <f>(E30-D30)/IS!E18</f>
        <v>6.1273666092943192E-2</v>
      </c>
      <c r="F73" s="86">
        <f>(F30-E30)/IS!F18</f>
        <v>2.8813559322033899E-2</v>
      </c>
      <c r="G73" s="90">
        <f>(G30-F30)/IS!G18</f>
        <v>1.2839594850419689E-2</v>
      </c>
      <c r="H73" s="90">
        <f>(H30-G30)/IS!H18</f>
        <v>1.0945148895389459E-2</v>
      </c>
      <c r="I73" s="90">
        <f>(I30-H30)/IS!I18</f>
        <v>9.3015423808659285E-3</v>
      </c>
      <c r="J73" s="90">
        <f>(J30-I30)/IS!J18</f>
        <v>9.5119587656697091E-3</v>
      </c>
      <c r="K73" s="116">
        <f>(K30-J30)/IS!K18</f>
        <v>9.6472516488654275E-3</v>
      </c>
      <c r="L73" s="15"/>
      <c r="M73" s="6"/>
      <c r="N73" s="6"/>
      <c r="O73" s="6"/>
      <c r="P73" s="6"/>
      <c r="Q73" s="6"/>
      <c r="R73" s="6"/>
      <c r="S73" s="6"/>
      <c r="T73" s="6"/>
      <c r="U73" s="6"/>
      <c r="V73" s="6"/>
      <c r="W73" s="6"/>
      <c r="X73" s="6"/>
      <c r="Y73" s="6"/>
      <c r="Z73" s="6"/>
    </row>
    <row r="74" spans="1:26" ht="15.6">
      <c r="A74" s="117"/>
      <c r="B74" s="24"/>
      <c r="C74" s="25"/>
      <c r="D74" s="25"/>
      <c r="E74" s="25"/>
      <c r="F74" s="26"/>
      <c r="G74" s="38"/>
      <c r="H74" s="38"/>
      <c r="I74" s="38"/>
      <c r="J74" s="38"/>
      <c r="K74" s="39"/>
      <c r="L74" s="15"/>
      <c r="M74" s="6"/>
      <c r="N74" s="6"/>
      <c r="O74" s="6"/>
      <c r="P74" s="6"/>
      <c r="Q74" s="6"/>
      <c r="R74" s="6"/>
      <c r="S74" s="6"/>
      <c r="T74" s="6"/>
      <c r="U74" s="6"/>
      <c r="V74" s="6"/>
      <c r="W74" s="6"/>
      <c r="X74" s="6"/>
      <c r="Y74" s="6"/>
      <c r="Z74" s="6"/>
    </row>
    <row r="75" spans="1:26" ht="15.6">
      <c r="A75" s="117"/>
      <c r="B75" s="24"/>
      <c r="C75" s="25"/>
      <c r="D75" s="25"/>
      <c r="E75" s="25"/>
      <c r="F75" s="26"/>
      <c r="G75" s="38"/>
      <c r="H75" s="38"/>
      <c r="I75" s="38"/>
      <c r="J75" s="38"/>
      <c r="K75" s="39"/>
      <c r="L75" s="15"/>
      <c r="M75" s="6"/>
      <c r="N75" s="6"/>
      <c r="O75" s="6"/>
      <c r="P75" s="6"/>
      <c r="Q75" s="6"/>
      <c r="R75" s="6"/>
      <c r="S75" s="6"/>
      <c r="T75" s="6"/>
      <c r="U75" s="6"/>
      <c r="V75" s="6"/>
      <c r="W75" s="6"/>
      <c r="X75" s="6"/>
      <c r="Y75" s="6"/>
      <c r="Z75" s="6"/>
    </row>
    <row r="76" spans="1:26" ht="15.6" hidden="1">
      <c r="A76" s="117"/>
      <c r="B76" s="24"/>
      <c r="C76" s="25"/>
      <c r="D76" s="25"/>
      <c r="E76" s="25"/>
      <c r="F76" s="26"/>
      <c r="G76" s="38"/>
      <c r="H76" s="38"/>
      <c r="I76" s="38"/>
      <c r="J76" s="38"/>
      <c r="K76" s="39"/>
      <c r="L76" s="15"/>
      <c r="M76" s="6"/>
      <c r="N76" s="6"/>
      <c r="O76" s="6"/>
      <c r="P76" s="6"/>
      <c r="Q76" s="6"/>
      <c r="R76" s="6"/>
      <c r="S76" s="6"/>
      <c r="T76" s="6"/>
      <c r="U76" s="6"/>
      <c r="V76" s="6"/>
      <c r="W76" s="6"/>
      <c r="X76" s="6"/>
      <c r="Y76" s="6"/>
      <c r="Z76" s="6"/>
    </row>
    <row r="77" spans="1:26" ht="15.6" hidden="1">
      <c r="A77" s="117"/>
      <c r="B77" s="24"/>
      <c r="C77" s="25"/>
      <c r="D77" s="25"/>
      <c r="E77" s="25"/>
      <c r="F77" s="26"/>
      <c r="G77" s="38"/>
      <c r="H77" s="38"/>
      <c r="I77" s="38"/>
      <c r="J77" s="38"/>
      <c r="K77" s="39"/>
      <c r="L77" s="15"/>
      <c r="M77" s="6"/>
      <c r="N77" s="6"/>
      <c r="O77" s="6"/>
      <c r="P77" s="6"/>
      <c r="Q77" s="6"/>
      <c r="R77" s="6"/>
      <c r="S77" s="6"/>
      <c r="T77" s="6"/>
      <c r="U77" s="6"/>
      <c r="V77" s="6"/>
      <c r="W77" s="6"/>
      <c r="X77" s="6"/>
      <c r="Y77" s="6"/>
      <c r="Z77" s="6"/>
    </row>
    <row r="78" spans="1:26" ht="15.6" hidden="1">
      <c r="A78" s="118">
        <v>438.94661821068621</v>
      </c>
      <c r="B78" s="30">
        <v>579.83525190077671</v>
      </c>
      <c r="C78" s="31">
        <v>307.08794485736144</v>
      </c>
      <c r="D78" s="31">
        <v>467.06506937977974</v>
      </c>
      <c r="E78" s="31">
        <v>666.84078687276269</v>
      </c>
      <c r="F78" s="26"/>
      <c r="G78" s="38"/>
      <c r="H78" s="38"/>
      <c r="I78" s="38"/>
      <c r="J78" s="38"/>
      <c r="K78" s="39"/>
      <c r="L78" s="15"/>
      <c r="M78" s="6"/>
      <c r="N78" s="6"/>
      <c r="O78" s="6"/>
      <c r="P78" s="6"/>
      <c r="Q78" s="6"/>
      <c r="R78" s="6"/>
      <c r="S78" s="6"/>
      <c r="T78" s="6"/>
      <c r="U78" s="6"/>
      <c r="V78" s="6"/>
      <c r="W78" s="6"/>
      <c r="X78" s="6"/>
      <c r="Y78" s="6"/>
      <c r="Z78" s="6"/>
    </row>
    <row r="79" spans="1:26" ht="15.6" hidden="1">
      <c r="A79" s="117"/>
      <c r="B79" s="24"/>
      <c r="C79" s="25"/>
      <c r="D79" s="25"/>
      <c r="E79" s="25"/>
      <c r="F79" s="26"/>
      <c r="G79" s="38"/>
      <c r="H79" s="38"/>
      <c r="I79" s="38"/>
      <c r="J79" s="38"/>
      <c r="K79" s="39"/>
      <c r="L79" s="15"/>
      <c r="M79" s="6"/>
      <c r="N79" s="6"/>
      <c r="O79" s="6"/>
      <c r="P79" s="6"/>
      <c r="Q79" s="6"/>
      <c r="R79" s="6"/>
      <c r="S79" s="6"/>
      <c r="T79" s="6"/>
      <c r="U79" s="6"/>
      <c r="V79" s="6"/>
      <c r="W79" s="6"/>
      <c r="X79" s="6"/>
      <c r="Y79" s="6"/>
      <c r="Z79" s="6"/>
    </row>
    <row r="80" spans="1:26" ht="15.6" hidden="1">
      <c r="A80" s="117"/>
      <c r="B80" s="24"/>
      <c r="C80" s="25"/>
      <c r="D80" s="25"/>
      <c r="E80" s="25"/>
      <c r="F80" s="26"/>
      <c r="G80" s="38"/>
      <c r="H80" s="38"/>
      <c r="I80" s="38"/>
      <c r="J80" s="38"/>
      <c r="K80" s="39"/>
      <c r="L80" s="15"/>
      <c r="M80" s="6"/>
      <c r="N80" s="6"/>
      <c r="O80" s="6"/>
      <c r="P80" s="6"/>
      <c r="Q80" s="6"/>
      <c r="R80" s="6"/>
      <c r="S80" s="6"/>
      <c r="T80" s="6"/>
      <c r="U80" s="6"/>
      <c r="V80" s="6"/>
      <c r="W80" s="6"/>
      <c r="X80" s="6"/>
      <c r="Y80" s="6"/>
      <c r="Z80" s="6"/>
    </row>
    <row r="81" spans="1:26" ht="15.6">
      <c r="A81" s="117"/>
      <c r="B81" s="24"/>
      <c r="C81" s="25"/>
      <c r="D81" s="25"/>
      <c r="E81" s="25"/>
      <c r="F81" s="26"/>
      <c r="G81" s="38"/>
      <c r="H81" s="38"/>
      <c r="I81" s="38"/>
      <c r="J81" s="38"/>
      <c r="K81" s="39"/>
      <c r="L81" s="15"/>
      <c r="M81" s="6"/>
      <c r="N81" s="6"/>
      <c r="O81" s="6"/>
      <c r="P81" s="6"/>
      <c r="Q81" s="6"/>
      <c r="R81" s="6"/>
      <c r="S81" s="6"/>
      <c r="T81" s="6"/>
      <c r="U81" s="6"/>
      <c r="V81" s="6"/>
      <c r="W81" s="6"/>
      <c r="X81" s="6"/>
      <c r="Y81" s="6"/>
      <c r="Z81" s="6"/>
    </row>
    <row r="82" spans="1:26" ht="15.6">
      <c r="A82" s="59" t="s">
        <v>157</v>
      </c>
      <c r="B82" s="24"/>
      <c r="C82" s="119">
        <f>AVERAGE(B18:C18)/-CF!B25</f>
        <v>2.3135802469135798</v>
      </c>
      <c r="D82" s="119">
        <f>AVERAGE(C18:D18)/-CF!C25</f>
        <v>5.5480769230769242</v>
      </c>
      <c r="E82" s="119">
        <f>AVERAGE(D18:E18)/-CF!D25</f>
        <v>0.19464088397790055</v>
      </c>
      <c r="F82" s="120">
        <f>AVERAGE(E18:F18)/-CF!E25</f>
        <v>0.14675563219252538</v>
      </c>
      <c r="G82" s="121">
        <f>AVERAGE(F18:G18)/-CF!F25</f>
        <v>1.9249326318490954</v>
      </c>
      <c r="H82" s="121">
        <f>AVERAGE(G18:H18)/-CF!G25</f>
        <v>0.3158834022946313</v>
      </c>
      <c r="I82" s="121">
        <f>AVERAGE(H18:I18)/-CF!H25</f>
        <v>0.88278816760849743</v>
      </c>
      <c r="J82" s="121">
        <f>AVERAGE(I18:J18)/-CF!I25</f>
        <v>3.9541486036802649</v>
      </c>
      <c r="K82" s="122">
        <f>AVERAGE(J18:K18)/-CF!J25</f>
        <v>3.2053664438270695</v>
      </c>
      <c r="L82" s="15"/>
      <c r="M82" s="6"/>
      <c r="N82" s="6"/>
      <c r="O82" s="6"/>
      <c r="P82" s="6"/>
      <c r="Q82" s="6"/>
      <c r="R82" s="6"/>
      <c r="S82" s="6"/>
      <c r="T82" s="6"/>
      <c r="U82" s="6"/>
      <c r="V82" s="6"/>
      <c r="W82" s="6"/>
      <c r="X82" s="6"/>
      <c r="Y82" s="6"/>
      <c r="Z82" s="6"/>
    </row>
    <row r="83" spans="1:26" ht="15.6">
      <c r="A83" s="123" t="s">
        <v>158</v>
      </c>
      <c r="B83" s="124"/>
      <c r="C83" s="125">
        <f>AVERAGE(B7:C7)/-CF!B25</f>
        <v>5.9802469135802463</v>
      </c>
      <c r="D83" s="125">
        <f>AVERAGE(C7:D7)/-CF!C25</f>
        <v>5.0523504273504276</v>
      </c>
      <c r="E83" s="125">
        <f>AVERAGE(D7:E7)/-CF!D25</f>
        <v>0.25792817679558011</v>
      </c>
      <c r="F83" s="126">
        <f>AVERAGE(E7:F7)/-CF!E25</f>
        <v>0.39781459684372311</v>
      </c>
      <c r="G83" s="127">
        <f>AVERAGE(F7:G7)/-CF!F25</f>
        <v>1.5343580038137186</v>
      </c>
      <c r="H83" s="127">
        <f>AVERAGE(G7:H7)/-CF!G25</f>
        <v>0.17274571794934523</v>
      </c>
      <c r="I83" s="127">
        <f>AVERAGE(H7:I7)/-CF!H25</f>
        <v>0.65809062006003427</v>
      </c>
      <c r="J83" s="127">
        <f>AVERAGE(I7:J7)/-CF!I25</f>
        <v>3.381838182309493</v>
      </c>
      <c r="K83" s="128">
        <f>AVERAGE(J7:K7)/-CF!J25</f>
        <v>3.0727050627943475</v>
      </c>
      <c r="L83" s="15"/>
      <c r="M83" s="6"/>
      <c r="N83" s="6"/>
      <c r="O83" s="6"/>
      <c r="P83" s="6"/>
      <c r="Q83" s="6"/>
      <c r="R83" s="6"/>
      <c r="S83" s="6"/>
      <c r="T83" s="6"/>
      <c r="U83" s="6"/>
      <c r="V83" s="6"/>
      <c r="W83" s="6"/>
      <c r="X83" s="6"/>
      <c r="Y83" s="6"/>
      <c r="Z83" s="6"/>
    </row>
    <row r="84" spans="1:26" ht="15.6">
      <c r="A84" s="52"/>
      <c r="B84" s="52"/>
      <c r="C84" s="52"/>
      <c r="D84" s="52"/>
      <c r="E84" s="52"/>
      <c r="F84" s="52"/>
      <c r="G84" s="52"/>
      <c r="H84" s="52"/>
      <c r="I84" s="52"/>
      <c r="J84" s="52"/>
      <c r="K84" s="52"/>
      <c r="L84" s="6"/>
      <c r="M84" s="6"/>
      <c r="N84" s="6"/>
      <c r="O84" s="6"/>
      <c r="P84" s="6"/>
      <c r="Q84" s="6"/>
      <c r="R84" s="6"/>
      <c r="S84" s="6"/>
      <c r="T84" s="6"/>
      <c r="U84" s="6"/>
      <c r="V84" s="6"/>
      <c r="W84" s="6"/>
      <c r="X84" s="6"/>
      <c r="Y84" s="6"/>
      <c r="Z84" s="6"/>
    </row>
    <row r="85" spans="1:26" ht="15.6">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6">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6">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6">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6">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6">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6">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6">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6">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6">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6">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6">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6">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6">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6">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6">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6">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6">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6">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6">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6">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6">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6">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6">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6">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6">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6">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6">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6">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6">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6">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6">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6">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6">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6">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6">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6">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6">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6">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6">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6">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6">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6">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6">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6">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6">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6">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6">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6">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6">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6">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6">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6">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6">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6">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6">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6">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6">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6">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6">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6">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6">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6">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6">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6">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6">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6">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6">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6">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6">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6">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6">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6">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6">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6">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6">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6">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6">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6">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6">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6">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6">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6">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6">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6">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6">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6">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6">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6">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6">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6">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6">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6">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6">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6">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6">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6">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6">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6">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6">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6">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6">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6">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6">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6">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6">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6">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6">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6">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6">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6">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6">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6">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6">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6">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6">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6">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6">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6">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6">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6">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6">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6">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6">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6">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6">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6">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6">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6">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6">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6">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6">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6">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6">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6">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6">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6">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6">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6">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6">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6">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6">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6">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6">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6">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6">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6">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6">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6">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6">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6">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6">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6">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6">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6">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6">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6">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6">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6">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6">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6">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6">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6">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6">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6">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6">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6">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6">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6">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6">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6">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6">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6">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6">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6">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6">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6">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6">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6">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6">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6">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6">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6">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6">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6">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6">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6">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6">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6">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6">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6">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6">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6">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6">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6">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6">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6">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6">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6">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6">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6">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6">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6">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6">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6">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6">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6">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6">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6">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6">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6">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6">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6">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6">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6">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6">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6">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6">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6">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6">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6">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6">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6">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6">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6">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6">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6">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6">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6">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6">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6">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6">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6">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6">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6">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6">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6">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6">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6">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6">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6">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6">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6">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6">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6">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6">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6">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6">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6">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6">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6">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6">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6">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6">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6">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6">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6">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6">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6">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6">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6">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6">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6">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6">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6">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6">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6">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6">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6">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6">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6">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6">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6">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6">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6">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6">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6">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6">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6">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6">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6">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6">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6">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6">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6">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6">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6">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6">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6">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6">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6">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6">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6">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6">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6">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6">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6">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6">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6">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6">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6">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6">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6">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6">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6">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6">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6">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6">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6">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6">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6">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6">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6">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6">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6">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6">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6">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6">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6">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6">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6">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6">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6">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6">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6">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6">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6">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6">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6">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6">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6">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6">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6">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6">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6">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6">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6">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6">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6">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6">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6">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6">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6">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6">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6">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6">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6">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6">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6">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6">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6">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6">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6">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6">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6">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6">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6">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6">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6">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6">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6">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6">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6">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6">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6">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6">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6">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6">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6">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6">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6">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6">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6">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6">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6">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6">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6">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6">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6">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6">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6">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6">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6">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6">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6">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6">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6">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6">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6">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6">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6">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6">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6">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6">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6">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6">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6">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6">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6">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6">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6">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6">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6">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6">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6">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6">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6">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6">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6">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6">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6">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6">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6">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6">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6">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6">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6">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6">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6">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6">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6">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6">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6">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6">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6">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6">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6">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6">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6">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6">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6">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6">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6">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6">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6">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6">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6">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6">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6">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6">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6">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6">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6">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6">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6">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6">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6">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6">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6">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6">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6">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6">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6">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6">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6">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6">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6">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6">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6">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6">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6">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6">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6">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6">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6">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6">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6">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6">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6">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6">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6">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6">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6">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6">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6">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6">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6">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6">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6">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6">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6">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6">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6">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6">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6">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6">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6">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6">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6">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6">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6">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6">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6">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6">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6">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6">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6">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6">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6">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6">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6">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6">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6">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6">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6">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6">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6">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6">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6">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6">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6">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6">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6">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6">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6">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6">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6">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6">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6">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6">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6">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6">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6">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6">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6">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6">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6">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6">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6">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6">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6">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6">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6">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6">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6">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6">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6">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6">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6">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6">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6">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6">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6">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6">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6">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6">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6">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6">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6">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6">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6">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6">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6">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6">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6">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6">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6">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6">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6">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6">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6">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6">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6">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6">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6">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6">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6">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6">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6">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6">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6">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6">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6">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6">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6">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6">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6">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6">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6">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6">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6">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6">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6">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6">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6">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6">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6">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6">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6">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6">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6">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6">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6">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6">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6">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6">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6">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6">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6">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6">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6">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6">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6">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6">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6">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6">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6">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6">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6">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6">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6">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6">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6">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6">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6">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6">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6">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6">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6">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6">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6">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6">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6">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6">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6">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6">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6">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6">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6">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6">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6">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6">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6">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6">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6">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6">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6">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6">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6">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6">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6">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6">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6">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6">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6">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6">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6">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6">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6">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6">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6">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6">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6">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6">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6">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6">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6">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6">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6">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6">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6">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6">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6">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6">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6">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6">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6">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6">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6">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6">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6">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6">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6">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6">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6">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6">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6">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6">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6">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6">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6">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6">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6">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6">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6">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6">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6">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6">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6">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6">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6">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6">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6">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6">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6">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6">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6">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6">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6">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6">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6">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6">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6">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6">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6">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6">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6">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6">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6">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6">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6">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6">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6">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6">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6">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6">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6">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6">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6">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6">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6">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6">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6">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6">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6">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6">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6">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6">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6">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6">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6">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6">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6">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6">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6">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6">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6">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6">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6">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6">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6">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6">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6">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6">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6">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6">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6">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6">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6">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6">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6">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6">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6">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6">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6">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6">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6">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6">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6">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6">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6">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6">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6">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6">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6">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6">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6">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6">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6">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6">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6">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6">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6">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6">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6">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6">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6">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6">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6">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6">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6">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6">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6">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6">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6">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6">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6">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6">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6">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6">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6">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6">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6">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6">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6">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6">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6">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6">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6">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6">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6">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6">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6">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6">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6">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6">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6">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6">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6">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6">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6">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6">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6">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sheetData>
  <mergeCells count="4">
    <mergeCell ref="A2:A3"/>
    <mergeCell ref="B2:F3"/>
    <mergeCell ref="G2:K3"/>
    <mergeCell ref="A43:K4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53"/>
  <sheetViews>
    <sheetView workbookViewId="0">
      <pane xSplit="1" ySplit="1" topLeftCell="B21" activePane="bottomRight" state="frozen"/>
      <selection pane="topRight" activeCell="B1" sqref="B1"/>
      <selection pane="bottomLeft" activeCell="A2" sqref="A2"/>
      <selection pane="bottomRight" activeCell="G43" sqref="G43:K44"/>
    </sheetView>
  </sheetViews>
  <sheetFormatPr defaultColWidth="11.19921875" defaultRowHeight="15" customHeight="1"/>
  <cols>
    <col min="1" max="1" width="61.59765625" customWidth="1"/>
  </cols>
  <sheetData>
    <row r="1" spans="1:26" ht="15.6">
      <c r="A1" s="328"/>
      <c r="B1" s="329">
        <v>2016</v>
      </c>
      <c r="C1" s="330">
        <v>2017</v>
      </c>
      <c r="D1" s="330">
        <v>2018</v>
      </c>
      <c r="E1" s="330">
        <v>2019</v>
      </c>
      <c r="F1" s="331">
        <v>2020</v>
      </c>
      <c r="G1" s="332" t="s">
        <v>64</v>
      </c>
      <c r="H1" s="332" t="s">
        <v>65</v>
      </c>
      <c r="I1" s="332" t="s">
        <v>66</v>
      </c>
      <c r="J1" s="332" t="s">
        <v>67</v>
      </c>
      <c r="K1" s="332" t="s">
        <v>68</v>
      </c>
      <c r="L1" s="333"/>
      <c r="M1" s="333"/>
      <c r="N1" s="333"/>
      <c r="O1" s="333"/>
      <c r="P1" s="333"/>
      <c r="Q1" s="333"/>
      <c r="R1" s="333"/>
      <c r="S1" s="333"/>
      <c r="T1" s="333"/>
      <c r="U1" s="333"/>
      <c r="V1" s="333"/>
      <c r="W1" s="333"/>
      <c r="X1" s="333"/>
      <c r="Y1" s="333"/>
      <c r="Z1" s="333"/>
    </row>
    <row r="2" spans="1:26" ht="15.6">
      <c r="A2" s="786" t="s">
        <v>280</v>
      </c>
      <c r="B2" s="787" t="s">
        <v>70</v>
      </c>
      <c r="C2" s="770"/>
      <c r="D2" s="770"/>
      <c r="E2" s="770"/>
      <c r="F2" s="771"/>
      <c r="G2" s="788" t="s">
        <v>71</v>
      </c>
      <c r="H2" s="770"/>
      <c r="I2" s="770"/>
      <c r="J2" s="770"/>
      <c r="K2" s="776"/>
      <c r="L2" s="334"/>
      <c r="M2" s="333"/>
      <c r="N2" s="333"/>
      <c r="O2" s="333"/>
      <c r="P2" s="333"/>
      <c r="Q2" s="333"/>
      <c r="R2" s="333"/>
      <c r="S2" s="333"/>
      <c r="T2" s="333"/>
      <c r="U2" s="333"/>
      <c r="V2" s="333"/>
      <c r="W2" s="333"/>
      <c r="X2" s="333"/>
      <c r="Y2" s="333"/>
      <c r="Z2" s="333"/>
    </row>
    <row r="3" spans="1:26" ht="15.6">
      <c r="A3" s="772"/>
      <c r="B3" s="772"/>
      <c r="C3" s="773"/>
      <c r="D3" s="773"/>
      <c r="E3" s="773"/>
      <c r="F3" s="774"/>
      <c r="G3" s="777"/>
      <c r="H3" s="773"/>
      <c r="I3" s="773"/>
      <c r="J3" s="773"/>
      <c r="K3" s="778"/>
      <c r="L3" s="334"/>
      <c r="M3" s="333"/>
      <c r="N3" s="333"/>
      <c r="O3" s="333"/>
      <c r="P3" s="333"/>
      <c r="Q3" s="333"/>
      <c r="R3" s="333"/>
      <c r="S3" s="333"/>
      <c r="T3" s="333"/>
      <c r="U3" s="333"/>
      <c r="V3" s="333"/>
      <c r="W3" s="333"/>
      <c r="X3" s="333"/>
      <c r="Y3" s="333"/>
      <c r="Z3" s="333"/>
    </row>
    <row r="4" spans="1:26" ht="31.2">
      <c r="A4" s="335" t="s">
        <v>281</v>
      </c>
      <c r="B4" s="336"/>
      <c r="C4" s="337"/>
      <c r="D4" s="337"/>
      <c r="E4" s="337"/>
      <c r="F4" s="338"/>
      <c r="G4" s="339"/>
      <c r="H4" s="339"/>
      <c r="I4" s="339"/>
      <c r="J4" s="339"/>
      <c r="K4" s="340"/>
      <c r="L4" s="334"/>
      <c r="M4" s="333"/>
      <c r="N4" s="333"/>
      <c r="O4" s="333"/>
      <c r="P4" s="333"/>
      <c r="Q4" s="333"/>
      <c r="R4" s="333"/>
      <c r="S4" s="333"/>
      <c r="T4" s="333"/>
      <c r="U4" s="333"/>
      <c r="V4" s="333"/>
      <c r="W4" s="333"/>
      <c r="X4" s="333"/>
      <c r="Y4" s="333"/>
      <c r="Z4" s="333"/>
    </row>
    <row r="5" spans="1:26" ht="15.6">
      <c r="A5" s="341" t="s">
        <v>83</v>
      </c>
      <c r="B5" s="648">
        <f>'INPUT-Y'!F145</f>
        <v>149.19999999999999</v>
      </c>
      <c r="C5" s="649">
        <f>'INPUT-Y'!G145</f>
        <v>230.4</v>
      </c>
      <c r="D5" s="649">
        <f>'INPUT-Y'!H145</f>
        <v>206.9</v>
      </c>
      <c r="E5" s="649">
        <f>'INPUT-Y'!I145</f>
        <v>303.89999999999998</v>
      </c>
      <c r="F5" s="650">
        <f>'INPUT-Y'!J145</f>
        <v>308.60000000000002</v>
      </c>
      <c r="G5" s="651">
        <f>IS!G15</f>
        <v>368.17729529941749</v>
      </c>
      <c r="H5" s="651">
        <f>IS!H15</f>
        <v>450.85715974582075</v>
      </c>
      <c r="I5" s="651">
        <f>IS!I15</f>
        <v>556.93860633837289</v>
      </c>
      <c r="J5" s="651">
        <f>IS!J15</f>
        <v>556.85026463048871</v>
      </c>
      <c r="K5" s="652">
        <f>IS!K15</f>
        <v>579.51292341159865</v>
      </c>
      <c r="L5" s="334"/>
      <c r="M5" s="333"/>
      <c r="N5" s="333"/>
      <c r="O5" s="333"/>
      <c r="P5" s="333"/>
      <c r="Q5" s="333"/>
      <c r="R5" s="333"/>
      <c r="S5" s="333"/>
      <c r="T5" s="333"/>
      <c r="U5" s="333"/>
      <c r="V5" s="333"/>
      <c r="W5" s="333"/>
      <c r="X5" s="333"/>
      <c r="Y5" s="333"/>
      <c r="Z5" s="333"/>
    </row>
    <row r="6" spans="1:26" ht="15" customHeight="1">
      <c r="A6" s="342" t="s">
        <v>282</v>
      </c>
      <c r="B6" s="653">
        <f>'INPUT-Y'!F146</f>
        <v>0</v>
      </c>
      <c r="C6" s="654">
        <f>'INPUT-Y'!G146</f>
        <v>0</v>
      </c>
      <c r="D6" s="654">
        <f>'INPUT-Y'!H146</f>
        <v>0</v>
      </c>
      <c r="E6" s="654">
        <f>'INPUT-Y'!I146</f>
        <v>0</v>
      </c>
      <c r="F6" s="655">
        <f>'INPUT-Y'!J146</f>
        <v>0</v>
      </c>
      <c r="G6" s="656"/>
      <c r="H6" s="656"/>
      <c r="I6" s="656"/>
      <c r="J6" s="656"/>
      <c r="K6" s="657"/>
      <c r="L6" s="334"/>
      <c r="M6" s="333"/>
      <c r="N6" s="333"/>
      <c r="O6" s="333"/>
      <c r="P6" s="333"/>
      <c r="Q6" s="333"/>
      <c r="R6" s="333"/>
      <c r="S6" s="333"/>
      <c r="T6" s="333"/>
      <c r="U6" s="333"/>
      <c r="V6" s="333"/>
      <c r="W6" s="333"/>
      <c r="X6" s="333"/>
      <c r="Y6" s="333"/>
      <c r="Z6" s="333"/>
    </row>
    <row r="7" spans="1:26" ht="15.6">
      <c r="A7" s="343" t="s">
        <v>283</v>
      </c>
      <c r="B7" s="653">
        <f>'INPUT-Y'!F147</f>
        <v>79.8</v>
      </c>
      <c r="C7" s="654">
        <f>'INPUT-Y'!G147</f>
        <v>79.5</v>
      </c>
      <c r="D7" s="654">
        <f>'INPUT-Y'!H147</f>
        <v>97.5</v>
      </c>
      <c r="E7" s="654">
        <f>'INPUT-Y'!I147</f>
        <v>285</v>
      </c>
      <c r="F7" s="655">
        <f>'INPUT-Y'!J147</f>
        <v>354</v>
      </c>
      <c r="G7" s="656">
        <f>Forecast!G120</f>
        <v>349.74999999999989</v>
      </c>
      <c r="H7" s="656">
        <f>Forecast!H120</f>
        <v>968.99999999999989</v>
      </c>
      <c r="I7" s="656">
        <f>Forecast!I120</f>
        <v>968.99999999999989</v>
      </c>
      <c r="J7" s="656">
        <f>Forecast!J120</f>
        <v>968.99999999999989</v>
      </c>
      <c r="K7" s="657">
        <f>Forecast!K120</f>
        <v>968.99999999999989</v>
      </c>
      <c r="L7" s="334"/>
      <c r="M7" s="333"/>
      <c r="N7" s="333"/>
      <c r="O7" s="333"/>
      <c r="P7" s="333"/>
      <c r="Q7" s="333"/>
      <c r="R7" s="333"/>
      <c r="S7" s="333"/>
      <c r="T7" s="333"/>
      <c r="U7" s="333"/>
      <c r="V7" s="333"/>
      <c r="W7" s="333"/>
      <c r="X7" s="333"/>
      <c r="Y7" s="333"/>
      <c r="Z7" s="333"/>
    </row>
    <row r="8" spans="1:26" ht="15.6">
      <c r="A8" s="343" t="s">
        <v>284</v>
      </c>
      <c r="B8" s="653">
        <f>'INPUT-Y'!F148</f>
        <v>0</v>
      </c>
      <c r="C8" s="654">
        <f>'INPUT-Y'!G148</f>
        <v>0.3</v>
      </c>
      <c r="D8" s="654">
        <f>'INPUT-Y'!H148</f>
        <v>0.3</v>
      </c>
      <c r="E8" s="654">
        <f>'INPUT-Y'!I148</f>
        <v>0.5</v>
      </c>
      <c r="F8" s="655">
        <f>'INPUT-Y'!J148</f>
        <v>-0.4</v>
      </c>
      <c r="G8" s="656"/>
      <c r="H8" s="656"/>
      <c r="I8" s="656"/>
      <c r="J8" s="656"/>
      <c r="K8" s="657"/>
      <c r="L8" s="334"/>
      <c r="M8" s="333"/>
      <c r="N8" s="333"/>
      <c r="O8" s="333"/>
      <c r="P8" s="333"/>
      <c r="Q8" s="333"/>
      <c r="R8" s="333"/>
      <c r="S8" s="333"/>
      <c r="T8" s="333"/>
      <c r="U8" s="333"/>
      <c r="V8" s="333"/>
      <c r="W8" s="333"/>
      <c r="X8" s="333"/>
      <c r="Y8" s="333"/>
      <c r="Z8" s="333"/>
    </row>
    <row r="9" spans="1:26" ht="15.6">
      <c r="A9" s="343" t="s">
        <v>285</v>
      </c>
      <c r="B9" s="653">
        <f>'INPUT-Y'!F150</f>
        <v>0</v>
      </c>
      <c r="C9" s="654">
        <f>'INPUT-Y'!G150</f>
        <v>0</v>
      </c>
      <c r="D9" s="654">
        <f>'INPUT-Y'!H150</f>
        <v>0.8</v>
      </c>
      <c r="E9" s="654">
        <f>'INPUT-Y'!I150</f>
        <v>0.5</v>
      </c>
      <c r="F9" s="655">
        <f>'INPUT-Y'!J150</f>
        <v>1.4</v>
      </c>
      <c r="G9" s="656">
        <f t="shared" ref="G9:K9" si="0">F9</f>
        <v>1.4</v>
      </c>
      <c r="H9" s="656">
        <f t="shared" si="0"/>
        <v>1.4</v>
      </c>
      <c r="I9" s="656">
        <f t="shared" si="0"/>
        <v>1.4</v>
      </c>
      <c r="J9" s="656">
        <f t="shared" si="0"/>
        <v>1.4</v>
      </c>
      <c r="K9" s="657">
        <f t="shared" si="0"/>
        <v>1.4</v>
      </c>
      <c r="L9" s="334"/>
      <c r="M9" s="333"/>
      <c r="N9" s="333"/>
      <c r="O9" s="333"/>
      <c r="P9" s="333"/>
      <c r="Q9" s="333"/>
      <c r="R9" s="333"/>
      <c r="S9" s="333"/>
      <c r="T9" s="333"/>
      <c r="U9" s="333"/>
      <c r="V9" s="333"/>
      <c r="W9" s="333"/>
      <c r="X9" s="333"/>
      <c r="Y9" s="333"/>
      <c r="Z9" s="333"/>
    </row>
    <row r="10" spans="1:26" ht="15.6">
      <c r="A10" s="343" t="s">
        <v>286</v>
      </c>
      <c r="B10" s="653">
        <f>'INPUT-Y'!F151</f>
        <v>0</v>
      </c>
      <c r="C10" s="654">
        <f>'INPUT-Y'!G151</f>
        <v>0</v>
      </c>
      <c r="D10" s="654">
        <f>'INPUT-Y'!H151</f>
        <v>0</v>
      </c>
      <c r="E10" s="654">
        <f>'INPUT-Y'!I151</f>
        <v>0</v>
      </c>
      <c r="F10" s="655">
        <f>'INPUT-Y'!J151</f>
        <v>0</v>
      </c>
      <c r="G10" s="656"/>
      <c r="H10" s="656"/>
      <c r="I10" s="656"/>
      <c r="J10" s="656"/>
      <c r="K10" s="657"/>
      <c r="L10" s="334"/>
      <c r="M10" s="333"/>
      <c r="N10" s="333"/>
      <c r="O10" s="333"/>
      <c r="P10" s="333"/>
      <c r="Q10" s="333"/>
      <c r="R10" s="333"/>
      <c r="S10" s="333"/>
      <c r="T10" s="333"/>
      <c r="U10" s="333"/>
      <c r="V10" s="333"/>
      <c r="W10" s="333"/>
      <c r="X10" s="333"/>
      <c r="Y10" s="333"/>
      <c r="Z10" s="333"/>
    </row>
    <row r="11" spans="1:26" ht="15.6">
      <c r="A11" s="343" t="s">
        <v>287</v>
      </c>
      <c r="B11" s="653">
        <f>'INPUT-Y'!F152</f>
        <v>39.1</v>
      </c>
      <c r="C11" s="654">
        <f>'INPUT-Y'!G152</f>
        <v>24.4</v>
      </c>
      <c r="D11" s="654">
        <f>'INPUT-Y'!H152</f>
        <v>40.200000000000003</v>
      </c>
      <c r="E11" s="654">
        <f>'INPUT-Y'!I152</f>
        <v>247.3</v>
      </c>
      <c r="F11" s="655">
        <f>'INPUT-Y'!J152</f>
        <v>357.9</v>
      </c>
      <c r="G11" s="656">
        <f>-IS!G9</f>
        <v>327.34458394272724</v>
      </c>
      <c r="H11" s="656">
        <f>-IS!H9</f>
        <v>798.87064322881815</v>
      </c>
      <c r="I11" s="656">
        <f>-IS!I9</f>
        <v>768.63811534300009</v>
      </c>
      <c r="J11" s="656">
        <f>-IS!J9</f>
        <v>738.40558745718192</v>
      </c>
      <c r="K11" s="657">
        <f>-IS!K9</f>
        <v>708.17305957136364</v>
      </c>
      <c r="L11" s="334"/>
      <c r="M11" s="333"/>
      <c r="N11" s="333"/>
      <c r="O11" s="333"/>
      <c r="P11" s="333"/>
      <c r="Q11" s="333"/>
      <c r="R11" s="333"/>
      <c r="S11" s="333"/>
      <c r="T11" s="333"/>
      <c r="U11" s="333"/>
      <c r="V11" s="333"/>
      <c r="W11" s="333"/>
      <c r="X11" s="333"/>
      <c r="Y11" s="333"/>
      <c r="Z11" s="333"/>
    </row>
    <row r="12" spans="1:26" ht="15.6">
      <c r="A12" s="343" t="s">
        <v>288</v>
      </c>
      <c r="B12" s="653">
        <f>'INPUT-Y'!F153</f>
        <v>0.9</v>
      </c>
      <c r="C12" s="654">
        <f>'INPUT-Y'!G153</f>
        <v>0</v>
      </c>
      <c r="D12" s="654">
        <f>'INPUT-Y'!H153</f>
        <v>0</v>
      </c>
      <c r="E12" s="654">
        <f>'INPUT-Y'!I153</f>
        <v>0</v>
      </c>
      <c r="F12" s="655">
        <f>'INPUT-Y'!J153</f>
        <v>0</v>
      </c>
      <c r="G12" s="656"/>
      <c r="H12" s="656"/>
      <c r="I12" s="656"/>
      <c r="J12" s="656"/>
      <c r="K12" s="657"/>
      <c r="L12" s="334"/>
      <c r="M12" s="333"/>
      <c r="N12" s="333"/>
      <c r="O12" s="333"/>
      <c r="P12" s="333"/>
      <c r="Q12" s="333"/>
      <c r="R12" s="333"/>
      <c r="S12" s="333"/>
      <c r="T12" s="333"/>
      <c r="U12" s="333"/>
      <c r="V12" s="333"/>
      <c r="W12" s="333"/>
      <c r="X12" s="333"/>
      <c r="Y12" s="333"/>
      <c r="Z12" s="333"/>
    </row>
    <row r="13" spans="1:26" ht="15.6">
      <c r="A13" s="341" t="s">
        <v>289</v>
      </c>
      <c r="B13" s="648">
        <f>'INPUT-Y'!F157</f>
        <v>242</v>
      </c>
      <c r="C13" s="649">
        <f>'INPUT-Y'!G157</f>
        <v>323.5</v>
      </c>
      <c r="D13" s="649">
        <f>'INPUT-Y'!H157</f>
        <v>326.60000000000002</v>
      </c>
      <c r="E13" s="649">
        <f>'INPUT-Y'!I157</f>
        <v>813.5</v>
      </c>
      <c r="F13" s="650">
        <f>'INPUT-Y'!J157</f>
        <v>995.7</v>
      </c>
      <c r="G13" s="651">
        <f t="shared" ref="G13:K13" si="1">SUM(G5:G11)</f>
        <v>1046.6718792421448</v>
      </c>
      <c r="H13" s="651">
        <f t="shared" si="1"/>
        <v>2220.1278029746391</v>
      </c>
      <c r="I13" s="651">
        <f t="shared" si="1"/>
        <v>2295.976721681373</v>
      </c>
      <c r="J13" s="651">
        <f t="shared" si="1"/>
        <v>2265.6558520876706</v>
      </c>
      <c r="K13" s="652">
        <f t="shared" si="1"/>
        <v>2258.0859829829624</v>
      </c>
      <c r="L13" s="334"/>
      <c r="M13" s="333"/>
      <c r="N13" s="333"/>
      <c r="O13" s="333"/>
      <c r="P13" s="333"/>
      <c r="Q13" s="333"/>
      <c r="R13" s="333"/>
      <c r="S13" s="333"/>
      <c r="T13" s="333"/>
      <c r="U13" s="333"/>
      <c r="V13" s="333"/>
      <c r="W13" s="333"/>
      <c r="X13" s="333"/>
      <c r="Y13" s="333"/>
      <c r="Z13" s="333"/>
    </row>
    <row r="14" spans="1:26" ht="15.6">
      <c r="A14" s="341" t="s">
        <v>290</v>
      </c>
      <c r="B14" s="653">
        <f>'INPUT-Y'!F158</f>
        <v>-11.2</v>
      </c>
      <c r="C14" s="654">
        <f>'INPUT-Y'!G158</f>
        <v>-18.100000000000001</v>
      </c>
      <c r="D14" s="654">
        <f>'INPUT-Y'!H158</f>
        <v>-95.2</v>
      </c>
      <c r="E14" s="654">
        <f>'INPUT-Y'!I158</f>
        <v>-295.7</v>
      </c>
      <c r="F14" s="655">
        <f>'INPUT-Y'!J158</f>
        <v>-667.3</v>
      </c>
      <c r="G14" s="656">
        <f>-(BS!G7-BS!F7)</f>
        <v>477.14961525593844</v>
      </c>
      <c r="H14" s="656">
        <f>-(BS!H7-BS!G7)</f>
        <v>-984.19963198394089</v>
      </c>
      <c r="I14" s="656">
        <f>-(BS!I7-BS!H7)</f>
        <v>101.9694212111076</v>
      </c>
      <c r="J14" s="656">
        <f>-(BS!J7-BS!I7)</f>
        <v>161.64948143191714</v>
      </c>
      <c r="K14" s="657">
        <f>-(BS!K7-BS!J7)</f>
        <v>159.848962863834</v>
      </c>
      <c r="L14" s="334"/>
      <c r="M14" s="333"/>
      <c r="N14" s="333"/>
      <c r="O14" s="333"/>
      <c r="P14" s="333"/>
      <c r="Q14" s="333"/>
      <c r="R14" s="333"/>
      <c r="S14" s="333"/>
      <c r="T14" s="333"/>
      <c r="U14" s="333"/>
      <c r="V14" s="333"/>
      <c r="W14" s="333"/>
      <c r="X14" s="333"/>
      <c r="Y14" s="333"/>
      <c r="Z14" s="333"/>
    </row>
    <row r="15" spans="1:26" ht="15.6">
      <c r="A15" s="343" t="s">
        <v>291</v>
      </c>
      <c r="B15" s="653">
        <f>'INPUT-Y'!F160</f>
        <v>-5.9</v>
      </c>
      <c r="C15" s="654">
        <f>'INPUT-Y'!G160</f>
        <v>-10</v>
      </c>
      <c r="D15" s="654">
        <f>'INPUT-Y'!H160</f>
        <v>0.8</v>
      </c>
      <c r="E15" s="654">
        <f>'INPUT-Y'!I160</f>
        <v>-289.39999999999998</v>
      </c>
      <c r="F15" s="655">
        <f>'INPUT-Y'!J160</f>
        <v>161.80000000000001</v>
      </c>
      <c r="G15" s="656">
        <f>-(BS!G8-BS!F8)</f>
        <v>-79.551519620970168</v>
      </c>
      <c r="H15" s="656">
        <f>-(BS!H8-BS!G8)</f>
        <v>-175.15820814307432</v>
      </c>
      <c r="I15" s="656">
        <f>-(BS!I8-BS!H8)</f>
        <v>-56.43066786045847</v>
      </c>
      <c r="J15" s="656">
        <f>-(BS!J8-BS!I8)</f>
        <v>-65.311638118269684</v>
      </c>
      <c r="K15" s="657">
        <f>-(BS!K8-BS!J8)</f>
        <v>1.8408354712039454</v>
      </c>
      <c r="L15" s="334"/>
      <c r="M15" s="333"/>
      <c r="N15" s="333"/>
      <c r="O15" s="333"/>
      <c r="P15" s="333"/>
      <c r="Q15" s="333"/>
      <c r="R15" s="333"/>
      <c r="S15" s="333"/>
      <c r="T15" s="333"/>
      <c r="U15" s="333"/>
      <c r="V15" s="333"/>
      <c r="W15" s="333"/>
      <c r="X15" s="333"/>
      <c r="Y15" s="333"/>
      <c r="Z15" s="333"/>
    </row>
    <row r="16" spans="1:26" ht="15.6">
      <c r="A16" s="343" t="s">
        <v>292</v>
      </c>
      <c r="B16" s="653">
        <f>'INPUT-Y'!F161</f>
        <v>10</v>
      </c>
      <c r="C16" s="654">
        <f>'INPUT-Y'!G161</f>
        <v>3.1</v>
      </c>
      <c r="D16" s="654">
        <f>'INPUT-Y'!H161</f>
        <v>7.7</v>
      </c>
      <c r="E16" s="654">
        <f>'INPUT-Y'!I161</f>
        <v>-282.39999999999998</v>
      </c>
      <c r="F16" s="655">
        <f>'INPUT-Y'!J161</f>
        <v>324.8</v>
      </c>
      <c r="G16" s="656">
        <f>BS!G18-BS!F18</f>
        <v>1999.8000000000002</v>
      </c>
      <c r="H16" s="656">
        <f>BS!H18-BS!G18</f>
        <v>300.20760710161812</v>
      </c>
      <c r="I16" s="656">
        <f>BS!I18-BS!H18</f>
        <v>-528.79719129241812</v>
      </c>
      <c r="J16" s="656">
        <f>BS!J18-BS!I18</f>
        <v>-430.50628379092427</v>
      </c>
      <c r="K16" s="657">
        <f>BS!K18-BS!J18</f>
        <v>-348.22716245639913</v>
      </c>
      <c r="L16" s="334"/>
      <c r="M16" s="333"/>
      <c r="N16" s="333"/>
      <c r="O16" s="333"/>
      <c r="P16" s="333"/>
      <c r="Q16" s="333"/>
      <c r="R16" s="333"/>
      <c r="S16" s="333"/>
      <c r="T16" s="333"/>
      <c r="U16" s="333"/>
      <c r="V16" s="333"/>
      <c r="W16" s="333"/>
      <c r="X16" s="333"/>
      <c r="Y16" s="333"/>
      <c r="Z16" s="333"/>
    </row>
    <row r="17" spans="1:26" ht="15.6">
      <c r="A17" s="343" t="s">
        <v>293</v>
      </c>
      <c r="B17" s="653">
        <f>-('INPUT-Y'!F22-'INPUT-Y'!E22)</f>
        <v>4.3999999999999995</v>
      </c>
      <c r="C17" s="654">
        <f>-('INPUT-Y'!G22-'INPUT-Y'!F22)</f>
        <v>-0.40000000000000013</v>
      </c>
      <c r="D17" s="654">
        <f>-('INPUT-Y'!H22-'INPUT-Y'!G22)</f>
        <v>-97.100000000000009</v>
      </c>
      <c r="E17" s="654">
        <f>-('INPUT-Y'!I22-'INPUT-Y'!H22)</f>
        <v>27.700000000000003</v>
      </c>
      <c r="F17" s="655">
        <f>-('INPUT-Y'!J22-'INPUT-Y'!I22)</f>
        <v>12.899999999999999</v>
      </c>
      <c r="G17" s="656">
        <f>BS!G9-BS!F9</f>
        <v>17.833333333333321</v>
      </c>
      <c r="H17" s="656">
        <f>BS!H9-BS!G9</f>
        <v>-7.5888888888888886</v>
      </c>
      <c r="I17" s="656">
        <f>BS!I9-BS!H9</f>
        <v>-0.88518518518517908</v>
      </c>
      <c r="J17" s="656">
        <f>BS!J9-BS!I9</f>
        <v>3.1197530864197489</v>
      </c>
      <c r="K17" s="657">
        <f>BS!K9-BS!J9</f>
        <v>-1.7847736625514443</v>
      </c>
      <c r="L17" s="334"/>
      <c r="M17" s="333"/>
      <c r="N17" s="333"/>
      <c r="O17" s="333"/>
      <c r="P17" s="333"/>
      <c r="Q17" s="333"/>
      <c r="R17" s="333"/>
      <c r="S17" s="333"/>
      <c r="T17" s="333"/>
      <c r="U17" s="333"/>
      <c r="V17" s="333"/>
      <c r="W17" s="333"/>
      <c r="X17" s="333"/>
      <c r="Y17" s="333"/>
      <c r="Z17" s="333"/>
    </row>
    <row r="18" spans="1:26" ht="15.6">
      <c r="A18" s="343" t="s">
        <v>294</v>
      </c>
      <c r="B18" s="653">
        <f>'INPUT-Y'!F163</f>
        <v>-42.6</v>
      </c>
      <c r="C18" s="654">
        <f>'INPUT-Y'!G163</f>
        <v>-31.3</v>
      </c>
      <c r="D18" s="654">
        <f>'INPUT-Y'!H163</f>
        <v>-50.1</v>
      </c>
      <c r="E18" s="654">
        <f>'INPUT-Y'!I163</f>
        <v>-246.7</v>
      </c>
      <c r="F18" s="655">
        <f>'INPUT-Y'!J163</f>
        <v>-356.2</v>
      </c>
      <c r="G18" s="656">
        <f>IS!G9 + 74</f>
        <v>-253.34458394272724</v>
      </c>
      <c r="H18" s="656">
        <f>IS!H9 - 19</f>
        <v>-817.87064322881815</v>
      </c>
      <c r="I18" s="656">
        <f>IS!I9 - 32</f>
        <v>-800.63811534300009</v>
      </c>
      <c r="J18" s="656">
        <f>IS!J9 - 39</f>
        <v>-777.40558745718192</v>
      </c>
      <c r="K18" s="657">
        <f>IS!K9 - 25</f>
        <v>-733.17305957136364</v>
      </c>
      <c r="L18" s="334"/>
      <c r="M18" s="333"/>
      <c r="N18" s="333"/>
      <c r="O18" s="333"/>
      <c r="P18" s="333"/>
      <c r="Q18" s="333"/>
      <c r="R18" s="333"/>
      <c r="S18" s="333"/>
      <c r="T18" s="333"/>
      <c r="U18" s="333"/>
      <c r="V18" s="333"/>
      <c r="W18" s="333"/>
      <c r="X18" s="333"/>
      <c r="Y18" s="333"/>
      <c r="Z18" s="333"/>
    </row>
    <row r="19" spans="1:26" ht="15.6">
      <c r="A19" s="343" t="s">
        <v>295</v>
      </c>
      <c r="B19" s="653">
        <f>'INPUT-Y'!F164</f>
        <v>-19.399999999999999</v>
      </c>
      <c r="C19" s="654">
        <f>'INPUT-Y'!G164</f>
        <v>-16.899999999999999</v>
      </c>
      <c r="D19" s="654">
        <f>'INPUT-Y'!H164</f>
        <v>-25.8</v>
      </c>
      <c r="E19" s="654">
        <f>'INPUT-Y'!I164</f>
        <v>-13</v>
      </c>
      <c r="F19" s="655">
        <f>'INPUT-Y'!J164</f>
        <v>-11.3</v>
      </c>
      <c r="G19" s="656">
        <f>IS!G16</f>
        <v>-27.613297147456311</v>
      </c>
      <c r="H19" s="656">
        <f>IS!H16</f>
        <v>-31.560001182207454</v>
      </c>
      <c r="I19" s="656">
        <f>IS!I16</f>
        <v>-38.985702443686108</v>
      </c>
      <c r="J19" s="656">
        <f>IS!J16</f>
        <v>-25.058261908371993</v>
      </c>
      <c r="K19" s="657">
        <f>IS!K16</f>
        <v>-28.975646170579935</v>
      </c>
      <c r="L19" s="334"/>
      <c r="M19" s="333"/>
      <c r="N19" s="333"/>
      <c r="O19" s="333"/>
      <c r="P19" s="333"/>
      <c r="Q19" s="333"/>
      <c r="R19" s="333"/>
      <c r="S19" s="333"/>
      <c r="T19" s="333"/>
      <c r="U19" s="333"/>
      <c r="V19" s="333"/>
      <c r="W19" s="333"/>
      <c r="X19" s="333"/>
      <c r="Y19" s="333"/>
      <c r="Z19" s="333"/>
    </row>
    <row r="20" spans="1:26" ht="15.6">
      <c r="A20" s="343" t="s">
        <v>296</v>
      </c>
      <c r="B20" s="653">
        <f>'INPUT-Y'!F165</f>
        <v>0</v>
      </c>
      <c r="C20" s="654">
        <f>'INPUT-Y'!G165</f>
        <v>0</v>
      </c>
      <c r="D20" s="654">
        <f>'INPUT-Y'!H165</f>
        <v>0</v>
      </c>
      <c r="E20" s="654">
        <f>'INPUT-Y'!I165</f>
        <v>0</v>
      </c>
      <c r="F20" s="655">
        <f>'INPUT-Y'!J165</f>
        <v>0</v>
      </c>
      <c r="G20" s="656"/>
      <c r="H20" s="656"/>
      <c r="I20" s="656"/>
      <c r="J20" s="656"/>
      <c r="K20" s="657"/>
      <c r="L20" s="334"/>
      <c r="M20" s="333"/>
      <c r="N20" s="333"/>
      <c r="O20" s="333"/>
      <c r="P20" s="333"/>
      <c r="Q20" s="333"/>
      <c r="R20" s="333"/>
      <c r="S20" s="333"/>
      <c r="T20" s="333"/>
      <c r="U20" s="333"/>
      <c r="V20" s="333"/>
      <c r="W20" s="333"/>
      <c r="X20" s="333"/>
      <c r="Y20" s="333"/>
      <c r="Z20" s="333"/>
    </row>
    <row r="21" spans="1:26" ht="15.6">
      <c r="A21" s="343" t="s">
        <v>297</v>
      </c>
      <c r="B21" s="653">
        <f>'INPUT-Y'!F166</f>
        <v>-6.4</v>
      </c>
      <c r="C21" s="654">
        <f>'INPUT-Y'!G166</f>
        <v>-10.9</v>
      </c>
      <c r="D21" s="654">
        <f>'INPUT-Y'!H166</f>
        <v>-12.3</v>
      </c>
      <c r="E21" s="654">
        <f>'INPUT-Y'!I166</f>
        <v>-5.9</v>
      </c>
      <c r="F21" s="655">
        <f>'INPUT-Y'!J166</f>
        <v>-18.399999999999999</v>
      </c>
      <c r="G21" s="656"/>
      <c r="H21" s="656"/>
      <c r="I21" s="656"/>
      <c r="J21" s="656"/>
      <c r="K21" s="657"/>
      <c r="L21" s="334"/>
      <c r="M21" s="333"/>
      <c r="N21" s="333"/>
      <c r="O21" s="333"/>
      <c r="P21" s="333"/>
      <c r="Q21" s="333"/>
      <c r="R21" s="333"/>
      <c r="S21" s="333"/>
      <c r="T21" s="333"/>
      <c r="U21" s="333"/>
      <c r="V21" s="333"/>
      <c r="W21" s="333"/>
      <c r="X21" s="333"/>
      <c r="Y21" s="333"/>
      <c r="Z21" s="333"/>
    </row>
    <row r="22" spans="1:26" ht="15.6">
      <c r="A22" s="341" t="s">
        <v>298</v>
      </c>
      <c r="B22" s="648">
        <f>'INPUT-Y'!F144</f>
        <v>168.4</v>
      </c>
      <c r="C22" s="649">
        <f>'INPUT-Y'!G144</f>
        <v>243.8</v>
      </c>
      <c r="D22" s="649">
        <f>'INPUT-Y'!H144</f>
        <v>141.1</v>
      </c>
      <c r="E22" s="649">
        <f>'INPUT-Y'!I144</f>
        <v>-332.8</v>
      </c>
      <c r="F22" s="650">
        <f>'INPUT-Y'!J144</f>
        <v>420.6</v>
      </c>
      <c r="G22" s="651">
        <f t="shared" ref="G22:K22" si="2">SUM(G13:G19)</f>
        <v>3180.945427120263</v>
      </c>
      <c r="H22" s="651">
        <f t="shared" si="2"/>
        <v>503.95803664932748</v>
      </c>
      <c r="I22" s="651">
        <f t="shared" si="2"/>
        <v>972.20928076773248</v>
      </c>
      <c r="J22" s="651">
        <f t="shared" si="2"/>
        <v>1132.1433153312596</v>
      </c>
      <c r="K22" s="652">
        <f t="shared" si="2"/>
        <v>1307.6151394571066</v>
      </c>
      <c r="L22" s="334"/>
      <c r="M22" s="333"/>
      <c r="N22" s="333"/>
      <c r="O22" s="333"/>
      <c r="P22" s="333"/>
      <c r="Q22" s="333"/>
      <c r="R22" s="333"/>
      <c r="S22" s="333"/>
      <c r="T22" s="333"/>
      <c r="U22" s="333"/>
      <c r="V22" s="333"/>
      <c r="W22" s="333"/>
      <c r="X22" s="333"/>
      <c r="Y22" s="333"/>
      <c r="Z22" s="333"/>
    </row>
    <row r="23" spans="1:26" ht="15.6">
      <c r="A23" s="343"/>
      <c r="B23" s="653"/>
      <c r="C23" s="654"/>
      <c r="D23" s="654"/>
      <c r="E23" s="654"/>
      <c r="F23" s="655"/>
      <c r="G23" s="656"/>
      <c r="H23" s="656"/>
      <c r="I23" s="656"/>
      <c r="J23" s="656"/>
      <c r="K23" s="657"/>
      <c r="L23" s="334"/>
      <c r="M23" s="333"/>
      <c r="N23" s="333"/>
      <c r="O23" s="333"/>
      <c r="P23" s="333"/>
      <c r="Q23" s="333"/>
      <c r="R23" s="333"/>
      <c r="S23" s="333"/>
      <c r="T23" s="333"/>
      <c r="U23" s="333"/>
      <c r="V23" s="333"/>
      <c r="W23" s="333"/>
      <c r="X23" s="333"/>
      <c r="Y23" s="333"/>
      <c r="Z23" s="333"/>
    </row>
    <row r="24" spans="1:26" ht="15.6">
      <c r="A24" s="305" t="s">
        <v>299</v>
      </c>
      <c r="B24" s="653"/>
      <c r="C24" s="654"/>
      <c r="D24" s="654"/>
      <c r="E24" s="654"/>
      <c r="F24" s="655"/>
      <c r="G24" s="656"/>
      <c r="H24" s="656"/>
      <c r="I24" s="656"/>
      <c r="J24" s="656"/>
      <c r="K24" s="657"/>
      <c r="L24" s="334"/>
      <c r="M24" s="333"/>
      <c r="N24" s="333"/>
      <c r="O24" s="333"/>
      <c r="P24" s="333"/>
      <c r="Q24" s="333"/>
      <c r="R24" s="333"/>
      <c r="S24" s="333"/>
      <c r="T24" s="333"/>
      <c r="U24" s="333"/>
      <c r="V24" s="333"/>
      <c r="W24" s="333"/>
      <c r="X24" s="333"/>
      <c r="Y24" s="333"/>
      <c r="Z24" s="333"/>
    </row>
    <row r="25" spans="1:26" ht="15.6">
      <c r="A25" s="343" t="s">
        <v>300</v>
      </c>
      <c r="B25" s="653">
        <f>'INPUT-Y'!F168</f>
        <v>-40.5</v>
      </c>
      <c r="C25" s="654">
        <f>'INPUT-Y'!G168</f>
        <v>-46.8</v>
      </c>
      <c r="D25" s="654">
        <f>'INPUT-Y'!H168</f>
        <v>-1810</v>
      </c>
      <c r="E25" s="654">
        <f>'INPUT-Y'!I168</f>
        <v>-2667.7</v>
      </c>
      <c r="F25" s="655">
        <f>'INPUT-Y'!J168</f>
        <v>-779.3</v>
      </c>
      <c r="G25" s="656">
        <f>-(BS!G15-BS!F15-'PP&amp;E'!G6+'PP&amp;E'!G30+'PP&amp;E'!G41)</f>
        <v>-8389.5</v>
      </c>
      <c r="H25" s="656">
        <f>-(BS!H15-BS!G15-'PP&amp;E'!H6+'PP&amp;E'!H30+'PP&amp;E'!H41)</f>
        <v>-2872.5</v>
      </c>
      <c r="I25" s="656">
        <f>-(BS!I15-BS!H15-'PP&amp;E'!I6+'PP&amp;E'!I30+'PP&amp;E'!I41)</f>
        <v>-520</v>
      </c>
      <c r="J25" s="656">
        <f>-(BS!J15-BS!I15-'PP&amp;E'!J6+'PP&amp;E'!J30+'PP&amp;E'!J41)</f>
        <v>-520</v>
      </c>
      <c r="K25" s="657">
        <f>-(BS!K15-BS!J15-'PP&amp;E'!K6+'PP&amp;E'!K30+'PP&amp;E'!K41)</f>
        <v>20</v>
      </c>
      <c r="L25" s="334"/>
      <c r="M25" s="333"/>
      <c r="N25" s="333"/>
      <c r="O25" s="333"/>
      <c r="P25" s="333"/>
      <c r="Q25" s="333"/>
      <c r="R25" s="333"/>
      <c r="S25" s="333"/>
      <c r="T25" s="333"/>
      <c r="U25" s="333"/>
      <c r="V25" s="333"/>
      <c r="W25" s="333"/>
      <c r="X25" s="333"/>
      <c r="Y25" s="333"/>
      <c r="Z25" s="333"/>
    </row>
    <row r="26" spans="1:26" ht="15.6">
      <c r="A26" s="633" t="s">
        <v>301</v>
      </c>
      <c r="B26" s="653">
        <f>'INPUT-Y'!F169</f>
        <v>0.9</v>
      </c>
      <c r="C26" s="654">
        <f>'INPUT-Y'!G169</f>
        <v>2.7</v>
      </c>
      <c r="D26" s="654">
        <f>'INPUT-Y'!H169</f>
        <v>0.2</v>
      </c>
      <c r="E26" s="654">
        <f>'INPUT-Y'!I169</f>
        <v>2.8</v>
      </c>
      <c r="F26" s="655">
        <f>'INPUT-Y'!J169</f>
        <v>32.1</v>
      </c>
      <c r="G26" s="656"/>
      <c r="H26" s="656"/>
      <c r="I26" s="656"/>
      <c r="J26" s="656"/>
      <c r="K26" s="657"/>
      <c r="L26" s="334"/>
      <c r="M26" s="333"/>
      <c r="N26" s="333"/>
      <c r="O26" s="333"/>
      <c r="P26" s="333"/>
      <c r="Q26" s="333"/>
      <c r="R26" s="333"/>
      <c r="S26" s="333"/>
      <c r="T26" s="333"/>
      <c r="U26" s="333"/>
      <c r="V26" s="333"/>
      <c r="W26" s="333"/>
      <c r="X26" s="333"/>
      <c r="Y26" s="333"/>
      <c r="Z26" s="333"/>
    </row>
    <row r="27" spans="1:26" ht="15.6">
      <c r="A27" s="633" t="s">
        <v>437</v>
      </c>
      <c r="B27" s="653">
        <f>-('INPUT-Y'!F6+'INPUT-Y'!F53-'INPUT-Y'!E53-'INPUT-Y'!E6)</f>
        <v>0.7</v>
      </c>
      <c r="C27" s="654">
        <f>-('INPUT-Y'!G6+'INPUT-Y'!G53-'INPUT-Y'!F53-'INPUT-Y'!F6)</f>
        <v>-7.9999999999999991</v>
      </c>
      <c r="D27" s="654">
        <f>-('INPUT-Y'!H6+'INPUT-Y'!H53-'INPUT-Y'!G53-'INPUT-Y'!G6)</f>
        <v>-243.8</v>
      </c>
      <c r="E27" s="654">
        <f>-('INPUT-Y'!I6+'INPUT-Y'!I53-'INPUT-Y'!H53-'INPUT-Y'!H6)</f>
        <v>237.4</v>
      </c>
      <c r="F27" s="655">
        <f>-('INPUT-Y'!J6+'INPUT-Y'!J53-'INPUT-Y'!I53-'INPUT-Y'!I6)</f>
        <v>14.6</v>
      </c>
      <c r="G27" s="656">
        <f>- ((BS!G6-BS!F6)+(BS!G14-BS!F14))</f>
        <v>-87</v>
      </c>
      <c r="H27" s="656">
        <f>- ((BS!H6-BS!G6)+(BS!H14-BS!G14))</f>
        <v>0</v>
      </c>
      <c r="I27" s="656">
        <f>- ((BS!I6-BS!H6)+(BS!I14-BS!H14))</f>
        <v>0</v>
      </c>
      <c r="J27" s="656">
        <f>- ((BS!J6-BS!I6)+(BS!J14-BS!I14))</f>
        <v>0</v>
      </c>
      <c r="K27" s="657">
        <f>- ((BS!K6-BS!J6)+(BS!K14-BS!J14))</f>
        <v>0</v>
      </c>
      <c r="L27" s="334"/>
      <c r="M27" s="333"/>
      <c r="N27" s="333"/>
      <c r="O27" s="333"/>
      <c r="P27" s="333"/>
      <c r="Q27" s="333"/>
      <c r="R27" s="333"/>
      <c r="S27" s="333"/>
      <c r="T27" s="333"/>
      <c r="U27" s="333"/>
      <c r="V27" s="333"/>
      <c r="W27" s="333"/>
      <c r="X27" s="333"/>
      <c r="Y27" s="333"/>
      <c r="Z27" s="333"/>
    </row>
    <row r="28" spans="1:26" ht="15.6">
      <c r="A28" s="633" t="s">
        <v>438</v>
      </c>
      <c r="B28" s="653">
        <f>'INPUT-Y'!F174</f>
        <v>15.7</v>
      </c>
      <c r="C28" s="654">
        <f>'INPUT-Y'!G174</f>
        <v>21.4</v>
      </c>
      <c r="D28" s="654">
        <f>'INPUT-Y'!H174</f>
        <v>13.9</v>
      </c>
      <c r="E28" s="654">
        <f>'INPUT-Y'!I174</f>
        <v>22.7</v>
      </c>
      <c r="F28" s="655">
        <f>'INPUT-Y'!J174</f>
        <v>20.399999999999999</v>
      </c>
      <c r="G28" s="656">
        <v>14</v>
      </c>
      <c r="H28" s="656"/>
      <c r="I28" s="656"/>
      <c r="J28" s="656"/>
      <c r="K28" s="657"/>
      <c r="L28" s="334"/>
      <c r="M28" s="333"/>
      <c r="N28" s="333"/>
      <c r="O28" s="333"/>
      <c r="P28" s="333"/>
      <c r="Q28" s="333"/>
      <c r="R28" s="333"/>
      <c r="S28" s="333"/>
      <c r="T28" s="333"/>
      <c r="U28" s="333"/>
      <c r="V28" s="333"/>
      <c r="W28" s="333"/>
      <c r="X28" s="333"/>
      <c r="Y28" s="333"/>
      <c r="Z28" s="333"/>
    </row>
    <row r="29" spans="1:26" ht="15.6">
      <c r="A29" s="633" t="s">
        <v>439</v>
      </c>
      <c r="B29" s="653">
        <f>'INPUT-Y'!F167 - SUM(B25:B28)</f>
        <v>114.10000000000001</v>
      </c>
      <c r="C29" s="654">
        <f>'INPUT-Y'!G167 - SUM(C25:C28)</f>
        <v>35.299999999999997</v>
      </c>
      <c r="D29" s="654">
        <f>'INPUT-Y'!H167 - SUM(D25:D28)</f>
        <v>93.799999999999727</v>
      </c>
      <c r="E29" s="654">
        <f>'INPUT-Y'!I167 - SUM(E25:E28)</f>
        <v>-237.30000000000018</v>
      </c>
      <c r="F29" s="655">
        <f>'INPUT-Y'!J167 - SUM(F25:F28)</f>
        <v>-225.00000000000011</v>
      </c>
      <c r="G29" s="656"/>
      <c r="H29" s="656"/>
      <c r="I29" s="656"/>
      <c r="J29" s="656"/>
      <c r="K29" s="657"/>
      <c r="L29" s="334"/>
      <c r="M29" s="333"/>
      <c r="N29" s="333"/>
      <c r="O29" s="333"/>
      <c r="P29" s="333"/>
      <c r="Q29" s="333"/>
      <c r="R29" s="333"/>
      <c r="S29" s="333"/>
      <c r="T29" s="333"/>
      <c r="U29" s="333"/>
      <c r="V29" s="333"/>
      <c r="W29" s="333"/>
      <c r="X29" s="333"/>
      <c r="Y29" s="333"/>
      <c r="Z29" s="333"/>
    </row>
    <row r="30" spans="1:26" ht="15.6">
      <c r="A30" s="341" t="s">
        <v>302</v>
      </c>
      <c r="B30" s="648">
        <f>'INPUT-Y'!F167</f>
        <v>90.9</v>
      </c>
      <c r="C30" s="649">
        <f>'INPUT-Y'!G167</f>
        <v>4.5999999999999996</v>
      </c>
      <c r="D30" s="649">
        <f>'INPUT-Y'!H167</f>
        <v>-1945.9</v>
      </c>
      <c r="E30" s="649">
        <f>'INPUT-Y'!I167</f>
        <v>-2642.1</v>
      </c>
      <c r="F30" s="650">
        <f>'INPUT-Y'!J167</f>
        <v>-937.2</v>
      </c>
      <c r="G30" s="651">
        <f t="shared" ref="G30:K30" si="3">SUM(G25:G29)</f>
        <v>-8462.5</v>
      </c>
      <c r="H30" s="651">
        <f t="shared" si="3"/>
        <v>-2872.5</v>
      </c>
      <c r="I30" s="651">
        <f t="shared" si="3"/>
        <v>-520</v>
      </c>
      <c r="J30" s="651">
        <f t="shared" si="3"/>
        <v>-520</v>
      </c>
      <c r="K30" s="652">
        <f t="shared" si="3"/>
        <v>20</v>
      </c>
      <c r="L30" s="334"/>
      <c r="M30" s="333"/>
      <c r="N30" s="333"/>
      <c r="O30" s="333"/>
      <c r="P30" s="333"/>
      <c r="Q30" s="333"/>
      <c r="R30" s="333"/>
      <c r="S30" s="333"/>
      <c r="T30" s="333"/>
      <c r="U30" s="333"/>
      <c r="V30" s="333"/>
      <c r="W30" s="333"/>
      <c r="X30" s="333"/>
      <c r="Y30" s="333"/>
      <c r="Z30" s="333"/>
    </row>
    <row r="31" spans="1:26" ht="15.6">
      <c r="A31" s="343"/>
      <c r="B31" s="648"/>
      <c r="C31" s="654"/>
      <c r="D31" s="654"/>
      <c r="E31" s="654"/>
      <c r="F31" s="655"/>
      <c r="G31" s="656"/>
      <c r="H31" s="658"/>
      <c r="I31" s="656"/>
      <c r="J31" s="656"/>
      <c r="K31" s="657"/>
      <c r="L31" s="334"/>
      <c r="M31" s="333"/>
      <c r="N31" s="333"/>
      <c r="O31" s="333"/>
      <c r="P31" s="333"/>
      <c r="Q31" s="333"/>
      <c r="R31" s="333"/>
      <c r="S31" s="333"/>
      <c r="T31" s="333"/>
      <c r="U31" s="333"/>
      <c r="V31" s="333"/>
      <c r="W31" s="333"/>
      <c r="X31" s="333"/>
      <c r="Y31" s="333"/>
      <c r="Z31" s="333"/>
    </row>
    <row r="32" spans="1:26" ht="15.6">
      <c r="A32" s="305" t="s">
        <v>303</v>
      </c>
      <c r="B32" s="653"/>
      <c r="C32" s="654"/>
      <c r="D32" s="654"/>
      <c r="E32" s="654"/>
      <c r="F32" s="655"/>
      <c r="G32" s="656"/>
      <c r="H32" s="656"/>
      <c r="I32" s="656"/>
      <c r="J32" s="656"/>
      <c r="K32" s="657"/>
      <c r="L32" s="334"/>
      <c r="M32" s="333"/>
      <c r="N32" s="333"/>
      <c r="O32" s="333"/>
      <c r="P32" s="333"/>
      <c r="Q32" s="333"/>
      <c r="R32" s="333"/>
      <c r="S32" s="333"/>
      <c r="T32" s="333"/>
      <c r="U32" s="333"/>
      <c r="V32" s="333"/>
      <c r="W32" s="333"/>
      <c r="X32" s="333"/>
      <c r="Y32" s="333"/>
      <c r="Z32" s="333"/>
    </row>
    <row r="33" spans="1:26" ht="15.6">
      <c r="A33" s="344" t="s">
        <v>304</v>
      </c>
      <c r="B33" s="653">
        <f>'INPUT-Y'!F177</f>
        <v>0</v>
      </c>
      <c r="C33" s="654">
        <f>'INPUT-Y'!G177</f>
        <v>1</v>
      </c>
      <c r="D33" s="654">
        <f>'INPUT-Y'!H177</f>
        <v>1049.8</v>
      </c>
      <c r="E33" s="654">
        <f>'INPUT-Y'!I177</f>
        <v>270.3</v>
      </c>
      <c r="F33" s="655">
        <f>'INPUT-Y'!J177</f>
        <v>673.3</v>
      </c>
      <c r="G33" s="656">
        <f>BS!G26-BS!F26</f>
        <v>325.19999999999982</v>
      </c>
      <c r="H33" s="656">
        <f>BS!H26-BS!G26</f>
        <v>0</v>
      </c>
      <c r="I33" s="656">
        <f>BS!I26-BS!H26</f>
        <v>0</v>
      </c>
      <c r="J33" s="656">
        <f>BS!J26-BS!I26</f>
        <v>0</v>
      </c>
      <c r="K33" s="657">
        <f>BS!K26-BS!J26</f>
        <v>0</v>
      </c>
      <c r="L33" s="334"/>
      <c r="M33" s="333"/>
      <c r="N33" s="333"/>
      <c r="O33" s="333"/>
      <c r="P33" s="333"/>
      <c r="Q33" s="333"/>
      <c r="R33" s="333"/>
      <c r="S33" s="333"/>
      <c r="T33" s="333"/>
      <c r="U33" s="333"/>
      <c r="V33" s="333"/>
      <c r="W33" s="333"/>
      <c r="X33" s="333"/>
      <c r="Y33" s="333"/>
      <c r="Z33" s="333"/>
    </row>
    <row r="34" spans="1:26" ht="15.6">
      <c r="A34" s="344" t="s">
        <v>305</v>
      </c>
      <c r="B34" s="653">
        <f>'INPUT-Y'!F104-'INPUT-Y'!E104</f>
        <v>0</v>
      </c>
      <c r="C34" s="654">
        <f>'INPUT-Y'!G104-'INPUT-Y'!F104</f>
        <v>0</v>
      </c>
      <c r="D34" s="654">
        <f>'INPUT-Y'!H104-'INPUT-Y'!G104</f>
        <v>0</v>
      </c>
      <c r="E34" s="654">
        <f>'INPUT-Y'!I104-'INPUT-Y'!H104</f>
        <v>0</v>
      </c>
      <c r="F34" s="655">
        <f>'INPUT-Y'!J104-'INPUT-Y'!I104</f>
        <v>0</v>
      </c>
      <c r="G34" s="656"/>
      <c r="H34" s="656"/>
      <c r="I34" s="656"/>
      <c r="J34" s="656"/>
      <c r="K34" s="657"/>
      <c r="L34" s="334"/>
      <c r="M34" s="333"/>
      <c r="N34" s="333"/>
      <c r="O34" s="333"/>
      <c r="P34" s="333"/>
      <c r="Q34" s="333"/>
      <c r="R34" s="333"/>
      <c r="S34" s="333"/>
      <c r="T34" s="333"/>
      <c r="U34" s="333"/>
      <c r="V34" s="333"/>
      <c r="W34" s="333"/>
      <c r="X34" s="333"/>
      <c r="Y34" s="333"/>
      <c r="Z34" s="333"/>
    </row>
    <row r="35" spans="1:26" ht="15.6">
      <c r="A35" s="344" t="s">
        <v>306</v>
      </c>
      <c r="B35" s="653">
        <f>'INPUT-Y'!F77-'INPUT-Y'!E77</f>
        <v>-57.3</v>
      </c>
      <c r="C35" s="654">
        <f>BS!C19-BS!B19</f>
        <v>-39.300000000000004</v>
      </c>
      <c r="D35" s="654">
        <f>BS!D19-BS!C19</f>
        <v>100.5</v>
      </c>
      <c r="E35" s="654">
        <f>BS!E19-BS!D19</f>
        <v>447.20000000000005</v>
      </c>
      <c r="F35" s="655">
        <f>BS!F19-BS!E19</f>
        <v>47.299999999999955</v>
      </c>
      <c r="G35" s="656">
        <f>BS!G19-BS!F19</f>
        <v>60.090000000000032</v>
      </c>
      <c r="H35" s="656">
        <f>BS!H19-BS!G19</f>
        <v>66.099000000000046</v>
      </c>
      <c r="I35" s="656">
        <f>BS!I19-BS!H19</f>
        <v>72.708899999999971</v>
      </c>
      <c r="J35" s="656">
        <f>BS!J19-BS!I19</f>
        <v>79.97978999999998</v>
      </c>
      <c r="K35" s="657">
        <f>BS!K19-BS!J19</f>
        <v>87.977768999999967</v>
      </c>
      <c r="L35" s="334"/>
      <c r="M35" s="333"/>
      <c r="N35" s="333"/>
      <c r="O35" s="333"/>
      <c r="P35" s="333"/>
      <c r="Q35" s="333"/>
      <c r="R35" s="333"/>
      <c r="S35" s="333"/>
      <c r="T35" s="333"/>
      <c r="U35" s="333"/>
      <c r="V35" s="333"/>
      <c r="W35" s="333"/>
      <c r="X35" s="333"/>
      <c r="Y35" s="333"/>
      <c r="Z35" s="333"/>
    </row>
    <row r="36" spans="1:26" ht="15.6">
      <c r="A36" s="344" t="s">
        <v>307</v>
      </c>
      <c r="B36" s="653">
        <f>'INPUT-Y'!F90-'INPUT-Y'!E90</f>
        <v>-253</v>
      </c>
      <c r="C36" s="654">
        <f>BS!C21-BS!B21</f>
        <v>-32.099999999999994</v>
      </c>
      <c r="D36" s="654">
        <f>BS!D21-BS!C21</f>
        <v>1187.8999999999999</v>
      </c>
      <c r="E36" s="654">
        <f>BS!E21-BS!D21</f>
        <v>1922.8</v>
      </c>
      <c r="F36" s="655">
        <f>BS!F21-BS!E21</f>
        <v>-142.5</v>
      </c>
      <c r="G36" s="656">
        <f>BS!G21-BS!F21</f>
        <v>5471.7132082727276</v>
      </c>
      <c r="H36" s="656">
        <f>BS!H21-BS!G21</f>
        <v>1664.3873768727262</v>
      </c>
      <c r="I36" s="656">
        <f>BS!I21-BS!H21</f>
        <v>-615.31262312727267</v>
      </c>
      <c r="J36" s="656">
        <f>BS!J21-BS!I21</f>
        <v>-583.71262312727231</v>
      </c>
      <c r="K36" s="657">
        <f>BS!K21-BS!J21</f>
        <v>-1210.9148150363635</v>
      </c>
      <c r="L36" s="334"/>
      <c r="M36" s="333"/>
      <c r="N36" s="333"/>
      <c r="O36" s="333"/>
      <c r="P36" s="333"/>
      <c r="Q36" s="333"/>
      <c r="R36" s="333"/>
      <c r="S36" s="333"/>
      <c r="T36" s="333"/>
      <c r="U36" s="333"/>
      <c r="V36" s="333"/>
      <c r="W36" s="333"/>
      <c r="X36" s="333"/>
      <c r="Y36" s="333"/>
      <c r="Z36" s="333"/>
    </row>
    <row r="37" spans="1:26" ht="15.6">
      <c r="A37" s="344" t="s">
        <v>308</v>
      </c>
      <c r="B37" s="653">
        <f>'INPUT-Y'!F182</f>
        <v>-39.5</v>
      </c>
      <c r="C37" s="654">
        <f>'INPUT-Y'!G182</f>
        <v>-29.5</v>
      </c>
      <c r="D37" s="654">
        <f>'INPUT-Y'!H182</f>
        <v>-150.69999999999999</v>
      </c>
      <c r="E37" s="654">
        <f>'INPUT-Y'!I182</f>
        <v>-166.9</v>
      </c>
      <c r="F37" s="655">
        <f>'INPUT-Y'!J182</f>
        <v>-35.6</v>
      </c>
      <c r="G37" s="656">
        <f>-'Owners equity'!G30</f>
        <v>-86.235240000000005</v>
      </c>
      <c r="H37" s="656">
        <f>-'Owners equity'!H30</f>
        <v>0</v>
      </c>
      <c r="I37" s="656">
        <f>-'Owners equity'!I30</f>
        <v>0</v>
      </c>
      <c r="J37" s="656">
        <f>-'Owners equity'!J30</f>
        <v>0</v>
      </c>
      <c r="K37" s="657">
        <f>-'Owners equity'!K30</f>
        <v>0</v>
      </c>
      <c r="L37" s="334"/>
      <c r="M37" s="333"/>
      <c r="N37" s="333"/>
      <c r="O37" s="333"/>
      <c r="P37" s="333"/>
      <c r="Q37" s="333"/>
      <c r="R37" s="333"/>
      <c r="S37" s="333"/>
      <c r="T37" s="333"/>
      <c r="U37" s="333"/>
      <c r="V37" s="333"/>
      <c r="W37" s="333"/>
      <c r="X37" s="333"/>
      <c r="Y37" s="333"/>
      <c r="Z37" s="333"/>
    </row>
    <row r="38" spans="1:26" ht="15.6">
      <c r="A38" s="344" t="s">
        <v>309</v>
      </c>
      <c r="B38" s="653">
        <f>-('INPUT-Y'!F82-'INPUT-Y'!F90)-('INPUT-Y'!E82-'INPUT-Y'!E90)-('INPUT-Y'!F94-'INPUT-Y'!E94)</f>
        <v>-1.8999999999999773</v>
      </c>
      <c r="C38" s="654">
        <f>-('INPUT-Y'!G82-'INPUT-Y'!G90)-('INPUT-Y'!F82-'INPUT-Y'!F90)-('INPUT-Y'!G94-'INPUT-Y'!F94)</f>
        <v>-9.6999999999999602</v>
      </c>
      <c r="D38" s="654">
        <f>-('INPUT-Y'!H82-'INPUT-Y'!H90)-('INPUT-Y'!G82-'INPUT-Y'!G90)-('INPUT-Y'!H94-'INPUT-Y'!G94)</f>
        <v>-8.9000000000001194</v>
      </c>
      <c r="E38" s="654">
        <f>-('INPUT-Y'!I82-'INPUT-Y'!I90)-('INPUT-Y'!H82-'INPUT-Y'!H90)-('INPUT-Y'!I94-'INPUT-Y'!H94)</f>
        <v>-8.2000000000000455</v>
      </c>
      <c r="F38" s="655">
        <f>-('INPUT-Y'!J82-'INPUT-Y'!J90)-('INPUT-Y'!I82-'INPUT-Y'!I90)-('INPUT-Y'!J94-'INPUT-Y'!I94)</f>
        <v>-7.2999999999999092</v>
      </c>
      <c r="G38" s="656"/>
      <c r="H38" s="656"/>
      <c r="I38" s="656"/>
      <c r="J38" s="656"/>
      <c r="K38" s="657"/>
      <c r="L38" s="334"/>
      <c r="M38" s="333"/>
      <c r="N38" s="333"/>
      <c r="O38" s="333"/>
      <c r="P38" s="333"/>
      <c r="Q38" s="333"/>
      <c r="R38" s="333"/>
      <c r="S38" s="333"/>
      <c r="T38" s="333"/>
      <c r="U38" s="333"/>
      <c r="V38" s="333"/>
      <c r="W38" s="333"/>
      <c r="X38" s="333"/>
      <c r="Y38" s="333"/>
      <c r="Z38" s="333"/>
    </row>
    <row r="39" spans="1:26" ht="15.6">
      <c r="A39" s="344" t="s">
        <v>310</v>
      </c>
      <c r="B39" s="653">
        <f>'INPUT-Y'!F176 - SUM(B33:B38)</f>
        <v>71.699999999999989</v>
      </c>
      <c r="C39" s="654">
        <f>'INPUT-Y'!G176 - SUM(C33:C38)</f>
        <v>16.19999999999996</v>
      </c>
      <c r="D39" s="654">
        <f>'INPUT-Y'!H176 - SUM(D33:D38)</f>
        <v>12.599999999999909</v>
      </c>
      <c r="E39" s="654">
        <f>'INPUT-Y'!I176 - SUM(E33:E38)</f>
        <v>5.9000000000000909</v>
      </c>
      <c r="F39" s="655">
        <f>'INPUT-Y'!J176 - SUM(F33:F38)</f>
        <v>11.500000000000114</v>
      </c>
      <c r="G39" s="656"/>
      <c r="H39" s="656"/>
      <c r="I39" s="656"/>
      <c r="J39" s="656"/>
      <c r="K39" s="657"/>
      <c r="L39" s="334"/>
      <c r="M39" s="333"/>
      <c r="N39" s="333"/>
      <c r="O39" s="333"/>
      <c r="P39" s="333"/>
      <c r="Q39" s="333"/>
      <c r="R39" s="333"/>
      <c r="S39" s="333"/>
      <c r="T39" s="333"/>
      <c r="U39" s="333"/>
      <c r="V39" s="333"/>
      <c r="W39" s="333"/>
      <c r="X39" s="333"/>
      <c r="Y39" s="333"/>
      <c r="Z39" s="333"/>
    </row>
    <row r="40" spans="1:26" ht="15.6">
      <c r="A40" s="341" t="s">
        <v>311</v>
      </c>
      <c r="B40" s="648">
        <f>'INPUT-Y'!F176</f>
        <v>-280</v>
      </c>
      <c r="C40" s="649">
        <f>'INPUT-Y'!G176</f>
        <v>-93.4</v>
      </c>
      <c r="D40" s="649">
        <f>'INPUT-Y'!H176</f>
        <v>2191.1999999999998</v>
      </c>
      <c r="E40" s="649">
        <f>'INPUT-Y'!I176</f>
        <v>2471.1</v>
      </c>
      <c r="F40" s="650">
        <f>'INPUT-Y'!J176</f>
        <v>546.70000000000005</v>
      </c>
      <c r="G40" s="651">
        <f t="shared" ref="G40:K40" si="4">SUM(G33:G39)</f>
        <v>5770.7679682727276</v>
      </c>
      <c r="H40" s="651">
        <f t="shared" si="4"/>
        <v>1730.4863768727264</v>
      </c>
      <c r="I40" s="651">
        <f t="shared" si="4"/>
        <v>-542.6037231272727</v>
      </c>
      <c r="J40" s="651">
        <f t="shared" si="4"/>
        <v>-503.73283312727233</v>
      </c>
      <c r="K40" s="652">
        <f t="shared" si="4"/>
        <v>-1122.9370460363634</v>
      </c>
      <c r="L40" s="334"/>
      <c r="M40" s="333"/>
      <c r="N40" s="333"/>
      <c r="O40" s="333"/>
      <c r="P40" s="333"/>
      <c r="Q40" s="333"/>
      <c r="R40" s="333"/>
      <c r="S40" s="333"/>
      <c r="T40" s="333"/>
      <c r="U40" s="333"/>
      <c r="V40" s="333"/>
      <c r="W40" s="333"/>
      <c r="X40" s="333"/>
      <c r="Y40" s="333"/>
      <c r="Z40" s="333"/>
    </row>
    <row r="41" spans="1:26" ht="15.6">
      <c r="A41" s="343"/>
      <c r="B41" s="653"/>
      <c r="C41" s="654"/>
      <c r="D41" s="654"/>
      <c r="E41" s="654"/>
      <c r="F41" s="655"/>
      <c r="G41" s="656"/>
      <c r="H41" s="656"/>
      <c r="I41" s="656"/>
      <c r="J41" s="656"/>
      <c r="K41" s="657"/>
      <c r="L41" s="334"/>
      <c r="M41" s="333"/>
      <c r="N41" s="333"/>
      <c r="O41" s="333"/>
      <c r="P41" s="333"/>
      <c r="Q41" s="333"/>
      <c r="R41" s="333"/>
      <c r="S41" s="333"/>
      <c r="T41" s="333"/>
      <c r="U41" s="333"/>
      <c r="V41" s="333"/>
      <c r="W41" s="333"/>
      <c r="X41" s="333"/>
      <c r="Y41" s="333"/>
      <c r="Z41" s="333"/>
    </row>
    <row r="42" spans="1:26" ht="15.6">
      <c r="A42" s="341" t="s">
        <v>312</v>
      </c>
      <c r="B42" s="653">
        <f>'INPUT-Y'!F184</f>
        <v>-20.7</v>
      </c>
      <c r="C42" s="654">
        <f>'INPUT-Y'!G184</f>
        <v>155</v>
      </c>
      <c r="D42" s="654">
        <f>'INPUT-Y'!H184</f>
        <v>386.4</v>
      </c>
      <c r="E42" s="654">
        <f>'INPUT-Y'!I184</f>
        <v>-503.7</v>
      </c>
      <c r="F42" s="655">
        <f>'INPUT-Y'!J184</f>
        <v>30.1</v>
      </c>
      <c r="G42" s="656">
        <f t="shared" ref="G42:K42" si="5">SUM(G40,G30,G22)</f>
        <v>489.21339539299061</v>
      </c>
      <c r="H42" s="656">
        <f t="shared" si="5"/>
        <v>-638.05558647794612</v>
      </c>
      <c r="I42" s="656">
        <f t="shared" si="5"/>
        <v>-90.394442359540108</v>
      </c>
      <c r="J42" s="656">
        <f t="shared" si="5"/>
        <v>108.41048220398727</v>
      </c>
      <c r="K42" s="657">
        <f t="shared" si="5"/>
        <v>204.67809342074315</v>
      </c>
      <c r="L42" s="334"/>
      <c r="M42" s="333"/>
      <c r="N42" s="333"/>
      <c r="O42" s="333"/>
      <c r="P42" s="333"/>
      <c r="Q42" s="333"/>
      <c r="R42" s="333"/>
      <c r="S42" s="333"/>
      <c r="T42" s="333"/>
      <c r="U42" s="333"/>
      <c r="V42" s="333"/>
      <c r="W42" s="333"/>
      <c r="X42" s="333"/>
      <c r="Y42" s="333"/>
      <c r="Z42" s="333"/>
    </row>
    <row r="43" spans="1:26" ht="15.6">
      <c r="A43" s="341" t="s">
        <v>313</v>
      </c>
      <c r="B43" s="653">
        <f>'INPUT-Y'!F185</f>
        <v>88.7</v>
      </c>
      <c r="C43" s="654">
        <f t="shared" ref="C43:K43" si="6">B44</f>
        <v>68</v>
      </c>
      <c r="D43" s="654">
        <f t="shared" si="6"/>
        <v>223</v>
      </c>
      <c r="E43" s="654">
        <f t="shared" si="6"/>
        <v>609.4</v>
      </c>
      <c r="F43" s="655">
        <f t="shared" si="6"/>
        <v>105.4</v>
      </c>
      <c r="G43" s="656">
        <f t="shared" si="6"/>
        <v>135.4</v>
      </c>
      <c r="H43" s="656">
        <f>G44+50</f>
        <v>674.61339539299058</v>
      </c>
      <c r="I43" s="656">
        <f>H44+100</f>
        <v>136.55780891504446</v>
      </c>
      <c r="J43" s="656">
        <f t="shared" si="6"/>
        <v>46.163366555504354</v>
      </c>
      <c r="K43" s="657">
        <f t="shared" si="6"/>
        <v>154.57384875949163</v>
      </c>
      <c r="L43" s="334"/>
      <c r="M43" s="333"/>
      <c r="N43" s="333"/>
      <c r="O43" s="333"/>
      <c r="P43" s="333"/>
      <c r="Q43" s="333"/>
      <c r="R43" s="333"/>
      <c r="S43" s="333"/>
      <c r="T43" s="333"/>
      <c r="U43" s="333"/>
      <c r="V43" s="333"/>
      <c r="W43" s="333"/>
      <c r="X43" s="333"/>
      <c r="Y43" s="333"/>
      <c r="Z43" s="333"/>
    </row>
    <row r="44" spans="1:26" ht="15.6">
      <c r="A44" s="345" t="s">
        <v>314</v>
      </c>
      <c r="B44" s="659">
        <f>'INPUT-Y'!F186</f>
        <v>68</v>
      </c>
      <c r="C44" s="660">
        <f>'INPUT-Y'!G186</f>
        <v>223</v>
      </c>
      <c r="D44" s="660">
        <f>'INPUT-Y'!H186</f>
        <v>609.4</v>
      </c>
      <c r="E44" s="660">
        <f>'INPUT-Y'!I186</f>
        <v>105.4</v>
      </c>
      <c r="F44" s="661">
        <f>'INPUT-Y'!J186</f>
        <v>135.4</v>
      </c>
      <c r="G44" s="662">
        <f t="shared" ref="G44:K44" si="7">SUM(G42:G43)</f>
        <v>624.61339539299058</v>
      </c>
      <c r="H44" s="662">
        <f t="shared" si="7"/>
        <v>36.557808915044461</v>
      </c>
      <c r="I44" s="662">
        <f t="shared" si="7"/>
        <v>46.163366555504354</v>
      </c>
      <c r="J44" s="662">
        <f t="shared" si="7"/>
        <v>154.57384875949163</v>
      </c>
      <c r="K44" s="663">
        <f t="shared" si="7"/>
        <v>359.25194218023478</v>
      </c>
      <c r="L44" s="334"/>
      <c r="M44" s="333"/>
      <c r="N44" s="333"/>
      <c r="O44" s="333"/>
      <c r="P44" s="333"/>
      <c r="Q44" s="333"/>
      <c r="R44" s="333"/>
      <c r="S44" s="333"/>
      <c r="T44" s="333"/>
      <c r="U44" s="333"/>
      <c r="V44" s="333"/>
      <c r="W44" s="333"/>
      <c r="X44" s="333"/>
      <c r="Y44" s="333"/>
      <c r="Z44" s="333"/>
    </row>
    <row r="45" spans="1:26" ht="15.6">
      <c r="A45" s="346"/>
      <c r="B45" s="347"/>
      <c r="C45" s="347"/>
      <c r="D45" s="347"/>
      <c r="E45" s="347"/>
      <c r="F45" s="347"/>
      <c r="G45" s="347"/>
      <c r="H45" s="347"/>
      <c r="I45" s="347"/>
      <c r="J45" s="347"/>
      <c r="K45" s="347"/>
      <c r="L45" s="333"/>
      <c r="M45" s="333"/>
      <c r="N45" s="333"/>
      <c r="O45" s="333"/>
      <c r="P45" s="333"/>
      <c r="Q45" s="333"/>
      <c r="R45" s="333"/>
      <c r="S45" s="333"/>
      <c r="T45" s="333"/>
      <c r="U45" s="333"/>
      <c r="V45" s="333"/>
      <c r="W45" s="333"/>
      <c r="X45" s="333"/>
      <c r="Y45" s="333"/>
      <c r="Z45" s="333"/>
    </row>
    <row r="46" spans="1:26" ht="15.6">
      <c r="A46" s="333"/>
      <c r="B46" s="348"/>
      <c r="C46" s="348"/>
      <c r="D46" s="348"/>
      <c r="E46" s="348"/>
      <c r="F46" s="348"/>
      <c r="G46" s="348"/>
      <c r="H46" s="348"/>
      <c r="I46" s="348"/>
      <c r="J46" s="348"/>
      <c r="K46" s="348"/>
      <c r="L46" s="333"/>
      <c r="M46" s="333"/>
      <c r="N46" s="333"/>
      <c r="O46" s="333"/>
      <c r="P46" s="333"/>
      <c r="Q46" s="333"/>
      <c r="R46" s="333"/>
      <c r="S46" s="333"/>
      <c r="T46" s="333"/>
      <c r="U46" s="333"/>
      <c r="V46" s="333"/>
      <c r="W46" s="333"/>
      <c r="X46" s="333"/>
      <c r="Y46" s="333"/>
      <c r="Z46" s="333"/>
    </row>
    <row r="47" spans="1:26" ht="15.6">
      <c r="A47" s="333"/>
      <c r="B47" s="348"/>
      <c r="C47" s="348"/>
      <c r="D47" s="348"/>
      <c r="E47" s="348"/>
      <c r="F47" s="348"/>
      <c r="G47" s="348"/>
      <c r="H47" s="348"/>
      <c r="I47" s="348"/>
      <c r="J47" s="348"/>
      <c r="K47" s="348"/>
      <c r="L47" s="333"/>
      <c r="M47" s="333"/>
      <c r="N47" s="333"/>
      <c r="O47" s="333"/>
      <c r="P47" s="333"/>
      <c r="Q47" s="333"/>
      <c r="R47" s="333"/>
      <c r="S47" s="333"/>
      <c r="T47" s="333"/>
      <c r="U47" s="333"/>
      <c r="V47" s="333"/>
      <c r="W47" s="333"/>
      <c r="X47" s="333"/>
      <c r="Y47" s="333"/>
      <c r="Z47" s="333"/>
    </row>
    <row r="48" spans="1:26" ht="15.6">
      <c r="A48" s="333"/>
      <c r="B48" s="348"/>
      <c r="C48" s="348"/>
      <c r="D48" s="348"/>
      <c r="E48" s="348"/>
      <c r="F48" s="348"/>
      <c r="G48" s="348"/>
      <c r="H48" s="348"/>
      <c r="I48" s="348"/>
      <c r="J48" s="348"/>
      <c r="K48" s="348"/>
      <c r="L48" s="333"/>
      <c r="M48" s="333"/>
      <c r="N48" s="333"/>
      <c r="O48" s="333"/>
      <c r="P48" s="333"/>
      <c r="Q48" s="333"/>
      <c r="R48" s="333"/>
      <c r="S48" s="333"/>
      <c r="T48" s="333"/>
      <c r="U48" s="333"/>
      <c r="V48" s="333"/>
      <c r="W48" s="333"/>
      <c r="X48" s="333"/>
      <c r="Y48" s="333"/>
      <c r="Z48" s="333"/>
    </row>
    <row r="49" spans="1:26" ht="15.6">
      <c r="A49" s="333"/>
      <c r="B49" s="348"/>
      <c r="C49" s="348"/>
      <c r="D49" s="348"/>
      <c r="E49" s="348"/>
      <c r="F49" s="348"/>
      <c r="G49" s="348"/>
      <c r="H49" s="348"/>
      <c r="I49" s="348"/>
      <c r="J49" s="348"/>
      <c r="K49" s="348"/>
      <c r="L49" s="333"/>
      <c r="M49" s="333"/>
      <c r="N49" s="333"/>
      <c r="O49" s="333"/>
      <c r="P49" s="333"/>
      <c r="Q49" s="333"/>
      <c r="R49" s="333"/>
      <c r="S49" s="333"/>
      <c r="T49" s="333"/>
      <c r="U49" s="333"/>
      <c r="V49" s="333"/>
      <c r="W49" s="333"/>
      <c r="X49" s="333"/>
      <c r="Y49" s="333"/>
      <c r="Z49" s="333"/>
    </row>
    <row r="50" spans="1:26" ht="15.6">
      <c r="A50" s="333"/>
      <c r="B50" s="348"/>
      <c r="C50" s="348"/>
      <c r="D50" s="348"/>
      <c r="E50" s="348"/>
      <c r="F50" s="348"/>
      <c r="G50" s="348"/>
      <c r="H50" s="348"/>
      <c r="I50" s="348"/>
      <c r="J50" s="348"/>
      <c r="K50" s="348"/>
      <c r="L50" s="333"/>
      <c r="M50" s="333"/>
      <c r="N50" s="333"/>
      <c r="O50" s="333"/>
      <c r="P50" s="333"/>
      <c r="Q50" s="333"/>
      <c r="R50" s="333"/>
      <c r="S50" s="333"/>
      <c r="T50" s="333"/>
      <c r="U50" s="333"/>
      <c r="V50" s="333"/>
      <c r="W50" s="333"/>
      <c r="X50" s="333"/>
      <c r="Y50" s="333"/>
      <c r="Z50" s="333"/>
    </row>
    <row r="51" spans="1:26" ht="15.6">
      <c r="A51" s="333"/>
      <c r="B51" s="348"/>
      <c r="C51" s="348"/>
      <c r="D51" s="348"/>
      <c r="E51" s="348"/>
      <c r="F51" s="348"/>
      <c r="G51" s="348"/>
      <c r="H51" s="348"/>
      <c r="I51" s="348"/>
      <c r="J51" s="348"/>
      <c r="K51" s="348"/>
      <c r="L51" s="333"/>
      <c r="M51" s="333"/>
      <c r="N51" s="333"/>
      <c r="O51" s="333"/>
      <c r="P51" s="333"/>
      <c r="Q51" s="333"/>
      <c r="R51" s="333"/>
      <c r="S51" s="333"/>
      <c r="T51" s="333"/>
      <c r="U51" s="333"/>
      <c r="V51" s="333"/>
      <c r="W51" s="333"/>
      <c r="X51" s="333"/>
      <c r="Y51" s="333"/>
      <c r="Z51" s="333"/>
    </row>
    <row r="52" spans="1:26" ht="15.6">
      <c r="A52" s="333"/>
      <c r="B52" s="348"/>
      <c r="C52" s="348"/>
      <c r="D52" s="348"/>
      <c r="E52" s="348"/>
      <c r="F52" s="348"/>
      <c r="G52" s="348"/>
      <c r="H52" s="348"/>
      <c r="I52" s="348"/>
      <c r="J52" s="348"/>
      <c r="K52" s="348"/>
      <c r="L52" s="333"/>
      <c r="M52" s="333"/>
      <c r="N52" s="333"/>
      <c r="O52" s="333"/>
      <c r="P52" s="333"/>
      <c r="Q52" s="333"/>
      <c r="R52" s="333"/>
      <c r="S52" s="333"/>
      <c r="T52" s="333"/>
      <c r="U52" s="333"/>
      <c r="V52" s="333"/>
      <c r="W52" s="333"/>
      <c r="X52" s="333"/>
      <c r="Y52" s="333"/>
      <c r="Z52" s="333"/>
    </row>
    <row r="53" spans="1:26" ht="15.6">
      <c r="A53" s="333"/>
      <c r="B53" s="348"/>
      <c r="C53" s="348"/>
      <c r="D53" s="348"/>
      <c r="E53" s="348"/>
      <c r="F53" s="348"/>
      <c r="G53" s="348"/>
      <c r="H53" s="348"/>
      <c r="I53" s="348"/>
      <c r="J53" s="348"/>
      <c r="K53" s="348"/>
      <c r="L53" s="333"/>
      <c r="M53" s="333"/>
      <c r="N53" s="333"/>
      <c r="O53" s="333"/>
      <c r="P53" s="333"/>
      <c r="Q53" s="333"/>
      <c r="R53" s="333"/>
      <c r="S53" s="333"/>
      <c r="T53" s="333"/>
      <c r="U53" s="333"/>
      <c r="V53" s="333"/>
      <c r="W53" s="333"/>
      <c r="X53" s="333"/>
      <c r="Y53" s="333"/>
      <c r="Z53" s="333"/>
    </row>
    <row r="54" spans="1:26" ht="15.6">
      <c r="A54" s="333"/>
      <c r="B54" s="348"/>
      <c r="C54" s="348"/>
      <c r="D54" s="348"/>
      <c r="E54" s="348"/>
      <c r="F54" s="348"/>
      <c r="G54" s="348"/>
      <c r="H54" s="348"/>
      <c r="I54" s="348"/>
      <c r="J54" s="348"/>
      <c r="K54" s="348"/>
      <c r="L54" s="333"/>
      <c r="M54" s="333"/>
      <c r="N54" s="333"/>
      <c r="O54" s="333"/>
      <c r="P54" s="333"/>
      <c r="Q54" s="333"/>
      <c r="R54" s="333"/>
      <c r="S54" s="333"/>
      <c r="T54" s="333"/>
      <c r="U54" s="333"/>
      <c r="V54" s="333"/>
      <c r="W54" s="333"/>
      <c r="X54" s="333"/>
      <c r="Y54" s="333"/>
      <c r="Z54" s="333"/>
    </row>
    <row r="55" spans="1:26" ht="15.6">
      <c r="A55" s="333"/>
      <c r="B55" s="348"/>
      <c r="C55" s="348"/>
      <c r="D55" s="348"/>
      <c r="E55" s="348"/>
      <c r="F55" s="348"/>
      <c r="G55" s="348"/>
      <c r="H55" s="348"/>
      <c r="I55" s="348"/>
      <c r="J55" s="348"/>
      <c r="K55" s="348"/>
      <c r="L55" s="333"/>
      <c r="M55" s="333"/>
      <c r="N55" s="333"/>
      <c r="O55" s="333"/>
      <c r="P55" s="333"/>
      <c r="Q55" s="333"/>
      <c r="R55" s="333"/>
      <c r="S55" s="333"/>
      <c r="T55" s="333"/>
      <c r="U55" s="333"/>
      <c r="V55" s="333"/>
      <c r="W55" s="333"/>
      <c r="X55" s="333"/>
      <c r="Y55" s="333"/>
      <c r="Z55" s="333"/>
    </row>
    <row r="56" spans="1:26" ht="15.6">
      <c r="A56" s="333"/>
      <c r="B56" s="348"/>
      <c r="C56" s="348"/>
      <c r="D56" s="348"/>
      <c r="E56" s="348"/>
      <c r="F56" s="348"/>
      <c r="G56" s="348"/>
      <c r="H56" s="348"/>
      <c r="I56" s="348"/>
      <c r="J56" s="348"/>
      <c r="K56" s="348"/>
      <c r="L56" s="333"/>
      <c r="M56" s="333"/>
      <c r="N56" s="333"/>
      <c r="O56" s="333"/>
      <c r="P56" s="333"/>
      <c r="Q56" s="333"/>
      <c r="R56" s="333"/>
      <c r="S56" s="333"/>
      <c r="T56" s="333"/>
      <c r="U56" s="333"/>
      <c r="V56" s="333"/>
      <c r="W56" s="333"/>
      <c r="X56" s="333"/>
      <c r="Y56" s="333"/>
      <c r="Z56" s="333"/>
    </row>
    <row r="57" spans="1:26" ht="15.6">
      <c r="A57" s="333"/>
      <c r="B57" s="348"/>
      <c r="C57" s="348"/>
      <c r="D57" s="348"/>
      <c r="E57" s="348"/>
      <c r="F57" s="348"/>
      <c r="G57" s="348"/>
      <c r="H57" s="348"/>
      <c r="I57" s="348"/>
      <c r="J57" s="348"/>
      <c r="K57" s="348"/>
      <c r="L57" s="333"/>
      <c r="M57" s="333"/>
      <c r="N57" s="333"/>
      <c r="O57" s="333"/>
      <c r="P57" s="333"/>
      <c r="Q57" s="333"/>
      <c r="R57" s="333"/>
      <c r="S57" s="333"/>
      <c r="T57" s="333"/>
      <c r="U57" s="333"/>
      <c r="V57" s="333"/>
      <c r="W57" s="333"/>
      <c r="X57" s="333"/>
      <c r="Y57" s="333"/>
      <c r="Z57" s="333"/>
    </row>
    <row r="58" spans="1:26" ht="15.6">
      <c r="A58" s="333"/>
      <c r="B58" s="348"/>
      <c r="C58" s="348"/>
      <c r="D58" s="348"/>
      <c r="E58" s="348"/>
      <c r="F58" s="348"/>
      <c r="G58" s="348"/>
      <c r="H58" s="348"/>
      <c r="I58" s="348"/>
      <c r="J58" s="348"/>
      <c r="K58" s="348"/>
      <c r="L58" s="333"/>
      <c r="M58" s="333"/>
      <c r="N58" s="333"/>
      <c r="O58" s="333"/>
      <c r="P58" s="333"/>
      <c r="Q58" s="333"/>
      <c r="R58" s="333"/>
      <c r="S58" s="333"/>
      <c r="T58" s="333"/>
      <c r="U58" s="333"/>
      <c r="V58" s="333"/>
      <c r="W58" s="333"/>
      <c r="X58" s="333"/>
      <c r="Y58" s="333"/>
      <c r="Z58" s="333"/>
    </row>
    <row r="59" spans="1:26" ht="15.6">
      <c r="A59" s="333"/>
      <c r="B59" s="348"/>
      <c r="C59" s="348"/>
      <c r="D59" s="348"/>
      <c r="E59" s="348"/>
      <c r="F59" s="348"/>
      <c r="G59" s="348"/>
      <c r="H59" s="348"/>
      <c r="I59" s="348"/>
      <c r="J59" s="348"/>
      <c r="K59" s="348"/>
      <c r="L59" s="333"/>
      <c r="M59" s="333"/>
      <c r="N59" s="333"/>
      <c r="O59" s="333"/>
      <c r="P59" s="333"/>
      <c r="Q59" s="333"/>
      <c r="R59" s="333"/>
      <c r="S59" s="333"/>
      <c r="T59" s="333"/>
      <c r="U59" s="333"/>
      <c r="V59" s="333"/>
      <c r="W59" s="333"/>
      <c r="X59" s="333"/>
      <c r="Y59" s="333"/>
      <c r="Z59" s="333"/>
    </row>
    <row r="60" spans="1:26" ht="15.6">
      <c r="A60" s="333"/>
      <c r="B60" s="348"/>
      <c r="C60" s="348"/>
      <c r="D60" s="348"/>
      <c r="E60" s="348"/>
      <c r="F60" s="348"/>
      <c r="G60" s="348"/>
      <c r="H60" s="348"/>
      <c r="I60" s="348"/>
      <c r="J60" s="348"/>
      <c r="K60" s="348"/>
      <c r="L60" s="333"/>
      <c r="M60" s="333"/>
      <c r="N60" s="333"/>
      <c r="O60" s="333"/>
      <c r="P60" s="333"/>
      <c r="Q60" s="333"/>
      <c r="R60" s="333"/>
      <c r="S60" s="333"/>
      <c r="T60" s="333"/>
      <c r="U60" s="333"/>
      <c r="V60" s="333"/>
      <c r="W60" s="333"/>
      <c r="X60" s="333"/>
      <c r="Y60" s="333"/>
      <c r="Z60" s="333"/>
    </row>
    <row r="61" spans="1:26" ht="15.6">
      <c r="A61" s="333"/>
      <c r="B61" s="348"/>
      <c r="C61" s="348"/>
      <c r="D61" s="348"/>
      <c r="E61" s="348"/>
      <c r="F61" s="348"/>
      <c r="G61" s="348"/>
      <c r="H61" s="348"/>
      <c r="I61" s="348"/>
      <c r="J61" s="348"/>
      <c r="K61" s="348"/>
      <c r="L61" s="333"/>
      <c r="M61" s="333"/>
      <c r="N61" s="333"/>
      <c r="O61" s="333"/>
      <c r="P61" s="333"/>
      <c r="Q61" s="333"/>
      <c r="R61" s="333"/>
      <c r="S61" s="333"/>
      <c r="T61" s="333"/>
      <c r="U61" s="333"/>
      <c r="V61" s="333"/>
      <c r="W61" s="333"/>
      <c r="X61" s="333"/>
      <c r="Y61" s="333"/>
      <c r="Z61" s="333"/>
    </row>
    <row r="62" spans="1:26" ht="15.6">
      <c r="A62" s="333"/>
      <c r="B62" s="348"/>
      <c r="C62" s="348"/>
      <c r="D62" s="348"/>
      <c r="E62" s="348"/>
      <c r="F62" s="348"/>
      <c r="G62" s="348"/>
      <c r="H62" s="348"/>
      <c r="I62" s="348"/>
      <c r="J62" s="348"/>
      <c r="K62" s="348"/>
      <c r="L62" s="333"/>
      <c r="M62" s="333"/>
      <c r="N62" s="333"/>
      <c r="O62" s="333"/>
      <c r="P62" s="333"/>
      <c r="Q62" s="333"/>
      <c r="R62" s="333"/>
      <c r="S62" s="333"/>
      <c r="T62" s="333"/>
      <c r="U62" s="333"/>
      <c r="V62" s="333"/>
      <c r="W62" s="333"/>
      <c r="X62" s="333"/>
      <c r="Y62" s="333"/>
      <c r="Z62" s="333"/>
    </row>
    <row r="63" spans="1:26" ht="15.6">
      <c r="A63" s="333"/>
      <c r="B63" s="348"/>
      <c r="C63" s="348"/>
      <c r="D63" s="348"/>
      <c r="E63" s="348"/>
      <c r="F63" s="348"/>
      <c r="G63" s="348"/>
      <c r="H63" s="348"/>
      <c r="I63" s="348"/>
      <c r="J63" s="348"/>
      <c r="K63" s="348"/>
      <c r="L63" s="333"/>
      <c r="M63" s="333"/>
      <c r="N63" s="333"/>
      <c r="O63" s="333"/>
      <c r="P63" s="333"/>
      <c r="Q63" s="333"/>
      <c r="R63" s="333"/>
      <c r="S63" s="333"/>
      <c r="T63" s="333"/>
      <c r="U63" s="333"/>
      <c r="V63" s="333"/>
      <c r="W63" s="333"/>
      <c r="X63" s="333"/>
      <c r="Y63" s="333"/>
      <c r="Z63" s="333"/>
    </row>
    <row r="64" spans="1:26" ht="15.6">
      <c r="A64" s="333"/>
      <c r="B64" s="348"/>
      <c r="C64" s="348"/>
      <c r="D64" s="348"/>
      <c r="E64" s="348"/>
      <c r="F64" s="348"/>
      <c r="G64" s="348"/>
      <c r="H64" s="348"/>
      <c r="I64" s="348"/>
      <c r="J64" s="348"/>
      <c r="K64" s="348"/>
      <c r="L64" s="333"/>
      <c r="M64" s="333"/>
      <c r="N64" s="333"/>
      <c r="O64" s="333"/>
      <c r="P64" s="333"/>
      <c r="Q64" s="333"/>
      <c r="R64" s="333"/>
      <c r="S64" s="333"/>
      <c r="T64" s="333"/>
      <c r="U64" s="333"/>
      <c r="V64" s="333"/>
      <c r="W64" s="333"/>
      <c r="X64" s="333"/>
      <c r="Y64" s="333"/>
      <c r="Z64" s="333"/>
    </row>
    <row r="65" spans="1:26" ht="15.6">
      <c r="A65" s="333"/>
      <c r="B65" s="348"/>
      <c r="C65" s="348"/>
      <c r="D65" s="348"/>
      <c r="E65" s="348"/>
      <c r="F65" s="348"/>
      <c r="G65" s="348"/>
      <c r="H65" s="348"/>
      <c r="I65" s="348"/>
      <c r="J65" s="348"/>
      <c r="K65" s="348"/>
      <c r="L65" s="333"/>
      <c r="M65" s="333"/>
      <c r="N65" s="333"/>
      <c r="O65" s="333"/>
      <c r="P65" s="333"/>
      <c r="Q65" s="333"/>
      <c r="R65" s="333"/>
      <c r="S65" s="333"/>
      <c r="T65" s="333"/>
      <c r="U65" s="333"/>
      <c r="V65" s="333"/>
      <c r="W65" s="333"/>
      <c r="X65" s="333"/>
      <c r="Y65" s="333"/>
      <c r="Z65" s="333"/>
    </row>
    <row r="66" spans="1:26" ht="15.6">
      <c r="A66" s="333"/>
      <c r="B66" s="348"/>
      <c r="C66" s="348"/>
      <c r="D66" s="348"/>
      <c r="E66" s="348"/>
      <c r="F66" s="348"/>
      <c r="G66" s="348"/>
      <c r="H66" s="348"/>
      <c r="I66" s="348"/>
      <c r="J66" s="348"/>
      <c r="K66" s="348"/>
      <c r="L66" s="333"/>
      <c r="M66" s="333"/>
      <c r="N66" s="333"/>
      <c r="O66" s="333"/>
      <c r="P66" s="333"/>
      <c r="Q66" s="333"/>
      <c r="R66" s="333"/>
      <c r="S66" s="333"/>
      <c r="T66" s="333"/>
      <c r="U66" s="333"/>
      <c r="V66" s="333"/>
      <c r="W66" s="333"/>
      <c r="X66" s="333"/>
      <c r="Y66" s="333"/>
      <c r="Z66" s="333"/>
    </row>
    <row r="67" spans="1:26" ht="15.6">
      <c r="A67" s="333"/>
      <c r="B67" s="348"/>
      <c r="C67" s="348"/>
      <c r="D67" s="348"/>
      <c r="E67" s="348"/>
      <c r="F67" s="348"/>
      <c r="G67" s="348"/>
      <c r="H67" s="348"/>
      <c r="I67" s="348"/>
      <c r="J67" s="348"/>
      <c r="K67" s="348"/>
      <c r="L67" s="333"/>
      <c r="M67" s="333"/>
      <c r="N67" s="333"/>
      <c r="O67" s="333"/>
      <c r="P67" s="333"/>
      <c r="Q67" s="333"/>
      <c r="R67" s="333"/>
      <c r="S67" s="333"/>
      <c r="T67" s="333"/>
      <c r="U67" s="333"/>
      <c r="V67" s="333"/>
      <c r="W67" s="333"/>
      <c r="X67" s="333"/>
      <c r="Y67" s="333"/>
      <c r="Z67" s="333"/>
    </row>
    <row r="68" spans="1:26" ht="15.6">
      <c r="A68" s="333"/>
      <c r="B68" s="348"/>
      <c r="C68" s="348"/>
      <c r="D68" s="348"/>
      <c r="E68" s="348"/>
      <c r="F68" s="348"/>
      <c r="G68" s="348"/>
      <c r="H68" s="348"/>
      <c r="I68" s="348"/>
      <c r="J68" s="348"/>
      <c r="K68" s="348"/>
      <c r="L68" s="333"/>
      <c r="M68" s="333"/>
      <c r="N68" s="333"/>
      <c r="O68" s="333"/>
      <c r="P68" s="333"/>
      <c r="Q68" s="333"/>
      <c r="R68" s="333"/>
      <c r="S68" s="333"/>
      <c r="T68" s="333"/>
      <c r="U68" s="333"/>
      <c r="V68" s="333"/>
      <c r="W68" s="333"/>
      <c r="X68" s="333"/>
      <c r="Y68" s="333"/>
      <c r="Z68" s="333"/>
    </row>
    <row r="69" spans="1:26" ht="15.6">
      <c r="A69" s="333"/>
      <c r="B69" s="348"/>
      <c r="C69" s="348"/>
      <c r="D69" s="348"/>
      <c r="E69" s="348"/>
      <c r="F69" s="348"/>
      <c r="G69" s="348"/>
      <c r="H69" s="348"/>
      <c r="I69" s="348"/>
      <c r="J69" s="348"/>
      <c r="K69" s="348"/>
      <c r="L69" s="333"/>
      <c r="M69" s="333"/>
      <c r="N69" s="333"/>
      <c r="O69" s="333"/>
      <c r="P69" s="333"/>
      <c r="Q69" s="333"/>
      <c r="R69" s="333"/>
      <c r="S69" s="333"/>
      <c r="T69" s="333"/>
      <c r="U69" s="333"/>
      <c r="V69" s="333"/>
      <c r="W69" s="333"/>
      <c r="X69" s="333"/>
      <c r="Y69" s="333"/>
      <c r="Z69" s="333"/>
    </row>
    <row r="70" spans="1:26" ht="15.6">
      <c r="A70" s="333"/>
      <c r="B70" s="348"/>
      <c r="C70" s="348"/>
      <c r="D70" s="348"/>
      <c r="E70" s="348"/>
      <c r="F70" s="348"/>
      <c r="G70" s="348"/>
      <c r="H70" s="348"/>
      <c r="I70" s="348"/>
      <c r="J70" s="348"/>
      <c r="K70" s="348"/>
      <c r="L70" s="333"/>
      <c r="M70" s="333"/>
      <c r="N70" s="333"/>
      <c r="O70" s="333"/>
      <c r="P70" s="333"/>
      <c r="Q70" s="333"/>
      <c r="R70" s="333"/>
      <c r="S70" s="333"/>
      <c r="T70" s="333"/>
      <c r="U70" s="333"/>
      <c r="V70" s="333"/>
      <c r="W70" s="333"/>
      <c r="X70" s="333"/>
      <c r="Y70" s="333"/>
      <c r="Z70" s="333"/>
    </row>
    <row r="71" spans="1:26" ht="15.6">
      <c r="A71" s="333"/>
      <c r="B71" s="348"/>
      <c r="C71" s="348"/>
      <c r="D71" s="348"/>
      <c r="E71" s="348"/>
      <c r="F71" s="348"/>
      <c r="G71" s="348"/>
      <c r="H71" s="348"/>
      <c r="I71" s="348"/>
      <c r="J71" s="348"/>
      <c r="K71" s="348"/>
      <c r="L71" s="333"/>
      <c r="M71" s="333"/>
      <c r="N71" s="333"/>
      <c r="O71" s="333"/>
      <c r="P71" s="333"/>
      <c r="Q71" s="333"/>
      <c r="R71" s="333"/>
      <c r="S71" s="333"/>
      <c r="T71" s="333"/>
      <c r="U71" s="333"/>
      <c r="V71" s="333"/>
      <c r="W71" s="333"/>
      <c r="X71" s="333"/>
      <c r="Y71" s="333"/>
      <c r="Z71" s="333"/>
    </row>
    <row r="72" spans="1:26" ht="15.6">
      <c r="A72" s="333"/>
      <c r="B72" s="348"/>
      <c r="C72" s="348"/>
      <c r="D72" s="348"/>
      <c r="E72" s="348"/>
      <c r="F72" s="348"/>
      <c r="G72" s="348"/>
      <c r="H72" s="348"/>
      <c r="I72" s="348"/>
      <c r="J72" s="348"/>
      <c r="K72" s="348"/>
      <c r="L72" s="333"/>
      <c r="M72" s="333"/>
      <c r="N72" s="333"/>
      <c r="O72" s="333"/>
      <c r="P72" s="333"/>
      <c r="Q72" s="333"/>
      <c r="R72" s="333"/>
      <c r="S72" s="333"/>
      <c r="T72" s="333"/>
      <c r="U72" s="333"/>
      <c r="V72" s="333"/>
      <c r="W72" s="333"/>
      <c r="X72" s="333"/>
      <c r="Y72" s="333"/>
      <c r="Z72" s="333"/>
    </row>
    <row r="73" spans="1:26" ht="15.6">
      <c r="A73" s="333"/>
      <c r="B73" s="348"/>
      <c r="C73" s="348"/>
      <c r="D73" s="348"/>
      <c r="E73" s="348"/>
      <c r="F73" s="348"/>
      <c r="G73" s="348"/>
      <c r="H73" s="348"/>
      <c r="I73" s="348"/>
      <c r="J73" s="348"/>
      <c r="K73" s="348"/>
      <c r="L73" s="333"/>
      <c r="M73" s="333"/>
      <c r="N73" s="333"/>
      <c r="O73" s="333"/>
      <c r="P73" s="333"/>
      <c r="Q73" s="333"/>
      <c r="R73" s="333"/>
      <c r="S73" s="333"/>
      <c r="T73" s="333"/>
      <c r="U73" s="333"/>
      <c r="V73" s="333"/>
      <c r="W73" s="333"/>
      <c r="X73" s="333"/>
      <c r="Y73" s="333"/>
      <c r="Z73" s="333"/>
    </row>
    <row r="74" spans="1:26" ht="15.6">
      <c r="A74" s="333"/>
      <c r="B74" s="348"/>
      <c r="C74" s="348"/>
      <c r="D74" s="348"/>
      <c r="E74" s="348"/>
      <c r="F74" s="348"/>
      <c r="G74" s="348"/>
      <c r="H74" s="348"/>
      <c r="I74" s="348"/>
      <c r="J74" s="348"/>
      <c r="K74" s="348"/>
      <c r="L74" s="333"/>
      <c r="M74" s="333"/>
      <c r="N74" s="333"/>
      <c r="O74" s="333"/>
      <c r="P74" s="333"/>
      <c r="Q74" s="333"/>
      <c r="R74" s="333"/>
      <c r="S74" s="333"/>
      <c r="T74" s="333"/>
      <c r="U74" s="333"/>
      <c r="V74" s="333"/>
      <c r="W74" s="333"/>
      <c r="X74" s="333"/>
      <c r="Y74" s="333"/>
      <c r="Z74" s="333"/>
    </row>
    <row r="75" spans="1:26" ht="15.6">
      <c r="A75" s="333"/>
      <c r="B75" s="348"/>
      <c r="C75" s="348"/>
      <c r="D75" s="348"/>
      <c r="E75" s="348"/>
      <c r="F75" s="348"/>
      <c r="G75" s="348"/>
      <c r="H75" s="348"/>
      <c r="I75" s="348"/>
      <c r="J75" s="348"/>
      <c r="K75" s="348"/>
      <c r="L75" s="333"/>
      <c r="M75" s="333"/>
      <c r="N75" s="333"/>
      <c r="O75" s="333"/>
      <c r="P75" s="333"/>
      <c r="Q75" s="333"/>
      <c r="R75" s="333"/>
      <c r="S75" s="333"/>
      <c r="T75" s="333"/>
      <c r="U75" s="333"/>
      <c r="V75" s="333"/>
      <c r="W75" s="333"/>
      <c r="X75" s="333"/>
      <c r="Y75" s="333"/>
      <c r="Z75" s="333"/>
    </row>
    <row r="76" spans="1:26" ht="15.6">
      <c r="A76" s="333"/>
      <c r="B76" s="348"/>
      <c r="C76" s="348"/>
      <c r="D76" s="348"/>
      <c r="E76" s="348"/>
      <c r="F76" s="348"/>
      <c r="G76" s="348"/>
      <c r="H76" s="348"/>
      <c r="I76" s="348"/>
      <c r="J76" s="348"/>
      <c r="K76" s="348"/>
      <c r="L76" s="333"/>
      <c r="M76" s="333"/>
      <c r="N76" s="333"/>
      <c r="O76" s="333"/>
      <c r="P76" s="333"/>
      <c r="Q76" s="333"/>
      <c r="R76" s="333"/>
      <c r="S76" s="333"/>
      <c r="T76" s="333"/>
      <c r="U76" s="333"/>
      <c r="V76" s="333"/>
      <c r="W76" s="333"/>
      <c r="X76" s="333"/>
      <c r="Y76" s="333"/>
      <c r="Z76" s="333"/>
    </row>
    <row r="77" spans="1:26" ht="15.6">
      <c r="A77" s="333"/>
      <c r="B77" s="348"/>
      <c r="C77" s="348"/>
      <c r="D77" s="348"/>
      <c r="E77" s="348"/>
      <c r="F77" s="348"/>
      <c r="G77" s="348"/>
      <c r="H77" s="348"/>
      <c r="I77" s="348"/>
      <c r="J77" s="348"/>
      <c r="K77" s="348"/>
      <c r="L77" s="333"/>
      <c r="M77" s="333"/>
      <c r="N77" s="333"/>
      <c r="O77" s="333"/>
      <c r="P77" s="333"/>
      <c r="Q77" s="333"/>
      <c r="R77" s="333"/>
      <c r="S77" s="333"/>
      <c r="T77" s="333"/>
      <c r="U77" s="333"/>
      <c r="V77" s="333"/>
      <c r="W77" s="333"/>
      <c r="X77" s="333"/>
      <c r="Y77" s="333"/>
      <c r="Z77" s="333"/>
    </row>
    <row r="78" spans="1:26" ht="15.6">
      <c r="A78" s="333"/>
      <c r="B78" s="348"/>
      <c r="C78" s="348"/>
      <c r="D78" s="348"/>
      <c r="E78" s="348"/>
      <c r="F78" s="348"/>
      <c r="G78" s="348"/>
      <c r="H78" s="348"/>
      <c r="I78" s="348"/>
      <c r="J78" s="348"/>
      <c r="K78" s="348"/>
      <c r="L78" s="333"/>
      <c r="M78" s="333"/>
      <c r="N78" s="333"/>
      <c r="O78" s="333"/>
      <c r="P78" s="333"/>
      <c r="Q78" s="333"/>
      <c r="R78" s="333"/>
      <c r="S78" s="333"/>
      <c r="T78" s="333"/>
      <c r="U78" s="333"/>
      <c r="V78" s="333"/>
      <c r="W78" s="333"/>
      <c r="X78" s="333"/>
      <c r="Y78" s="333"/>
      <c r="Z78" s="333"/>
    </row>
    <row r="79" spans="1:26" ht="15.6">
      <c r="A79" s="333"/>
      <c r="B79" s="348"/>
      <c r="C79" s="348"/>
      <c r="D79" s="348"/>
      <c r="E79" s="348"/>
      <c r="F79" s="348"/>
      <c r="G79" s="348"/>
      <c r="H79" s="348"/>
      <c r="I79" s="348"/>
      <c r="J79" s="348"/>
      <c r="K79" s="348"/>
      <c r="L79" s="333"/>
      <c r="M79" s="333"/>
      <c r="N79" s="333"/>
      <c r="O79" s="333"/>
      <c r="P79" s="333"/>
      <c r="Q79" s="333"/>
      <c r="R79" s="333"/>
      <c r="S79" s="333"/>
      <c r="T79" s="333"/>
      <c r="U79" s="333"/>
      <c r="V79" s="333"/>
      <c r="W79" s="333"/>
      <c r="X79" s="333"/>
      <c r="Y79" s="333"/>
      <c r="Z79" s="333"/>
    </row>
    <row r="80" spans="1:26" ht="15.6">
      <c r="A80" s="333"/>
      <c r="B80" s="348"/>
      <c r="C80" s="348"/>
      <c r="D80" s="348"/>
      <c r="E80" s="348"/>
      <c r="F80" s="348"/>
      <c r="G80" s="348"/>
      <c r="H80" s="348"/>
      <c r="I80" s="348"/>
      <c r="J80" s="348"/>
      <c r="K80" s="348"/>
      <c r="L80" s="333"/>
      <c r="M80" s="333"/>
      <c r="N80" s="333"/>
      <c r="O80" s="333"/>
      <c r="P80" s="333"/>
      <c r="Q80" s="333"/>
      <c r="R80" s="333"/>
      <c r="S80" s="333"/>
      <c r="T80" s="333"/>
      <c r="U80" s="333"/>
      <c r="V80" s="333"/>
      <c r="W80" s="333"/>
      <c r="X80" s="333"/>
      <c r="Y80" s="333"/>
      <c r="Z80" s="333"/>
    </row>
    <row r="81" spans="1:26" ht="15.6">
      <c r="A81" s="333"/>
      <c r="B81" s="348"/>
      <c r="C81" s="348"/>
      <c r="D81" s="348"/>
      <c r="E81" s="348"/>
      <c r="F81" s="348"/>
      <c r="G81" s="348"/>
      <c r="H81" s="348"/>
      <c r="I81" s="348"/>
      <c r="J81" s="348"/>
      <c r="K81" s="348"/>
      <c r="L81" s="333"/>
      <c r="M81" s="333"/>
      <c r="N81" s="333"/>
      <c r="O81" s="333"/>
      <c r="P81" s="333"/>
      <c r="Q81" s="333"/>
      <c r="R81" s="333"/>
      <c r="S81" s="333"/>
      <c r="T81" s="333"/>
      <c r="U81" s="333"/>
      <c r="V81" s="333"/>
      <c r="W81" s="333"/>
      <c r="X81" s="333"/>
      <c r="Y81" s="333"/>
      <c r="Z81" s="333"/>
    </row>
    <row r="82" spans="1:26" ht="15.6">
      <c r="A82" s="333"/>
      <c r="B82" s="348"/>
      <c r="C82" s="348"/>
      <c r="D82" s="348"/>
      <c r="E82" s="348"/>
      <c r="F82" s="348"/>
      <c r="G82" s="348"/>
      <c r="H82" s="348"/>
      <c r="I82" s="348"/>
      <c r="J82" s="348"/>
      <c r="K82" s="348"/>
      <c r="L82" s="333"/>
      <c r="M82" s="333"/>
      <c r="N82" s="333"/>
      <c r="O82" s="333"/>
      <c r="P82" s="333"/>
      <c r="Q82" s="333"/>
      <c r="R82" s="333"/>
      <c r="S82" s="333"/>
      <c r="T82" s="333"/>
      <c r="U82" s="333"/>
      <c r="V82" s="333"/>
      <c r="W82" s="333"/>
      <c r="X82" s="333"/>
      <c r="Y82" s="333"/>
      <c r="Z82" s="333"/>
    </row>
    <row r="83" spans="1:26" ht="15.6">
      <c r="A83" s="333"/>
      <c r="B83" s="348"/>
      <c r="C83" s="348"/>
      <c r="D83" s="348"/>
      <c r="E83" s="348"/>
      <c r="F83" s="348"/>
      <c r="G83" s="348"/>
      <c r="H83" s="348"/>
      <c r="I83" s="348"/>
      <c r="J83" s="348"/>
      <c r="K83" s="348"/>
      <c r="L83" s="333"/>
      <c r="M83" s="333"/>
      <c r="N83" s="333"/>
      <c r="O83" s="333"/>
      <c r="P83" s="333"/>
      <c r="Q83" s="333"/>
      <c r="R83" s="333"/>
      <c r="S83" s="333"/>
      <c r="T83" s="333"/>
      <c r="U83" s="333"/>
      <c r="V83" s="333"/>
      <c r="W83" s="333"/>
      <c r="X83" s="333"/>
      <c r="Y83" s="333"/>
      <c r="Z83" s="333"/>
    </row>
    <row r="84" spans="1:26" ht="15.6">
      <c r="A84" s="333"/>
      <c r="B84" s="348"/>
      <c r="C84" s="348"/>
      <c r="D84" s="348"/>
      <c r="E84" s="348"/>
      <c r="F84" s="348"/>
      <c r="G84" s="348"/>
      <c r="H84" s="348"/>
      <c r="I84" s="348"/>
      <c r="J84" s="348"/>
      <c r="K84" s="348"/>
      <c r="L84" s="333"/>
      <c r="M84" s="333"/>
      <c r="N84" s="333"/>
      <c r="O84" s="333"/>
      <c r="P84" s="333"/>
      <c r="Q84" s="333"/>
      <c r="R84" s="333"/>
      <c r="S84" s="333"/>
      <c r="T84" s="333"/>
      <c r="U84" s="333"/>
      <c r="V84" s="333"/>
      <c r="W84" s="333"/>
      <c r="X84" s="333"/>
      <c r="Y84" s="333"/>
      <c r="Z84" s="333"/>
    </row>
    <row r="85" spans="1:26" ht="15.6">
      <c r="A85" s="333"/>
      <c r="B85" s="348"/>
      <c r="C85" s="348"/>
      <c r="D85" s="348"/>
      <c r="E85" s="348"/>
      <c r="F85" s="348"/>
      <c r="G85" s="348"/>
      <c r="H85" s="348"/>
      <c r="I85" s="348"/>
      <c r="J85" s="348"/>
      <c r="K85" s="348"/>
      <c r="L85" s="333"/>
      <c r="M85" s="333"/>
      <c r="N85" s="333"/>
      <c r="O85" s="333"/>
      <c r="P85" s="333"/>
      <c r="Q85" s="333"/>
      <c r="R85" s="333"/>
      <c r="S85" s="333"/>
      <c r="T85" s="333"/>
      <c r="U85" s="333"/>
      <c r="V85" s="333"/>
      <c r="W85" s="333"/>
      <c r="X85" s="333"/>
      <c r="Y85" s="333"/>
      <c r="Z85" s="333"/>
    </row>
    <row r="86" spans="1:26" ht="15.6">
      <c r="A86" s="333"/>
      <c r="B86" s="348"/>
      <c r="C86" s="348"/>
      <c r="D86" s="348"/>
      <c r="E86" s="348"/>
      <c r="F86" s="348"/>
      <c r="G86" s="348"/>
      <c r="H86" s="348"/>
      <c r="I86" s="348"/>
      <c r="J86" s="348"/>
      <c r="K86" s="348"/>
      <c r="L86" s="333"/>
      <c r="M86" s="333"/>
      <c r="N86" s="333"/>
      <c r="O86" s="333"/>
      <c r="P86" s="333"/>
      <c r="Q86" s="333"/>
      <c r="R86" s="333"/>
      <c r="S86" s="333"/>
      <c r="T86" s="333"/>
      <c r="U86" s="333"/>
      <c r="V86" s="333"/>
      <c r="W86" s="333"/>
      <c r="X86" s="333"/>
      <c r="Y86" s="333"/>
      <c r="Z86" s="333"/>
    </row>
    <row r="87" spans="1:26" ht="15.6">
      <c r="A87" s="333"/>
      <c r="B87" s="348"/>
      <c r="C87" s="348"/>
      <c r="D87" s="348"/>
      <c r="E87" s="348"/>
      <c r="F87" s="348"/>
      <c r="G87" s="348"/>
      <c r="H87" s="348"/>
      <c r="I87" s="348"/>
      <c r="J87" s="348"/>
      <c r="K87" s="348"/>
      <c r="L87" s="333"/>
      <c r="M87" s="333"/>
      <c r="N87" s="333"/>
      <c r="O87" s="333"/>
      <c r="P87" s="333"/>
      <c r="Q87" s="333"/>
      <c r="R87" s="333"/>
      <c r="S87" s="333"/>
      <c r="T87" s="333"/>
      <c r="U87" s="333"/>
      <c r="V87" s="333"/>
      <c r="W87" s="333"/>
      <c r="X87" s="333"/>
      <c r="Y87" s="333"/>
      <c r="Z87" s="333"/>
    </row>
    <row r="88" spans="1:26" ht="15.6">
      <c r="A88" s="333"/>
      <c r="B88" s="348"/>
      <c r="C88" s="348"/>
      <c r="D88" s="348"/>
      <c r="E88" s="348"/>
      <c r="F88" s="348"/>
      <c r="G88" s="348"/>
      <c r="H88" s="348"/>
      <c r="I88" s="348"/>
      <c r="J88" s="348"/>
      <c r="K88" s="348"/>
      <c r="L88" s="333"/>
      <c r="M88" s="333"/>
      <c r="N88" s="333"/>
      <c r="O88" s="333"/>
      <c r="P88" s="333"/>
      <c r="Q88" s="333"/>
      <c r="R88" s="333"/>
      <c r="S88" s="333"/>
      <c r="T88" s="333"/>
      <c r="U88" s="333"/>
      <c r="V88" s="333"/>
      <c r="W88" s="333"/>
      <c r="X88" s="333"/>
      <c r="Y88" s="333"/>
      <c r="Z88" s="333"/>
    </row>
    <row r="89" spans="1:26" ht="15.6">
      <c r="A89" s="333"/>
      <c r="B89" s="348"/>
      <c r="C89" s="348"/>
      <c r="D89" s="348"/>
      <c r="E89" s="348"/>
      <c r="F89" s="348"/>
      <c r="G89" s="348"/>
      <c r="H89" s="348"/>
      <c r="I89" s="348"/>
      <c r="J89" s="348"/>
      <c r="K89" s="348"/>
      <c r="L89" s="333"/>
      <c r="M89" s="333"/>
      <c r="N89" s="333"/>
      <c r="O89" s="333"/>
      <c r="P89" s="333"/>
      <c r="Q89" s="333"/>
      <c r="R89" s="333"/>
      <c r="S89" s="333"/>
      <c r="T89" s="333"/>
      <c r="U89" s="333"/>
      <c r="V89" s="333"/>
      <c r="W89" s="333"/>
      <c r="X89" s="333"/>
      <c r="Y89" s="333"/>
      <c r="Z89" s="333"/>
    </row>
    <row r="90" spans="1:26" ht="15.6">
      <c r="A90" s="333"/>
      <c r="B90" s="348"/>
      <c r="C90" s="348"/>
      <c r="D90" s="348"/>
      <c r="E90" s="348"/>
      <c r="F90" s="348"/>
      <c r="G90" s="348"/>
      <c r="H90" s="348"/>
      <c r="I90" s="348"/>
      <c r="J90" s="348"/>
      <c r="K90" s="348"/>
      <c r="L90" s="333"/>
      <c r="M90" s="333"/>
      <c r="N90" s="333"/>
      <c r="O90" s="333"/>
      <c r="P90" s="333"/>
      <c r="Q90" s="333"/>
      <c r="R90" s="333"/>
      <c r="S90" s="333"/>
      <c r="T90" s="333"/>
      <c r="U90" s="333"/>
      <c r="V90" s="333"/>
      <c r="W90" s="333"/>
      <c r="X90" s="333"/>
      <c r="Y90" s="333"/>
      <c r="Z90" s="333"/>
    </row>
    <row r="91" spans="1:26" ht="15.6">
      <c r="A91" s="333"/>
      <c r="B91" s="348"/>
      <c r="C91" s="348"/>
      <c r="D91" s="348"/>
      <c r="E91" s="348"/>
      <c r="F91" s="348"/>
      <c r="G91" s="348"/>
      <c r="H91" s="348"/>
      <c r="I91" s="348"/>
      <c r="J91" s="348"/>
      <c r="K91" s="348"/>
      <c r="L91" s="333"/>
      <c r="M91" s="333"/>
      <c r="N91" s="333"/>
      <c r="O91" s="333"/>
      <c r="P91" s="333"/>
      <c r="Q91" s="333"/>
      <c r="R91" s="333"/>
      <c r="S91" s="333"/>
      <c r="T91" s="333"/>
      <c r="U91" s="333"/>
      <c r="V91" s="333"/>
      <c r="W91" s="333"/>
      <c r="X91" s="333"/>
      <c r="Y91" s="333"/>
      <c r="Z91" s="333"/>
    </row>
    <row r="92" spans="1:26" ht="15.6">
      <c r="A92" s="333"/>
      <c r="B92" s="348"/>
      <c r="C92" s="348"/>
      <c r="D92" s="348"/>
      <c r="E92" s="348"/>
      <c r="F92" s="348"/>
      <c r="G92" s="348"/>
      <c r="H92" s="348"/>
      <c r="I92" s="348"/>
      <c r="J92" s="348"/>
      <c r="K92" s="348"/>
      <c r="L92" s="333"/>
      <c r="M92" s="333"/>
      <c r="N92" s="333"/>
      <c r="O92" s="333"/>
      <c r="P92" s="333"/>
      <c r="Q92" s="333"/>
      <c r="R92" s="333"/>
      <c r="S92" s="333"/>
      <c r="T92" s="333"/>
      <c r="U92" s="333"/>
      <c r="V92" s="333"/>
      <c r="W92" s="333"/>
      <c r="X92" s="333"/>
      <c r="Y92" s="333"/>
      <c r="Z92" s="333"/>
    </row>
    <row r="93" spans="1:26" ht="15.6">
      <c r="A93" s="333"/>
      <c r="B93" s="348"/>
      <c r="C93" s="348"/>
      <c r="D93" s="348"/>
      <c r="E93" s="348"/>
      <c r="F93" s="348"/>
      <c r="G93" s="348"/>
      <c r="H93" s="348"/>
      <c r="I93" s="348"/>
      <c r="J93" s="348"/>
      <c r="K93" s="348"/>
      <c r="L93" s="333"/>
      <c r="M93" s="333"/>
      <c r="N93" s="333"/>
      <c r="O93" s="333"/>
      <c r="P93" s="333"/>
      <c r="Q93" s="333"/>
      <c r="R93" s="333"/>
      <c r="S93" s="333"/>
      <c r="T93" s="333"/>
      <c r="U93" s="333"/>
      <c r="V93" s="333"/>
      <c r="W93" s="333"/>
      <c r="X93" s="333"/>
      <c r="Y93" s="333"/>
      <c r="Z93" s="333"/>
    </row>
    <row r="94" spans="1:26" ht="15.6">
      <c r="A94" s="333"/>
      <c r="B94" s="348"/>
      <c r="C94" s="348"/>
      <c r="D94" s="348"/>
      <c r="E94" s="348"/>
      <c r="F94" s="348"/>
      <c r="G94" s="348"/>
      <c r="H94" s="348"/>
      <c r="I94" s="348"/>
      <c r="J94" s="348"/>
      <c r="K94" s="348"/>
      <c r="L94" s="333"/>
      <c r="M94" s="333"/>
      <c r="N94" s="333"/>
      <c r="O94" s="333"/>
      <c r="P94" s="333"/>
      <c r="Q94" s="333"/>
      <c r="R94" s="333"/>
      <c r="S94" s="333"/>
      <c r="T94" s="333"/>
      <c r="U94" s="333"/>
      <c r="V94" s="333"/>
      <c r="W94" s="333"/>
      <c r="X94" s="333"/>
      <c r="Y94" s="333"/>
      <c r="Z94" s="333"/>
    </row>
    <row r="95" spans="1:26" ht="15.6">
      <c r="A95" s="333"/>
      <c r="B95" s="348"/>
      <c r="C95" s="348"/>
      <c r="D95" s="348"/>
      <c r="E95" s="348"/>
      <c r="F95" s="348"/>
      <c r="G95" s="348"/>
      <c r="H95" s="348"/>
      <c r="I95" s="348"/>
      <c r="J95" s="348"/>
      <c r="K95" s="348"/>
      <c r="L95" s="333"/>
      <c r="M95" s="333"/>
      <c r="N95" s="333"/>
      <c r="O95" s="333"/>
      <c r="P95" s="333"/>
      <c r="Q95" s="333"/>
      <c r="R95" s="333"/>
      <c r="S95" s="333"/>
      <c r="T95" s="333"/>
      <c r="U95" s="333"/>
      <c r="V95" s="333"/>
      <c r="W95" s="333"/>
      <c r="X95" s="333"/>
      <c r="Y95" s="333"/>
      <c r="Z95" s="333"/>
    </row>
    <row r="96" spans="1:26" ht="15.6">
      <c r="A96" s="333"/>
      <c r="B96" s="348"/>
      <c r="C96" s="348"/>
      <c r="D96" s="348"/>
      <c r="E96" s="348"/>
      <c r="F96" s="348"/>
      <c r="G96" s="348"/>
      <c r="H96" s="348"/>
      <c r="I96" s="348"/>
      <c r="J96" s="348"/>
      <c r="K96" s="348"/>
      <c r="L96" s="333"/>
      <c r="M96" s="333"/>
      <c r="N96" s="333"/>
      <c r="O96" s="333"/>
      <c r="P96" s="333"/>
      <c r="Q96" s="333"/>
      <c r="R96" s="333"/>
      <c r="S96" s="333"/>
      <c r="T96" s="333"/>
      <c r="U96" s="333"/>
      <c r="V96" s="333"/>
      <c r="W96" s="333"/>
      <c r="X96" s="333"/>
      <c r="Y96" s="333"/>
      <c r="Z96" s="333"/>
    </row>
    <row r="97" spans="1:26" ht="15.6">
      <c r="A97" s="333"/>
      <c r="B97" s="348"/>
      <c r="C97" s="348"/>
      <c r="D97" s="348"/>
      <c r="E97" s="348"/>
      <c r="F97" s="348"/>
      <c r="G97" s="348"/>
      <c r="H97" s="348"/>
      <c r="I97" s="348"/>
      <c r="J97" s="348"/>
      <c r="K97" s="348"/>
      <c r="L97" s="333"/>
      <c r="M97" s="333"/>
      <c r="N97" s="333"/>
      <c r="O97" s="333"/>
      <c r="P97" s="333"/>
      <c r="Q97" s="333"/>
      <c r="R97" s="333"/>
      <c r="S97" s="333"/>
      <c r="T97" s="333"/>
      <c r="U97" s="333"/>
      <c r="V97" s="333"/>
      <c r="W97" s="333"/>
      <c r="X97" s="333"/>
      <c r="Y97" s="333"/>
      <c r="Z97" s="333"/>
    </row>
    <row r="98" spans="1:26" ht="15.6">
      <c r="A98" s="333"/>
      <c r="B98" s="348"/>
      <c r="C98" s="348"/>
      <c r="D98" s="348"/>
      <c r="E98" s="348"/>
      <c r="F98" s="348"/>
      <c r="G98" s="348"/>
      <c r="H98" s="348"/>
      <c r="I98" s="348"/>
      <c r="J98" s="348"/>
      <c r="K98" s="348"/>
      <c r="L98" s="333"/>
      <c r="M98" s="333"/>
      <c r="N98" s="333"/>
      <c r="O98" s="333"/>
      <c r="P98" s="333"/>
      <c r="Q98" s="333"/>
      <c r="R98" s="333"/>
      <c r="S98" s="333"/>
      <c r="T98" s="333"/>
      <c r="U98" s="333"/>
      <c r="V98" s="333"/>
      <c r="W98" s="333"/>
      <c r="X98" s="333"/>
      <c r="Y98" s="333"/>
      <c r="Z98" s="333"/>
    </row>
    <row r="99" spans="1:26" ht="15.6">
      <c r="A99" s="333"/>
      <c r="B99" s="348"/>
      <c r="C99" s="348"/>
      <c r="D99" s="348"/>
      <c r="E99" s="348"/>
      <c r="F99" s="348"/>
      <c r="G99" s="348"/>
      <c r="H99" s="348"/>
      <c r="I99" s="348"/>
      <c r="J99" s="348"/>
      <c r="K99" s="348"/>
      <c r="L99" s="333"/>
      <c r="M99" s="333"/>
      <c r="N99" s="333"/>
      <c r="O99" s="333"/>
      <c r="P99" s="333"/>
      <c r="Q99" s="333"/>
      <c r="R99" s="333"/>
      <c r="S99" s="333"/>
      <c r="T99" s="333"/>
      <c r="U99" s="333"/>
      <c r="V99" s="333"/>
      <c r="W99" s="333"/>
      <c r="X99" s="333"/>
      <c r="Y99" s="333"/>
      <c r="Z99" s="333"/>
    </row>
    <row r="100" spans="1:26" ht="15.6">
      <c r="A100" s="333"/>
      <c r="B100" s="348"/>
      <c r="C100" s="348"/>
      <c r="D100" s="348"/>
      <c r="E100" s="348"/>
      <c r="F100" s="348"/>
      <c r="G100" s="348"/>
      <c r="H100" s="348"/>
      <c r="I100" s="348"/>
      <c r="J100" s="348"/>
      <c r="K100" s="348"/>
      <c r="L100" s="333"/>
      <c r="M100" s="333"/>
      <c r="N100" s="333"/>
      <c r="O100" s="333"/>
      <c r="P100" s="333"/>
      <c r="Q100" s="333"/>
      <c r="R100" s="333"/>
      <c r="S100" s="333"/>
      <c r="T100" s="333"/>
      <c r="U100" s="333"/>
      <c r="V100" s="333"/>
      <c r="W100" s="333"/>
      <c r="X100" s="333"/>
      <c r="Y100" s="333"/>
      <c r="Z100" s="333"/>
    </row>
    <row r="101" spans="1:26" ht="15.6">
      <c r="A101" s="333"/>
      <c r="B101" s="348"/>
      <c r="C101" s="348"/>
      <c r="D101" s="348"/>
      <c r="E101" s="348"/>
      <c r="F101" s="348"/>
      <c r="G101" s="348"/>
      <c r="H101" s="348"/>
      <c r="I101" s="348"/>
      <c r="J101" s="348"/>
      <c r="K101" s="348"/>
      <c r="L101" s="333"/>
      <c r="M101" s="333"/>
      <c r="N101" s="333"/>
      <c r="O101" s="333"/>
      <c r="P101" s="333"/>
      <c r="Q101" s="333"/>
      <c r="R101" s="333"/>
      <c r="S101" s="333"/>
      <c r="T101" s="333"/>
      <c r="U101" s="333"/>
      <c r="V101" s="333"/>
      <c r="W101" s="333"/>
      <c r="X101" s="333"/>
      <c r="Y101" s="333"/>
      <c r="Z101" s="333"/>
    </row>
    <row r="102" spans="1:26" ht="15.6">
      <c r="A102" s="333"/>
      <c r="B102" s="348"/>
      <c r="C102" s="348"/>
      <c r="D102" s="348"/>
      <c r="E102" s="348"/>
      <c r="F102" s="348"/>
      <c r="G102" s="348"/>
      <c r="H102" s="348"/>
      <c r="I102" s="348"/>
      <c r="J102" s="348"/>
      <c r="K102" s="348"/>
      <c r="L102" s="333"/>
      <c r="M102" s="333"/>
      <c r="N102" s="333"/>
      <c r="O102" s="333"/>
      <c r="P102" s="333"/>
      <c r="Q102" s="333"/>
      <c r="R102" s="333"/>
      <c r="S102" s="333"/>
      <c r="T102" s="333"/>
      <c r="U102" s="333"/>
      <c r="V102" s="333"/>
      <c r="W102" s="333"/>
      <c r="X102" s="333"/>
      <c r="Y102" s="333"/>
      <c r="Z102" s="333"/>
    </row>
    <row r="103" spans="1:26" ht="15.6">
      <c r="A103" s="333"/>
      <c r="B103" s="348"/>
      <c r="C103" s="348"/>
      <c r="D103" s="348"/>
      <c r="E103" s="348"/>
      <c r="F103" s="348"/>
      <c r="G103" s="348"/>
      <c r="H103" s="348"/>
      <c r="I103" s="348"/>
      <c r="J103" s="348"/>
      <c r="K103" s="348"/>
      <c r="L103" s="333"/>
      <c r="M103" s="333"/>
      <c r="N103" s="333"/>
      <c r="O103" s="333"/>
      <c r="P103" s="333"/>
      <c r="Q103" s="333"/>
      <c r="R103" s="333"/>
      <c r="S103" s="333"/>
      <c r="T103" s="333"/>
      <c r="U103" s="333"/>
      <c r="V103" s="333"/>
      <c r="W103" s="333"/>
      <c r="X103" s="333"/>
      <c r="Y103" s="333"/>
      <c r="Z103" s="333"/>
    </row>
    <row r="104" spans="1:26" ht="15.6">
      <c r="A104" s="333"/>
      <c r="B104" s="348"/>
      <c r="C104" s="348"/>
      <c r="D104" s="348"/>
      <c r="E104" s="348"/>
      <c r="F104" s="348"/>
      <c r="G104" s="348"/>
      <c r="H104" s="348"/>
      <c r="I104" s="348"/>
      <c r="J104" s="348"/>
      <c r="K104" s="348"/>
      <c r="L104" s="333"/>
      <c r="M104" s="333"/>
      <c r="N104" s="333"/>
      <c r="O104" s="333"/>
      <c r="P104" s="333"/>
      <c r="Q104" s="333"/>
      <c r="R104" s="333"/>
      <c r="S104" s="333"/>
      <c r="T104" s="333"/>
      <c r="U104" s="333"/>
      <c r="V104" s="333"/>
      <c r="W104" s="333"/>
      <c r="X104" s="333"/>
      <c r="Y104" s="333"/>
      <c r="Z104" s="333"/>
    </row>
    <row r="105" spans="1:26" ht="15.6">
      <c r="A105" s="333"/>
      <c r="B105" s="348"/>
      <c r="C105" s="348"/>
      <c r="D105" s="348"/>
      <c r="E105" s="348"/>
      <c r="F105" s="348"/>
      <c r="G105" s="348"/>
      <c r="H105" s="348"/>
      <c r="I105" s="348"/>
      <c r="J105" s="348"/>
      <c r="K105" s="348"/>
      <c r="L105" s="333"/>
      <c r="M105" s="333"/>
      <c r="N105" s="333"/>
      <c r="O105" s="333"/>
      <c r="P105" s="333"/>
      <c r="Q105" s="333"/>
      <c r="R105" s="333"/>
      <c r="S105" s="333"/>
      <c r="T105" s="333"/>
      <c r="U105" s="333"/>
      <c r="V105" s="333"/>
      <c r="W105" s="333"/>
      <c r="X105" s="333"/>
      <c r="Y105" s="333"/>
      <c r="Z105" s="333"/>
    </row>
    <row r="106" spans="1:26" ht="15.6">
      <c r="A106" s="333"/>
      <c r="B106" s="348"/>
      <c r="C106" s="348"/>
      <c r="D106" s="348"/>
      <c r="E106" s="348"/>
      <c r="F106" s="348"/>
      <c r="G106" s="348"/>
      <c r="H106" s="348"/>
      <c r="I106" s="348"/>
      <c r="J106" s="348"/>
      <c r="K106" s="348"/>
      <c r="L106" s="333"/>
      <c r="M106" s="333"/>
      <c r="N106" s="333"/>
      <c r="O106" s="333"/>
      <c r="P106" s="333"/>
      <c r="Q106" s="333"/>
      <c r="R106" s="333"/>
      <c r="S106" s="333"/>
      <c r="T106" s="333"/>
      <c r="U106" s="333"/>
      <c r="V106" s="333"/>
      <c r="W106" s="333"/>
      <c r="X106" s="333"/>
      <c r="Y106" s="333"/>
      <c r="Z106" s="333"/>
    </row>
    <row r="107" spans="1:26" ht="15.6">
      <c r="A107" s="333"/>
      <c r="B107" s="348"/>
      <c r="C107" s="348"/>
      <c r="D107" s="348"/>
      <c r="E107" s="348"/>
      <c r="F107" s="348"/>
      <c r="G107" s="348"/>
      <c r="H107" s="348"/>
      <c r="I107" s="348"/>
      <c r="J107" s="348"/>
      <c r="K107" s="348"/>
      <c r="L107" s="333"/>
      <c r="M107" s="333"/>
      <c r="N107" s="333"/>
      <c r="O107" s="333"/>
      <c r="P107" s="333"/>
      <c r="Q107" s="333"/>
      <c r="R107" s="333"/>
      <c r="S107" s="333"/>
      <c r="T107" s="333"/>
      <c r="U107" s="333"/>
      <c r="V107" s="333"/>
      <c r="W107" s="333"/>
      <c r="X107" s="333"/>
      <c r="Y107" s="333"/>
      <c r="Z107" s="333"/>
    </row>
    <row r="108" spans="1:26" ht="15.6">
      <c r="A108" s="333"/>
      <c r="B108" s="348"/>
      <c r="C108" s="348"/>
      <c r="D108" s="348"/>
      <c r="E108" s="348"/>
      <c r="F108" s="348"/>
      <c r="G108" s="348"/>
      <c r="H108" s="348"/>
      <c r="I108" s="348"/>
      <c r="J108" s="348"/>
      <c r="K108" s="348"/>
      <c r="L108" s="333"/>
      <c r="M108" s="333"/>
      <c r="N108" s="333"/>
      <c r="O108" s="333"/>
      <c r="P108" s="333"/>
      <c r="Q108" s="333"/>
      <c r="R108" s="333"/>
      <c r="S108" s="333"/>
      <c r="T108" s="333"/>
      <c r="U108" s="333"/>
      <c r="V108" s="333"/>
      <c r="W108" s="333"/>
      <c r="X108" s="333"/>
      <c r="Y108" s="333"/>
      <c r="Z108" s="333"/>
    </row>
    <row r="109" spans="1:26" ht="15.6">
      <c r="A109" s="333"/>
      <c r="B109" s="348"/>
      <c r="C109" s="348"/>
      <c r="D109" s="348"/>
      <c r="E109" s="348"/>
      <c r="F109" s="348"/>
      <c r="G109" s="348"/>
      <c r="H109" s="348"/>
      <c r="I109" s="348"/>
      <c r="J109" s="348"/>
      <c r="K109" s="348"/>
      <c r="L109" s="333"/>
      <c r="M109" s="333"/>
      <c r="N109" s="333"/>
      <c r="O109" s="333"/>
      <c r="P109" s="333"/>
      <c r="Q109" s="333"/>
      <c r="R109" s="333"/>
      <c r="S109" s="333"/>
      <c r="T109" s="333"/>
      <c r="U109" s="333"/>
      <c r="V109" s="333"/>
      <c r="W109" s="333"/>
      <c r="X109" s="333"/>
      <c r="Y109" s="333"/>
      <c r="Z109" s="333"/>
    </row>
    <row r="110" spans="1:26" ht="15.6">
      <c r="A110" s="333"/>
      <c r="B110" s="348"/>
      <c r="C110" s="348"/>
      <c r="D110" s="348"/>
      <c r="E110" s="348"/>
      <c r="F110" s="348"/>
      <c r="G110" s="348"/>
      <c r="H110" s="348"/>
      <c r="I110" s="348"/>
      <c r="J110" s="348"/>
      <c r="K110" s="348"/>
      <c r="L110" s="333"/>
      <c r="M110" s="333"/>
      <c r="N110" s="333"/>
      <c r="O110" s="333"/>
      <c r="P110" s="333"/>
      <c r="Q110" s="333"/>
      <c r="R110" s="333"/>
      <c r="S110" s="333"/>
      <c r="T110" s="333"/>
      <c r="U110" s="333"/>
      <c r="V110" s="333"/>
      <c r="W110" s="333"/>
      <c r="X110" s="333"/>
      <c r="Y110" s="333"/>
      <c r="Z110" s="333"/>
    </row>
    <row r="111" spans="1:26" ht="15.6">
      <c r="A111" s="333"/>
      <c r="B111" s="348"/>
      <c r="C111" s="348"/>
      <c r="D111" s="348"/>
      <c r="E111" s="348"/>
      <c r="F111" s="348"/>
      <c r="G111" s="348"/>
      <c r="H111" s="348"/>
      <c r="I111" s="348"/>
      <c r="J111" s="348"/>
      <c r="K111" s="348"/>
      <c r="L111" s="333"/>
      <c r="M111" s="333"/>
      <c r="N111" s="333"/>
      <c r="O111" s="333"/>
      <c r="P111" s="333"/>
      <c r="Q111" s="333"/>
      <c r="R111" s="333"/>
      <c r="S111" s="333"/>
      <c r="T111" s="333"/>
      <c r="U111" s="333"/>
      <c r="V111" s="333"/>
      <c r="W111" s="333"/>
      <c r="X111" s="333"/>
      <c r="Y111" s="333"/>
      <c r="Z111" s="333"/>
    </row>
    <row r="112" spans="1:26" ht="15.6">
      <c r="A112" s="333"/>
      <c r="B112" s="348"/>
      <c r="C112" s="348"/>
      <c r="D112" s="348"/>
      <c r="E112" s="348"/>
      <c r="F112" s="348"/>
      <c r="G112" s="348"/>
      <c r="H112" s="348"/>
      <c r="I112" s="348"/>
      <c r="J112" s="348"/>
      <c r="K112" s="348"/>
      <c r="L112" s="333"/>
      <c r="M112" s="333"/>
      <c r="N112" s="333"/>
      <c r="O112" s="333"/>
      <c r="P112" s="333"/>
      <c r="Q112" s="333"/>
      <c r="R112" s="333"/>
      <c r="S112" s="333"/>
      <c r="T112" s="333"/>
      <c r="U112" s="333"/>
      <c r="V112" s="333"/>
      <c r="W112" s="333"/>
      <c r="X112" s="333"/>
      <c r="Y112" s="333"/>
      <c r="Z112" s="333"/>
    </row>
    <row r="113" spans="1:26" ht="15.6">
      <c r="A113" s="333"/>
      <c r="B113" s="348"/>
      <c r="C113" s="348"/>
      <c r="D113" s="348"/>
      <c r="E113" s="348"/>
      <c r="F113" s="348"/>
      <c r="G113" s="348"/>
      <c r="H113" s="348"/>
      <c r="I113" s="348"/>
      <c r="J113" s="348"/>
      <c r="K113" s="348"/>
      <c r="L113" s="333"/>
      <c r="M113" s="333"/>
      <c r="N113" s="333"/>
      <c r="O113" s="333"/>
      <c r="P113" s="333"/>
      <c r="Q113" s="333"/>
      <c r="R113" s="333"/>
      <c r="S113" s="333"/>
      <c r="T113" s="333"/>
      <c r="U113" s="333"/>
      <c r="V113" s="333"/>
      <c r="W113" s="333"/>
      <c r="X113" s="333"/>
      <c r="Y113" s="333"/>
      <c r="Z113" s="333"/>
    </row>
    <row r="114" spans="1:26" ht="15.6">
      <c r="A114" s="333"/>
      <c r="B114" s="348"/>
      <c r="C114" s="348"/>
      <c r="D114" s="348"/>
      <c r="E114" s="348"/>
      <c r="F114" s="348"/>
      <c r="G114" s="348"/>
      <c r="H114" s="348"/>
      <c r="I114" s="348"/>
      <c r="J114" s="348"/>
      <c r="K114" s="348"/>
      <c r="L114" s="333"/>
      <c r="M114" s="333"/>
      <c r="N114" s="333"/>
      <c r="O114" s="333"/>
      <c r="P114" s="333"/>
      <c r="Q114" s="333"/>
      <c r="R114" s="333"/>
      <c r="S114" s="333"/>
      <c r="T114" s="333"/>
      <c r="U114" s="333"/>
      <c r="V114" s="333"/>
      <c r="W114" s="333"/>
      <c r="X114" s="333"/>
      <c r="Y114" s="333"/>
      <c r="Z114" s="333"/>
    </row>
    <row r="115" spans="1:26" ht="15.6">
      <c r="A115" s="333"/>
      <c r="B115" s="348"/>
      <c r="C115" s="348"/>
      <c r="D115" s="348"/>
      <c r="E115" s="348"/>
      <c r="F115" s="348"/>
      <c r="G115" s="348"/>
      <c r="H115" s="348"/>
      <c r="I115" s="348"/>
      <c r="J115" s="348"/>
      <c r="K115" s="348"/>
      <c r="L115" s="333"/>
      <c r="M115" s="333"/>
      <c r="N115" s="333"/>
      <c r="O115" s="333"/>
      <c r="P115" s="333"/>
      <c r="Q115" s="333"/>
      <c r="R115" s="333"/>
      <c r="S115" s="333"/>
      <c r="T115" s="333"/>
      <c r="U115" s="333"/>
      <c r="V115" s="333"/>
      <c r="W115" s="333"/>
      <c r="X115" s="333"/>
      <c r="Y115" s="333"/>
      <c r="Z115" s="333"/>
    </row>
    <row r="116" spans="1:26" ht="15.6">
      <c r="A116" s="333"/>
      <c r="B116" s="348"/>
      <c r="C116" s="348"/>
      <c r="D116" s="348"/>
      <c r="E116" s="348"/>
      <c r="F116" s="348"/>
      <c r="G116" s="348"/>
      <c r="H116" s="348"/>
      <c r="I116" s="348"/>
      <c r="J116" s="348"/>
      <c r="K116" s="348"/>
      <c r="L116" s="333"/>
      <c r="M116" s="333"/>
      <c r="N116" s="333"/>
      <c r="O116" s="333"/>
      <c r="P116" s="333"/>
      <c r="Q116" s="333"/>
      <c r="R116" s="333"/>
      <c r="S116" s="333"/>
      <c r="T116" s="333"/>
      <c r="U116" s="333"/>
      <c r="V116" s="333"/>
      <c r="W116" s="333"/>
      <c r="X116" s="333"/>
      <c r="Y116" s="333"/>
      <c r="Z116" s="333"/>
    </row>
    <row r="117" spans="1:26" ht="15.6">
      <c r="A117" s="333"/>
      <c r="B117" s="348"/>
      <c r="C117" s="348"/>
      <c r="D117" s="348"/>
      <c r="E117" s="348"/>
      <c r="F117" s="348"/>
      <c r="G117" s="348"/>
      <c r="H117" s="348"/>
      <c r="I117" s="348"/>
      <c r="J117" s="348"/>
      <c r="K117" s="348"/>
      <c r="L117" s="333"/>
      <c r="M117" s="333"/>
      <c r="N117" s="333"/>
      <c r="O117" s="333"/>
      <c r="P117" s="333"/>
      <c r="Q117" s="333"/>
      <c r="R117" s="333"/>
      <c r="S117" s="333"/>
      <c r="T117" s="333"/>
      <c r="U117" s="333"/>
      <c r="V117" s="333"/>
      <c r="W117" s="333"/>
      <c r="X117" s="333"/>
      <c r="Y117" s="333"/>
      <c r="Z117" s="333"/>
    </row>
    <row r="118" spans="1:26" ht="15.6">
      <c r="A118" s="333"/>
      <c r="B118" s="348"/>
      <c r="C118" s="348"/>
      <c r="D118" s="348"/>
      <c r="E118" s="348"/>
      <c r="F118" s="348"/>
      <c r="G118" s="348"/>
      <c r="H118" s="348"/>
      <c r="I118" s="348"/>
      <c r="J118" s="348"/>
      <c r="K118" s="348"/>
      <c r="L118" s="333"/>
      <c r="M118" s="333"/>
      <c r="N118" s="333"/>
      <c r="O118" s="333"/>
      <c r="P118" s="333"/>
      <c r="Q118" s="333"/>
      <c r="R118" s="333"/>
      <c r="S118" s="333"/>
      <c r="T118" s="333"/>
      <c r="U118" s="333"/>
      <c r="V118" s="333"/>
      <c r="W118" s="333"/>
      <c r="X118" s="333"/>
      <c r="Y118" s="333"/>
      <c r="Z118" s="333"/>
    </row>
    <row r="119" spans="1:26" ht="15.6">
      <c r="A119" s="333"/>
      <c r="B119" s="348"/>
      <c r="C119" s="348"/>
      <c r="D119" s="348"/>
      <c r="E119" s="348"/>
      <c r="F119" s="348"/>
      <c r="G119" s="348"/>
      <c r="H119" s="348"/>
      <c r="I119" s="348"/>
      <c r="J119" s="348"/>
      <c r="K119" s="348"/>
      <c r="L119" s="333"/>
      <c r="M119" s="333"/>
      <c r="N119" s="333"/>
      <c r="O119" s="333"/>
      <c r="P119" s="333"/>
      <c r="Q119" s="333"/>
      <c r="R119" s="333"/>
      <c r="S119" s="333"/>
      <c r="T119" s="333"/>
      <c r="U119" s="333"/>
      <c r="V119" s="333"/>
      <c r="W119" s="333"/>
      <c r="X119" s="333"/>
      <c r="Y119" s="333"/>
      <c r="Z119" s="333"/>
    </row>
    <row r="120" spans="1:26" ht="15.6">
      <c r="A120" s="333"/>
      <c r="B120" s="348"/>
      <c r="C120" s="348"/>
      <c r="D120" s="348"/>
      <c r="E120" s="348"/>
      <c r="F120" s="348"/>
      <c r="G120" s="348"/>
      <c r="H120" s="348"/>
      <c r="I120" s="348"/>
      <c r="J120" s="348"/>
      <c r="K120" s="348"/>
      <c r="L120" s="333"/>
      <c r="M120" s="333"/>
      <c r="N120" s="333"/>
      <c r="O120" s="333"/>
      <c r="P120" s="333"/>
      <c r="Q120" s="333"/>
      <c r="R120" s="333"/>
      <c r="S120" s="333"/>
      <c r="T120" s="333"/>
      <c r="U120" s="333"/>
      <c r="V120" s="333"/>
      <c r="W120" s="333"/>
      <c r="X120" s="333"/>
      <c r="Y120" s="333"/>
      <c r="Z120" s="333"/>
    </row>
    <row r="121" spans="1:26" ht="15.6">
      <c r="A121" s="333"/>
      <c r="B121" s="348"/>
      <c r="C121" s="348"/>
      <c r="D121" s="348"/>
      <c r="E121" s="348"/>
      <c r="F121" s="348"/>
      <c r="G121" s="348"/>
      <c r="H121" s="348"/>
      <c r="I121" s="348"/>
      <c r="J121" s="348"/>
      <c r="K121" s="348"/>
      <c r="L121" s="333"/>
      <c r="M121" s="333"/>
      <c r="N121" s="333"/>
      <c r="O121" s="333"/>
      <c r="P121" s="333"/>
      <c r="Q121" s="333"/>
      <c r="R121" s="333"/>
      <c r="S121" s="333"/>
      <c r="T121" s="333"/>
      <c r="U121" s="333"/>
      <c r="V121" s="333"/>
      <c r="W121" s="333"/>
      <c r="X121" s="333"/>
      <c r="Y121" s="333"/>
      <c r="Z121" s="333"/>
    </row>
    <row r="122" spans="1:26" ht="15.6">
      <c r="A122" s="333"/>
      <c r="B122" s="348"/>
      <c r="C122" s="348"/>
      <c r="D122" s="348"/>
      <c r="E122" s="348"/>
      <c r="F122" s="348"/>
      <c r="G122" s="348"/>
      <c r="H122" s="348"/>
      <c r="I122" s="348"/>
      <c r="J122" s="348"/>
      <c r="K122" s="348"/>
      <c r="L122" s="333"/>
      <c r="M122" s="333"/>
      <c r="N122" s="333"/>
      <c r="O122" s="333"/>
      <c r="P122" s="333"/>
      <c r="Q122" s="333"/>
      <c r="R122" s="333"/>
      <c r="S122" s="333"/>
      <c r="T122" s="333"/>
      <c r="U122" s="333"/>
      <c r="V122" s="333"/>
      <c r="W122" s="333"/>
      <c r="X122" s="333"/>
      <c r="Y122" s="333"/>
      <c r="Z122" s="333"/>
    </row>
    <row r="123" spans="1:26" ht="15.6">
      <c r="A123" s="333"/>
      <c r="B123" s="348"/>
      <c r="C123" s="348"/>
      <c r="D123" s="348"/>
      <c r="E123" s="348"/>
      <c r="F123" s="348"/>
      <c r="G123" s="348"/>
      <c r="H123" s="348"/>
      <c r="I123" s="348"/>
      <c r="J123" s="348"/>
      <c r="K123" s="348"/>
      <c r="L123" s="333"/>
      <c r="M123" s="333"/>
      <c r="N123" s="333"/>
      <c r="O123" s="333"/>
      <c r="P123" s="333"/>
      <c r="Q123" s="333"/>
      <c r="R123" s="333"/>
      <c r="S123" s="333"/>
      <c r="T123" s="333"/>
      <c r="U123" s="333"/>
      <c r="V123" s="333"/>
      <c r="W123" s="333"/>
      <c r="X123" s="333"/>
      <c r="Y123" s="333"/>
      <c r="Z123" s="333"/>
    </row>
    <row r="124" spans="1:26" ht="15.6">
      <c r="A124" s="333"/>
      <c r="B124" s="348"/>
      <c r="C124" s="348"/>
      <c r="D124" s="348"/>
      <c r="E124" s="348"/>
      <c r="F124" s="348"/>
      <c r="G124" s="348"/>
      <c r="H124" s="348"/>
      <c r="I124" s="348"/>
      <c r="J124" s="348"/>
      <c r="K124" s="348"/>
      <c r="L124" s="333"/>
      <c r="M124" s="333"/>
      <c r="N124" s="333"/>
      <c r="O124" s="333"/>
      <c r="P124" s="333"/>
      <c r="Q124" s="333"/>
      <c r="R124" s="333"/>
      <c r="S124" s="333"/>
      <c r="T124" s="333"/>
      <c r="U124" s="333"/>
      <c r="V124" s="333"/>
      <c r="W124" s="333"/>
      <c r="X124" s="333"/>
      <c r="Y124" s="333"/>
      <c r="Z124" s="333"/>
    </row>
    <row r="125" spans="1:26" ht="15.6">
      <c r="A125" s="333"/>
      <c r="B125" s="348"/>
      <c r="C125" s="348"/>
      <c r="D125" s="348"/>
      <c r="E125" s="348"/>
      <c r="F125" s="348"/>
      <c r="G125" s="348"/>
      <c r="H125" s="348"/>
      <c r="I125" s="348"/>
      <c r="J125" s="348"/>
      <c r="K125" s="348"/>
      <c r="L125" s="333"/>
      <c r="M125" s="333"/>
      <c r="N125" s="333"/>
      <c r="O125" s="333"/>
      <c r="P125" s="333"/>
      <c r="Q125" s="333"/>
      <c r="R125" s="333"/>
      <c r="S125" s="333"/>
      <c r="T125" s="333"/>
      <c r="U125" s="333"/>
      <c r="V125" s="333"/>
      <c r="W125" s="333"/>
      <c r="X125" s="333"/>
      <c r="Y125" s="333"/>
      <c r="Z125" s="333"/>
    </row>
    <row r="126" spans="1:26" ht="15.6">
      <c r="A126" s="333"/>
      <c r="B126" s="348"/>
      <c r="C126" s="348"/>
      <c r="D126" s="348"/>
      <c r="E126" s="348"/>
      <c r="F126" s="348"/>
      <c r="G126" s="348"/>
      <c r="H126" s="348"/>
      <c r="I126" s="348"/>
      <c r="J126" s="348"/>
      <c r="K126" s="348"/>
      <c r="L126" s="333"/>
      <c r="M126" s="333"/>
      <c r="N126" s="333"/>
      <c r="O126" s="333"/>
      <c r="P126" s="333"/>
      <c r="Q126" s="333"/>
      <c r="R126" s="333"/>
      <c r="S126" s="333"/>
      <c r="T126" s="333"/>
      <c r="U126" s="333"/>
      <c r="V126" s="333"/>
      <c r="W126" s="333"/>
      <c r="X126" s="333"/>
      <c r="Y126" s="333"/>
      <c r="Z126" s="333"/>
    </row>
    <row r="127" spans="1:26" ht="15.6">
      <c r="A127" s="333"/>
      <c r="B127" s="348"/>
      <c r="C127" s="348"/>
      <c r="D127" s="348"/>
      <c r="E127" s="348"/>
      <c r="F127" s="348"/>
      <c r="G127" s="348"/>
      <c r="H127" s="348"/>
      <c r="I127" s="348"/>
      <c r="J127" s="348"/>
      <c r="K127" s="348"/>
      <c r="L127" s="333"/>
      <c r="M127" s="333"/>
      <c r="N127" s="333"/>
      <c r="O127" s="333"/>
      <c r="P127" s="333"/>
      <c r="Q127" s="333"/>
      <c r="R127" s="333"/>
      <c r="S127" s="333"/>
      <c r="T127" s="333"/>
      <c r="U127" s="333"/>
      <c r="V127" s="333"/>
      <c r="W127" s="333"/>
      <c r="X127" s="333"/>
      <c r="Y127" s="333"/>
      <c r="Z127" s="333"/>
    </row>
    <row r="128" spans="1:26" ht="15.6">
      <c r="A128" s="333"/>
      <c r="B128" s="348"/>
      <c r="C128" s="348"/>
      <c r="D128" s="348"/>
      <c r="E128" s="348"/>
      <c r="F128" s="348"/>
      <c r="G128" s="348"/>
      <c r="H128" s="348"/>
      <c r="I128" s="348"/>
      <c r="J128" s="348"/>
      <c r="K128" s="348"/>
      <c r="L128" s="333"/>
      <c r="M128" s="333"/>
      <c r="N128" s="333"/>
      <c r="O128" s="333"/>
      <c r="P128" s="333"/>
      <c r="Q128" s="333"/>
      <c r="R128" s="333"/>
      <c r="S128" s="333"/>
      <c r="T128" s="333"/>
      <c r="U128" s="333"/>
      <c r="V128" s="333"/>
      <c r="W128" s="333"/>
      <c r="X128" s="333"/>
      <c r="Y128" s="333"/>
      <c r="Z128" s="333"/>
    </row>
    <row r="129" spans="1:26" ht="15.6">
      <c r="A129" s="333"/>
      <c r="B129" s="348"/>
      <c r="C129" s="348"/>
      <c r="D129" s="348"/>
      <c r="E129" s="348"/>
      <c r="F129" s="348"/>
      <c r="G129" s="348"/>
      <c r="H129" s="348"/>
      <c r="I129" s="348"/>
      <c r="J129" s="348"/>
      <c r="K129" s="348"/>
      <c r="L129" s="333"/>
      <c r="M129" s="333"/>
      <c r="N129" s="333"/>
      <c r="O129" s="333"/>
      <c r="P129" s="333"/>
      <c r="Q129" s="333"/>
      <c r="R129" s="333"/>
      <c r="S129" s="333"/>
      <c r="T129" s="333"/>
      <c r="U129" s="333"/>
      <c r="V129" s="333"/>
      <c r="W129" s="333"/>
      <c r="X129" s="333"/>
      <c r="Y129" s="333"/>
      <c r="Z129" s="333"/>
    </row>
    <row r="130" spans="1:26" ht="15.6">
      <c r="A130" s="333"/>
      <c r="B130" s="348"/>
      <c r="C130" s="348"/>
      <c r="D130" s="348"/>
      <c r="E130" s="348"/>
      <c r="F130" s="348"/>
      <c r="G130" s="348"/>
      <c r="H130" s="348"/>
      <c r="I130" s="348"/>
      <c r="J130" s="348"/>
      <c r="K130" s="348"/>
      <c r="L130" s="333"/>
      <c r="M130" s="333"/>
      <c r="N130" s="333"/>
      <c r="O130" s="333"/>
      <c r="P130" s="333"/>
      <c r="Q130" s="333"/>
      <c r="R130" s="333"/>
      <c r="S130" s="333"/>
      <c r="T130" s="333"/>
      <c r="U130" s="333"/>
      <c r="V130" s="333"/>
      <c r="W130" s="333"/>
      <c r="X130" s="333"/>
      <c r="Y130" s="333"/>
      <c r="Z130" s="333"/>
    </row>
    <row r="131" spans="1:26" ht="15.6">
      <c r="A131" s="333"/>
      <c r="B131" s="348"/>
      <c r="C131" s="348"/>
      <c r="D131" s="348"/>
      <c r="E131" s="348"/>
      <c r="F131" s="348"/>
      <c r="G131" s="348"/>
      <c r="H131" s="348"/>
      <c r="I131" s="348"/>
      <c r="J131" s="348"/>
      <c r="K131" s="348"/>
      <c r="L131" s="333"/>
      <c r="M131" s="333"/>
      <c r="N131" s="333"/>
      <c r="O131" s="333"/>
      <c r="P131" s="333"/>
      <c r="Q131" s="333"/>
      <c r="R131" s="333"/>
      <c r="S131" s="333"/>
      <c r="T131" s="333"/>
      <c r="U131" s="333"/>
      <c r="V131" s="333"/>
      <c r="W131" s="333"/>
      <c r="X131" s="333"/>
      <c r="Y131" s="333"/>
      <c r="Z131" s="333"/>
    </row>
    <row r="132" spans="1:26" ht="15.6">
      <c r="A132" s="333"/>
      <c r="B132" s="348"/>
      <c r="C132" s="348"/>
      <c r="D132" s="348"/>
      <c r="E132" s="348"/>
      <c r="F132" s="348"/>
      <c r="G132" s="348"/>
      <c r="H132" s="348"/>
      <c r="I132" s="348"/>
      <c r="J132" s="348"/>
      <c r="K132" s="348"/>
      <c r="L132" s="333"/>
      <c r="M132" s="333"/>
      <c r="N132" s="333"/>
      <c r="O132" s="333"/>
      <c r="P132" s="333"/>
      <c r="Q132" s="333"/>
      <c r="R132" s="333"/>
      <c r="S132" s="333"/>
      <c r="T132" s="333"/>
      <c r="U132" s="333"/>
      <c r="V132" s="333"/>
      <c r="W132" s="333"/>
      <c r="X132" s="333"/>
      <c r="Y132" s="333"/>
      <c r="Z132" s="333"/>
    </row>
    <row r="133" spans="1:26" ht="15.6">
      <c r="A133" s="333"/>
      <c r="B133" s="348"/>
      <c r="C133" s="348"/>
      <c r="D133" s="348"/>
      <c r="E133" s="348"/>
      <c r="F133" s="348"/>
      <c r="G133" s="348"/>
      <c r="H133" s="348"/>
      <c r="I133" s="348"/>
      <c r="J133" s="348"/>
      <c r="K133" s="348"/>
      <c r="L133" s="333"/>
      <c r="M133" s="333"/>
      <c r="N133" s="333"/>
      <c r="O133" s="333"/>
      <c r="P133" s="333"/>
      <c r="Q133" s="333"/>
      <c r="R133" s="333"/>
      <c r="S133" s="333"/>
      <c r="T133" s="333"/>
      <c r="U133" s="333"/>
      <c r="V133" s="333"/>
      <c r="W133" s="333"/>
      <c r="X133" s="333"/>
      <c r="Y133" s="333"/>
      <c r="Z133" s="333"/>
    </row>
    <row r="134" spans="1:26" ht="15.6">
      <c r="A134" s="333"/>
      <c r="B134" s="348"/>
      <c r="C134" s="348"/>
      <c r="D134" s="348"/>
      <c r="E134" s="348"/>
      <c r="F134" s="348"/>
      <c r="G134" s="348"/>
      <c r="H134" s="348"/>
      <c r="I134" s="348"/>
      <c r="J134" s="348"/>
      <c r="K134" s="348"/>
      <c r="L134" s="333"/>
      <c r="M134" s="333"/>
      <c r="N134" s="333"/>
      <c r="O134" s="333"/>
      <c r="P134" s="333"/>
      <c r="Q134" s="333"/>
      <c r="R134" s="333"/>
      <c r="S134" s="333"/>
      <c r="T134" s="333"/>
      <c r="U134" s="333"/>
      <c r="V134" s="333"/>
      <c r="W134" s="333"/>
      <c r="X134" s="333"/>
      <c r="Y134" s="333"/>
      <c r="Z134" s="333"/>
    </row>
    <row r="135" spans="1:26" ht="15.6">
      <c r="A135" s="333"/>
      <c r="B135" s="348"/>
      <c r="C135" s="348"/>
      <c r="D135" s="348"/>
      <c r="E135" s="348"/>
      <c r="F135" s="348"/>
      <c r="G135" s="348"/>
      <c r="H135" s="348"/>
      <c r="I135" s="348"/>
      <c r="J135" s="348"/>
      <c r="K135" s="348"/>
      <c r="L135" s="333"/>
      <c r="M135" s="333"/>
      <c r="N135" s="333"/>
      <c r="O135" s="333"/>
      <c r="P135" s="333"/>
      <c r="Q135" s="333"/>
      <c r="R135" s="333"/>
      <c r="S135" s="333"/>
      <c r="T135" s="333"/>
      <c r="U135" s="333"/>
      <c r="V135" s="333"/>
      <c r="W135" s="333"/>
      <c r="X135" s="333"/>
      <c r="Y135" s="333"/>
      <c r="Z135" s="333"/>
    </row>
    <row r="136" spans="1:26" ht="15.6">
      <c r="A136" s="333"/>
      <c r="B136" s="348"/>
      <c r="C136" s="348"/>
      <c r="D136" s="348"/>
      <c r="E136" s="348"/>
      <c r="F136" s="348"/>
      <c r="G136" s="348"/>
      <c r="H136" s="348"/>
      <c r="I136" s="348"/>
      <c r="J136" s="348"/>
      <c r="K136" s="348"/>
      <c r="L136" s="333"/>
      <c r="M136" s="333"/>
      <c r="N136" s="333"/>
      <c r="O136" s="333"/>
      <c r="P136" s="333"/>
      <c r="Q136" s="333"/>
      <c r="R136" s="333"/>
      <c r="S136" s="333"/>
      <c r="T136" s="333"/>
      <c r="U136" s="333"/>
      <c r="V136" s="333"/>
      <c r="W136" s="333"/>
      <c r="X136" s="333"/>
      <c r="Y136" s="333"/>
      <c r="Z136" s="333"/>
    </row>
    <row r="137" spans="1:26" ht="15.6">
      <c r="A137" s="333"/>
      <c r="B137" s="348"/>
      <c r="C137" s="348"/>
      <c r="D137" s="348"/>
      <c r="E137" s="348"/>
      <c r="F137" s="348"/>
      <c r="G137" s="348"/>
      <c r="H137" s="348"/>
      <c r="I137" s="348"/>
      <c r="J137" s="348"/>
      <c r="K137" s="348"/>
      <c r="L137" s="333"/>
      <c r="M137" s="333"/>
      <c r="N137" s="333"/>
      <c r="O137" s="333"/>
      <c r="P137" s="333"/>
      <c r="Q137" s="333"/>
      <c r="R137" s="333"/>
      <c r="S137" s="333"/>
      <c r="T137" s="333"/>
      <c r="U137" s="333"/>
      <c r="V137" s="333"/>
      <c r="W137" s="333"/>
      <c r="X137" s="333"/>
      <c r="Y137" s="333"/>
      <c r="Z137" s="333"/>
    </row>
    <row r="138" spans="1:26" ht="15.6">
      <c r="A138" s="333"/>
      <c r="B138" s="348"/>
      <c r="C138" s="348"/>
      <c r="D138" s="348"/>
      <c r="E138" s="348"/>
      <c r="F138" s="348"/>
      <c r="G138" s="348"/>
      <c r="H138" s="348"/>
      <c r="I138" s="348"/>
      <c r="J138" s="348"/>
      <c r="K138" s="348"/>
      <c r="L138" s="333"/>
      <c r="M138" s="333"/>
      <c r="N138" s="333"/>
      <c r="O138" s="333"/>
      <c r="P138" s="333"/>
      <c r="Q138" s="333"/>
      <c r="R138" s="333"/>
      <c r="S138" s="333"/>
      <c r="T138" s="333"/>
      <c r="U138" s="333"/>
      <c r="V138" s="333"/>
      <c r="W138" s="333"/>
      <c r="X138" s="333"/>
      <c r="Y138" s="333"/>
      <c r="Z138" s="333"/>
    </row>
    <row r="139" spans="1:26" ht="15.6">
      <c r="A139" s="333"/>
      <c r="B139" s="348"/>
      <c r="C139" s="348"/>
      <c r="D139" s="348"/>
      <c r="E139" s="348"/>
      <c r="F139" s="348"/>
      <c r="G139" s="348"/>
      <c r="H139" s="348"/>
      <c r="I139" s="348"/>
      <c r="J139" s="348"/>
      <c r="K139" s="348"/>
      <c r="L139" s="333"/>
      <c r="M139" s="333"/>
      <c r="N139" s="333"/>
      <c r="O139" s="333"/>
      <c r="P139" s="333"/>
      <c r="Q139" s="333"/>
      <c r="R139" s="333"/>
      <c r="S139" s="333"/>
      <c r="T139" s="333"/>
      <c r="U139" s="333"/>
      <c r="V139" s="333"/>
      <c r="W139" s="333"/>
      <c r="X139" s="333"/>
      <c r="Y139" s="333"/>
      <c r="Z139" s="333"/>
    </row>
    <row r="140" spans="1:26" ht="15.6">
      <c r="A140" s="333"/>
      <c r="B140" s="348"/>
      <c r="C140" s="348"/>
      <c r="D140" s="348"/>
      <c r="E140" s="348"/>
      <c r="F140" s="348"/>
      <c r="G140" s="348"/>
      <c r="H140" s="348"/>
      <c r="I140" s="348"/>
      <c r="J140" s="348"/>
      <c r="K140" s="348"/>
      <c r="L140" s="333"/>
      <c r="M140" s="333"/>
      <c r="N140" s="333"/>
      <c r="O140" s="333"/>
      <c r="P140" s="333"/>
      <c r="Q140" s="333"/>
      <c r="R140" s="333"/>
      <c r="S140" s="333"/>
      <c r="T140" s="333"/>
      <c r="U140" s="333"/>
      <c r="V140" s="333"/>
      <c r="W140" s="333"/>
      <c r="X140" s="333"/>
      <c r="Y140" s="333"/>
      <c r="Z140" s="333"/>
    </row>
    <row r="141" spans="1:26" ht="15.6">
      <c r="A141" s="333"/>
      <c r="B141" s="348"/>
      <c r="C141" s="348"/>
      <c r="D141" s="348"/>
      <c r="E141" s="348"/>
      <c r="F141" s="348"/>
      <c r="G141" s="348"/>
      <c r="H141" s="348"/>
      <c r="I141" s="348"/>
      <c r="J141" s="348"/>
      <c r="K141" s="348"/>
      <c r="L141" s="333"/>
      <c r="M141" s="333"/>
      <c r="N141" s="333"/>
      <c r="O141" s="333"/>
      <c r="P141" s="333"/>
      <c r="Q141" s="333"/>
      <c r="R141" s="333"/>
      <c r="S141" s="333"/>
      <c r="T141" s="333"/>
      <c r="U141" s="333"/>
      <c r="V141" s="333"/>
      <c r="W141" s="333"/>
      <c r="X141" s="333"/>
      <c r="Y141" s="333"/>
      <c r="Z141" s="333"/>
    </row>
    <row r="142" spans="1:26" ht="15.6">
      <c r="A142" s="333"/>
      <c r="B142" s="348"/>
      <c r="C142" s="348"/>
      <c r="D142" s="348"/>
      <c r="E142" s="348"/>
      <c r="F142" s="348"/>
      <c r="G142" s="348"/>
      <c r="H142" s="348"/>
      <c r="I142" s="348"/>
      <c r="J142" s="348"/>
      <c r="K142" s="348"/>
      <c r="L142" s="333"/>
      <c r="M142" s="333"/>
      <c r="N142" s="333"/>
      <c r="O142" s="333"/>
      <c r="P142" s="333"/>
      <c r="Q142" s="333"/>
      <c r="R142" s="333"/>
      <c r="S142" s="333"/>
      <c r="T142" s="333"/>
      <c r="U142" s="333"/>
      <c r="V142" s="333"/>
      <c r="W142" s="333"/>
      <c r="X142" s="333"/>
      <c r="Y142" s="333"/>
      <c r="Z142" s="333"/>
    </row>
    <row r="143" spans="1:26" ht="15.6">
      <c r="A143" s="333"/>
      <c r="B143" s="348"/>
      <c r="C143" s="348"/>
      <c r="D143" s="348"/>
      <c r="E143" s="348"/>
      <c r="F143" s="348"/>
      <c r="G143" s="348"/>
      <c r="H143" s="348"/>
      <c r="I143" s="348"/>
      <c r="J143" s="348"/>
      <c r="K143" s="348"/>
      <c r="L143" s="333"/>
      <c r="M143" s="333"/>
      <c r="N143" s="333"/>
      <c r="O143" s="333"/>
      <c r="P143" s="333"/>
      <c r="Q143" s="333"/>
      <c r="R143" s="333"/>
      <c r="S143" s="333"/>
      <c r="T143" s="333"/>
      <c r="U143" s="333"/>
      <c r="V143" s="333"/>
      <c r="W143" s="333"/>
      <c r="X143" s="333"/>
      <c r="Y143" s="333"/>
      <c r="Z143" s="333"/>
    </row>
    <row r="144" spans="1:26" ht="15.6">
      <c r="A144" s="333"/>
      <c r="B144" s="348"/>
      <c r="C144" s="348"/>
      <c r="D144" s="348"/>
      <c r="E144" s="348"/>
      <c r="F144" s="348"/>
      <c r="G144" s="348"/>
      <c r="H144" s="348"/>
      <c r="I144" s="348"/>
      <c r="J144" s="348"/>
      <c r="K144" s="348"/>
      <c r="L144" s="333"/>
      <c r="M144" s="333"/>
      <c r="N144" s="333"/>
      <c r="O144" s="333"/>
      <c r="P144" s="333"/>
      <c r="Q144" s="333"/>
      <c r="R144" s="333"/>
      <c r="S144" s="333"/>
      <c r="T144" s="333"/>
      <c r="U144" s="333"/>
      <c r="V144" s="333"/>
      <c r="W144" s="333"/>
      <c r="X144" s="333"/>
      <c r="Y144" s="333"/>
      <c r="Z144" s="333"/>
    </row>
    <row r="145" spans="1:26" ht="15.6">
      <c r="A145" s="333"/>
      <c r="B145" s="348"/>
      <c r="C145" s="348"/>
      <c r="D145" s="348"/>
      <c r="E145" s="348"/>
      <c r="F145" s="348"/>
      <c r="G145" s="348"/>
      <c r="H145" s="348"/>
      <c r="I145" s="348"/>
      <c r="J145" s="348"/>
      <c r="K145" s="348"/>
      <c r="L145" s="333"/>
      <c r="M145" s="333"/>
      <c r="N145" s="333"/>
      <c r="O145" s="333"/>
      <c r="P145" s="333"/>
      <c r="Q145" s="333"/>
      <c r="R145" s="333"/>
      <c r="S145" s="333"/>
      <c r="T145" s="333"/>
      <c r="U145" s="333"/>
      <c r="V145" s="333"/>
      <c r="W145" s="333"/>
      <c r="X145" s="333"/>
      <c r="Y145" s="333"/>
      <c r="Z145" s="333"/>
    </row>
    <row r="146" spans="1:26" ht="15.6">
      <c r="A146" s="333"/>
      <c r="B146" s="348"/>
      <c r="C146" s="348"/>
      <c r="D146" s="348"/>
      <c r="E146" s="348"/>
      <c r="F146" s="348"/>
      <c r="G146" s="348"/>
      <c r="H146" s="348"/>
      <c r="I146" s="348"/>
      <c r="J146" s="348"/>
      <c r="K146" s="348"/>
      <c r="L146" s="333"/>
      <c r="M146" s="333"/>
      <c r="N146" s="333"/>
      <c r="O146" s="333"/>
      <c r="P146" s="333"/>
      <c r="Q146" s="333"/>
      <c r="R146" s="333"/>
      <c r="S146" s="333"/>
      <c r="T146" s="333"/>
      <c r="U146" s="333"/>
      <c r="V146" s="333"/>
      <c r="W146" s="333"/>
      <c r="X146" s="333"/>
      <c r="Y146" s="333"/>
      <c r="Z146" s="333"/>
    </row>
    <row r="147" spans="1:26" ht="15.6">
      <c r="A147" s="333"/>
      <c r="B147" s="348"/>
      <c r="C147" s="348"/>
      <c r="D147" s="348"/>
      <c r="E147" s="348"/>
      <c r="F147" s="348"/>
      <c r="G147" s="348"/>
      <c r="H147" s="348"/>
      <c r="I147" s="348"/>
      <c r="J147" s="348"/>
      <c r="K147" s="348"/>
      <c r="L147" s="333"/>
      <c r="M147" s="333"/>
      <c r="N147" s="333"/>
      <c r="O147" s="333"/>
      <c r="P147" s="333"/>
      <c r="Q147" s="333"/>
      <c r="R147" s="333"/>
      <c r="S147" s="333"/>
      <c r="T147" s="333"/>
      <c r="U147" s="333"/>
      <c r="V147" s="333"/>
      <c r="W147" s="333"/>
      <c r="X147" s="333"/>
      <c r="Y147" s="333"/>
      <c r="Z147" s="333"/>
    </row>
    <row r="148" spans="1:26" ht="15.6">
      <c r="A148" s="333"/>
      <c r="B148" s="348"/>
      <c r="C148" s="348"/>
      <c r="D148" s="348"/>
      <c r="E148" s="348"/>
      <c r="F148" s="348"/>
      <c r="G148" s="348"/>
      <c r="H148" s="348"/>
      <c r="I148" s="348"/>
      <c r="J148" s="348"/>
      <c r="K148" s="348"/>
      <c r="L148" s="333"/>
      <c r="M148" s="333"/>
      <c r="N148" s="333"/>
      <c r="O148" s="333"/>
      <c r="P148" s="333"/>
      <c r="Q148" s="333"/>
      <c r="R148" s="333"/>
      <c r="S148" s="333"/>
      <c r="T148" s="333"/>
      <c r="U148" s="333"/>
      <c r="V148" s="333"/>
      <c r="W148" s="333"/>
      <c r="X148" s="333"/>
      <c r="Y148" s="333"/>
      <c r="Z148" s="333"/>
    </row>
    <row r="149" spans="1:26" ht="15.6">
      <c r="A149" s="333"/>
      <c r="B149" s="348"/>
      <c r="C149" s="348"/>
      <c r="D149" s="348"/>
      <c r="E149" s="348"/>
      <c r="F149" s="348"/>
      <c r="G149" s="348"/>
      <c r="H149" s="348"/>
      <c r="I149" s="348"/>
      <c r="J149" s="348"/>
      <c r="K149" s="348"/>
      <c r="L149" s="333"/>
      <c r="M149" s="333"/>
      <c r="N149" s="333"/>
      <c r="O149" s="333"/>
      <c r="P149" s="333"/>
      <c r="Q149" s="333"/>
      <c r="R149" s="333"/>
      <c r="S149" s="333"/>
      <c r="T149" s="333"/>
      <c r="U149" s="333"/>
      <c r="V149" s="333"/>
      <c r="W149" s="333"/>
      <c r="X149" s="333"/>
      <c r="Y149" s="333"/>
      <c r="Z149" s="333"/>
    </row>
    <row r="150" spans="1:26" ht="15.6">
      <c r="A150" s="333"/>
      <c r="B150" s="348"/>
      <c r="C150" s="348"/>
      <c r="D150" s="348"/>
      <c r="E150" s="348"/>
      <c r="F150" s="348"/>
      <c r="G150" s="348"/>
      <c r="H150" s="348"/>
      <c r="I150" s="348"/>
      <c r="J150" s="348"/>
      <c r="K150" s="348"/>
      <c r="L150" s="333"/>
      <c r="M150" s="333"/>
      <c r="N150" s="333"/>
      <c r="O150" s="333"/>
      <c r="P150" s="333"/>
      <c r="Q150" s="333"/>
      <c r="R150" s="333"/>
      <c r="S150" s="333"/>
      <c r="T150" s="333"/>
      <c r="U150" s="333"/>
      <c r="V150" s="333"/>
      <c r="W150" s="333"/>
      <c r="X150" s="333"/>
      <c r="Y150" s="333"/>
      <c r="Z150" s="333"/>
    </row>
    <row r="151" spans="1:26" ht="15.6">
      <c r="A151" s="333"/>
      <c r="B151" s="348"/>
      <c r="C151" s="348"/>
      <c r="D151" s="348"/>
      <c r="E151" s="348"/>
      <c r="F151" s="348"/>
      <c r="G151" s="348"/>
      <c r="H151" s="348"/>
      <c r="I151" s="348"/>
      <c r="J151" s="348"/>
      <c r="K151" s="348"/>
      <c r="L151" s="333"/>
      <c r="M151" s="333"/>
      <c r="N151" s="333"/>
      <c r="O151" s="333"/>
      <c r="P151" s="333"/>
      <c r="Q151" s="333"/>
      <c r="R151" s="333"/>
      <c r="S151" s="333"/>
      <c r="T151" s="333"/>
      <c r="U151" s="333"/>
      <c r="V151" s="333"/>
      <c r="W151" s="333"/>
      <c r="X151" s="333"/>
      <c r="Y151" s="333"/>
      <c r="Z151" s="333"/>
    </row>
    <row r="152" spans="1:26" ht="15.6">
      <c r="A152" s="333"/>
      <c r="B152" s="348"/>
      <c r="C152" s="348"/>
      <c r="D152" s="348"/>
      <c r="E152" s="348"/>
      <c r="F152" s="348"/>
      <c r="G152" s="348"/>
      <c r="H152" s="348"/>
      <c r="I152" s="348"/>
      <c r="J152" s="348"/>
      <c r="K152" s="348"/>
      <c r="L152" s="333"/>
      <c r="M152" s="333"/>
      <c r="N152" s="333"/>
      <c r="O152" s="333"/>
      <c r="P152" s="333"/>
      <c r="Q152" s="333"/>
      <c r="R152" s="333"/>
      <c r="S152" s="333"/>
      <c r="T152" s="333"/>
      <c r="U152" s="333"/>
      <c r="V152" s="333"/>
      <c r="W152" s="333"/>
      <c r="X152" s="333"/>
      <c r="Y152" s="333"/>
      <c r="Z152" s="333"/>
    </row>
    <row r="153" spans="1:26" ht="15.6">
      <c r="A153" s="333"/>
      <c r="B153" s="348"/>
      <c r="C153" s="348"/>
      <c r="D153" s="348"/>
      <c r="E153" s="348"/>
      <c r="F153" s="348"/>
      <c r="G153" s="348"/>
      <c r="H153" s="348"/>
      <c r="I153" s="348"/>
      <c r="J153" s="348"/>
      <c r="K153" s="348"/>
      <c r="L153" s="333"/>
      <c r="M153" s="333"/>
      <c r="N153" s="333"/>
      <c r="O153" s="333"/>
      <c r="P153" s="333"/>
      <c r="Q153" s="333"/>
      <c r="R153" s="333"/>
      <c r="S153" s="333"/>
      <c r="T153" s="333"/>
      <c r="U153" s="333"/>
      <c r="V153" s="333"/>
      <c r="W153" s="333"/>
      <c r="X153" s="333"/>
      <c r="Y153" s="333"/>
      <c r="Z153" s="333"/>
    </row>
    <row r="154" spans="1:26" ht="15.6">
      <c r="A154" s="333"/>
      <c r="B154" s="348"/>
      <c r="C154" s="348"/>
      <c r="D154" s="348"/>
      <c r="E154" s="348"/>
      <c r="F154" s="348"/>
      <c r="G154" s="348"/>
      <c r="H154" s="348"/>
      <c r="I154" s="348"/>
      <c r="J154" s="348"/>
      <c r="K154" s="348"/>
      <c r="L154" s="333"/>
      <c r="M154" s="333"/>
      <c r="N154" s="333"/>
      <c r="O154" s="333"/>
      <c r="P154" s="333"/>
      <c r="Q154" s="333"/>
      <c r="R154" s="333"/>
      <c r="S154" s="333"/>
      <c r="T154" s="333"/>
      <c r="U154" s="333"/>
      <c r="V154" s="333"/>
      <c r="W154" s="333"/>
      <c r="X154" s="333"/>
      <c r="Y154" s="333"/>
      <c r="Z154" s="333"/>
    </row>
    <row r="155" spans="1:26" ht="15.6">
      <c r="A155" s="333"/>
      <c r="B155" s="348"/>
      <c r="C155" s="348"/>
      <c r="D155" s="348"/>
      <c r="E155" s="348"/>
      <c r="F155" s="348"/>
      <c r="G155" s="348"/>
      <c r="H155" s="348"/>
      <c r="I155" s="348"/>
      <c r="J155" s="348"/>
      <c r="K155" s="348"/>
      <c r="L155" s="333"/>
      <c r="M155" s="333"/>
      <c r="N155" s="333"/>
      <c r="O155" s="333"/>
      <c r="P155" s="333"/>
      <c r="Q155" s="333"/>
      <c r="R155" s="333"/>
      <c r="S155" s="333"/>
      <c r="T155" s="333"/>
      <c r="U155" s="333"/>
      <c r="V155" s="333"/>
      <c r="W155" s="333"/>
      <c r="X155" s="333"/>
      <c r="Y155" s="333"/>
      <c r="Z155" s="333"/>
    </row>
    <row r="156" spans="1:26" ht="15.6">
      <c r="A156" s="333"/>
      <c r="B156" s="348"/>
      <c r="C156" s="348"/>
      <c r="D156" s="348"/>
      <c r="E156" s="348"/>
      <c r="F156" s="348"/>
      <c r="G156" s="348"/>
      <c r="H156" s="348"/>
      <c r="I156" s="348"/>
      <c r="J156" s="348"/>
      <c r="K156" s="348"/>
      <c r="L156" s="333"/>
      <c r="M156" s="333"/>
      <c r="N156" s="333"/>
      <c r="O156" s="333"/>
      <c r="P156" s="333"/>
      <c r="Q156" s="333"/>
      <c r="R156" s="333"/>
      <c r="S156" s="333"/>
      <c r="T156" s="333"/>
      <c r="U156" s="333"/>
      <c r="V156" s="333"/>
      <c r="W156" s="333"/>
      <c r="X156" s="333"/>
      <c r="Y156" s="333"/>
      <c r="Z156" s="333"/>
    </row>
    <row r="157" spans="1:26" ht="15.6">
      <c r="A157" s="333"/>
      <c r="B157" s="348"/>
      <c r="C157" s="348"/>
      <c r="D157" s="348"/>
      <c r="E157" s="348"/>
      <c r="F157" s="348"/>
      <c r="G157" s="348"/>
      <c r="H157" s="348"/>
      <c r="I157" s="348"/>
      <c r="J157" s="348"/>
      <c r="K157" s="348"/>
      <c r="L157" s="333"/>
      <c r="M157" s="333"/>
      <c r="N157" s="333"/>
      <c r="O157" s="333"/>
      <c r="P157" s="333"/>
      <c r="Q157" s="333"/>
      <c r="R157" s="333"/>
      <c r="S157" s="333"/>
      <c r="T157" s="333"/>
      <c r="U157" s="333"/>
      <c r="V157" s="333"/>
      <c r="W157" s="333"/>
      <c r="X157" s="333"/>
      <c r="Y157" s="333"/>
      <c r="Z157" s="333"/>
    </row>
    <row r="158" spans="1:26" ht="15.6">
      <c r="A158" s="333"/>
      <c r="B158" s="348"/>
      <c r="C158" s="348"/>
      <c r="D158" s="348"/>
      <c r="E158" s="348"/>
      <c r="F158" s="348"/>
      <c r="G158" s="348"/>
      <c r="H158" s="348"/>
      <c r="I158" s="348"/>
      <c r="J158" s="348"/>
      <c r="K158" s="348"/>
      <c r="L158" s="333"/>
      <c r="M158" s="333"/>
      <c r="N158" s="333"/>
      <c r="O158" s="333"/>
      <c r="P158" s="333"/>
      <c r="Q158" s="333"/>
      <c r="R158" s="333"/>
      <c r="S158" s="333"/>
      <c r="T158" s="333"/>
      <c r="U158" s="333"/>
      <c r="V158" s="333"/>
      <c r="W158" s="333"/>
      <c r="X158" s="333"/>
      <c r="Y158" s="333"/>
      <c r="Z158" s="333"/>
    </row>
    <row r="159" spans="1:26" ht="15.6">
      <c r="A159" s="333"/>
      <c r="B159" s="348"/>
      <c r="C159" s="348"/>
      <c r="D159" s="348"/>
      <c r="E159" s="348"/>
      <c r="F159" s="348"/>
      <c r="G159" s="348"/>
      <c r="H159" s="348"/>
      <c r="I159" s="348"/>
      <c r="J159" s="348"/>
      <c r="K159" s="348"/>
      <c r="L159" s="333"/>
      <c r="M159" s="333"/>
      <c r="N159" s="333"/>
      <c r="O159" s="333"/>
      <c r="P159" s="333"/>
      <c r="Q159" s="333"/>
      <c r="R159" s="333"/>
      <c r="S159" s="333"/>
      <c r="T159" s="333"/>
      <c r="U159" s="333"/>
      <c r="V159" s="333"/>
      <c r="W159" s="333"/>
      <c r="X159" s="333"/>
      <c r="Y159" s="333"/>
      <c r="Z159" s="333"/>
    </row>
    <row r="160" spans="1:26" ht="15.6">
      <c r="A160" s="333"/>
      <c r="B160" s="348"/>
      <c r="C160" s="348"/>
      <c r="D160" s="348"/>
      <c r="E160" s="348"/>
      <c r="F160" s="348"/>
      <c r="G160" s="348"/>
      <c r="H160" s="348"/>
      <c r="I160" s="348"/>
      <c r="J160" s="348"/>
      <c r="K160" s="348"/>
      <c r="L160" s="333"/>
      <c r="M160" s="333"/>
      <c r="N160" s="333"/>
      <c r="O160" s="333"/>
      <c r="P160" s="333"/>
      <c r="Q160" s="333"/>
      <c r="R160" s="333"/>
      <c r="S160" s="333"/>
      <c r="T160" s="333"/>
      <c r="U160" s="333"/>
      <c r="V160" s="333"/>
      <c r="W160" s="333"/>
      <c r="X160" s="333"/>
      <c r="Y160" s="333"/>
      <c r="Z160" s="333"/>
    </row>
    <row r="161" spans="1:26" ht="15.6">
      <c r="A161" s="333"/>
      <c r="B161" s="348"/>
      <c r="C161" s="348"/>
      <c r="D161" s="348"/>
      <c r="E161" s="348"/>
      <c r="F161" s="348"/>
      <c r="G161" s="348"/>
      <c r="H161" s="348"/>
      <c r="I161" s="348"/>
      <c r="J161" s="348"/>
      <c r="K161" s="348"/>
      <c r="L161" s="333"/>
      <c r="M161" s="333"/>
      <c r="N161" s="333"/>
      <c r="O161" s="333"/>
      <c r="P161" s="333"/>
      <c r="Q161" s="333"/>
      <c r="R161" s="333"/>
      <c r="S161" s="333"/>
      <c r="T161" s="333"/>
      <c r="U161" s="333"/>
      <c r="V161" s="333"/>
      <c r="W161" s="333"/>
      <c r="X161" s="333"/>
      <c r="Y161" s="333"/>
      <c r="Z161" s="333"/>
    </row>
    <row r="162" spans="1:26" ht="15.6">
      <c r="A162" s="333"/>
      <c r="B162" s="348"/>
      <c r="C162" s="348"/>
      <c r="D162" s="348"/>
      <c r="E162" s="348"/>
      <c r="F162" s="348"/>
      <c r="G162" s="348"/>
      <c r="H162" s="348"/>
      <c r="I162" s="348"/>
      <c r="J162" s="348"/>
      <c r="K162" s="348"/>
      <c r="L162" s="333"/>
      <c r="M162" s="333"/>
      <c r="N162" s="333"/>
      <c r="O162" s="333"/>
      <c r="P162" s="333"/>
      <c r="Q162" s="333"/>
      <c r="R162" s="333"/>
      <c r="S162" s="333"/>
      <c r="T162" s="333"/>
      <c r="U162" s="333"/>
      <c r="V162" s="333"/>
      <c r="W162" s="333"/>
      <c r="X162" s="333"/>
      <c r="Y162" s="333"/>
      <c r="Z162" s="333"/>
    </row>
    <row r="163" spans="1:26" ht="15.6">
      <c r="A163" s="333"/>
      <c r="B163" s="348"/>
      <c r="C163" s="348"/>
      <c r="D163" s="348"/>
      <c r="E163" s="348"/>
      <c r="F163" s="348"/>
      <c r="G163" s="348"/>
      <c r="H163" s="348"/>
      <c r="I163" s="348"/>
      <c r="J163" s="348"/>
      <c r="K163" s="348"/>
      <c r="L163" s="333"/>
      <c r="M163" s="333"/>
      <c r="N163" s="333"/>
      <c r="O163" s="333"/>
      <c r="P163" s="333"/>
      <c r="Q163" s="333"/>
      <c r="R163" s="333"/>
      <c r="S163" s="333"/>
      <c r="T163" s="333"/>
      <c r="U163" s="333"/>
      <c r="V163" s="333"/>
      <c r="W163" s="333"/>
      <c r="X163" s="333"/>
      <c r="Y163" s="333"/>
      <c r="Z163" s="333"/>
    </row>
    <row r="164" spans="1:26" ht="15.6">
      <c r="A164" s="333"/>
      <c r="B164" s="348"/>
      <c r="C164" s="348"/>
      <c r="D164" s="348"/>
      <c r="E164" s="348"/>
      <c r="F164" s="348"/>
      <c r="G164" s="348"/>
      <c r="H164" s="348"/>
      <c r="I164" s="348"/>
      <c r="J164" s="348"/>
      <c r="K164" s="348"/>
      <c r="L164" s="333"/>
      <c r="M164" s="333"/>
      <c r="N164" s="333"/>
      <c r="O164" s="333"/>
      <c r="P164" s="333"/>
      <c r="Q164" s="333"/>
      <c r="R164" s="333"/>
      <c r="S164" s="333"/>
      <c r="T164" s="333"/>
      <c r="U164" s="333"/>
      <c r="V164" s="333"/>
      <c r="W164" s="333"/>
      <c r="X164" s="333"/>
      <c r="Y164" s="333"/>
      <c r="Z164" s="333"/>
    </row>
    <row r="165" spans="1:26" ht="15.6">
      <c r="A165" s="333"/>
      <c r="B165" s="348"/>
      <c r="C165" s="348"/>
      <c r="D165" s="348"/>
      <c r="E165" s="348"/>
      <c r="F165" s="348"/>
      <c r="G165" s="348"/>
      <c r="H165" s="348"/>
      <c r="I165" s="348"/>
      <c r="J165" s="348"/>
      <c r="K165" s="348"/>
      <c r="L165" s="333"/>
      <c r="M165" s="333"/>
      <c r="N165" s="333"/>
      <c r="O165" s="333"/>
      <c r="P165" s="333"/>
      <c r="Q165" s="333"/>
      <c r="R165" s="333"/>
      <c r="S165" s="333"/>
      <c r="T165" s="333"/>
      <c r="U165" s="333"/>
      <c r="V165" s="333"/>
      <c r="W165" s="333"/>
      <c r="X165" s="333"/>
      <c r="Y165" s="333"/>
      <c r="Z165" s="333"/>
    </row>
    <row r="166" spans="1:26" ht="15.6">
      <c r="A166" s="333"/>
      <c r="B166" s="348"/>
      <c r="C166" s="348"/>
      <c r="D166" s="348"/>
      <c r="E166" s="348"/>
      <c r="F166" s="348"/>
      <c r="G166" s="348"/>
      <c r="H166" s="348"/>
      <c r="I166" s="348"/>
      <c r="J166" s="348"/>
      <c r="K166" s="348"/>
      <c r="L166" s="333"/>
      <c r="M166" s="333"/>
      <c r="N166" s="333"/>
      <c r="O166" s="333"/>
      <c r="P166" s="333"/>
      <c r="Q166" s="333"/>
      <c r="R166" s="333"/>
      <c r="S166" s="333"/>
      <c r="T166" s="333"/>
      <c r="U166" s="333"/>
      <c r="V166" s="333"/>
      <c r="W166" s="333"/>
      <c r="X166" s="333"/>
      <c r="Y166" s="333"/>
      <c r="Z166" s="333"/>
    </row>
    <row r="167" spans="1:26" ht="15.6">
      <c r="A167" s="333"/>
      <c r="B167" s="348"/>
      <c r="C167" s="348"/>
      <c r="D167" s="348"/>
      <c r="E167" s="348"/>
      <c r="F167" s="348"/>
      <c r="G167" s="348"/>
      <c r="H167" s="348"/>
      <c r="I167" s="348"/>
      <c r="J167" s="348"/>
      <c r="K167" s="348"/>
      <c r="L167" s="333"/>
      <c r="M167" s="333"/>
      <c r="N167" s="333"/>
      <c r="O167" s="333"/>
      <c r="P167" s="333"/>
      <c r="Q167" s="333"/>
      <c r="R167" s="333"/>
      <c r="S167" s="333"/>
      <c r="T167" s="333"/>
      <c r="U167" s="333"/>
      <c r="V167" s="333"/>
      <c r="W167" s="333"/>
      <c r="X167" s="333"/>
      <c r="Y167" s="333"/>
      <c r="Z167" s="333"/>
    </row>
    <row r="168" spans="1:26" ht="15.6">
      <c r="A168" s="333"/>
      <c r="B168" s="348"/>
      <c r="C168" s="348"/>
      <c r="D168" s="348"/>
      <c r="E168" s="348"/>
      <c r="F168" s="348"/>
      <c r="G168" s="348"/>
      <c r="H168" s="348"/>
      <c r="I168" s="348"/>
      <c r="J168" s="348"/>
      <c r="K168" s="348"/>
      <c r="L168" s="333"/>
      <c r="M168" s="333"/>
      <c r="N168" s="333"/>
      <c r="O168" s="333"/>
      <c r="P168" s="333"/>
      <c r="Q168" s="333"/>
      <c r="R168" s="333"/>
      <c r="S168" s="333"/>
      <c r="T168" s="333"/>
      <c r="U168" s="333"/>
      <c r="V168" s="333"/>
      <c r="W168" s="333"/>
      <c r="X168" s="333"/>
      <c r="Y168" s="333"/>
      <c r="Z168" s="333"/>
    </row>
    <row r="169" spans="1:26" ht="15.6">
      <c r="A169" s="333"/>
      <c r="B169" s="348"/>
      <c r="C169" s="348"/>
      <c r="D169" s="348"/>
      <c r="E169" s="348"/>
      <c r="F169" s="348"/>
      <c r="G169" s="348"/>
      <c r="H169" s="348"/>
      <c r="I169" s="348"/>
      <c r="J169" s="348"/>
      <c r="K169" s="348"/>
      <c r="L169" s="333"/>
      <c r="M169" s="333"/>
      <c r="N169" s="333"/>
      <c r="O169" s="333"/>
      <c r="P169" s="333"/>
      <c r="Q169" s="333"/>
      <c r="R169" s="333"/>
      <c r="S169" s="333"/>
      <c r="T169" s="333"/>
      <c r="U169" s="333"/>
      <c r="V169" s="333"/>
      <c r="W169" s="333"/>
      <c r="X169" s="333"/>
      <c r="Y169" s="333"/>
      <c r="Z169" s="333"/>
    </row>
    <row r="170" spans="1:26" ht="15.6">
      <c r="A170" s="333"/>
      <c r="B170" s="348"/>
      <c r="C170" s="348"/>
      <c r="D170" s="348"/>
      <c r="E170" s="348"/>
      <c r="F170" s="348"/>
      <c r="G170" s="348"/>
      <c r="H170" s="348"/>
      <c r="I170" s="348"/>
      <c r="J170" s="348"/>
      <c r="K170" s="348"/>
      <c r="L170" s="333"/>
      <c r="M170" s="333"/>
      <c r="N170" s="333"/>
      <c r="O170" s="333"/>
      <c r="P170" s="333"/>
      <c r="Q170" s="333"/>
      <c r="R170" s="333"/>
      <c r="S170" s="333"/>
      <c r="T170" s="333"/>
      <c r="U170" s="333"/>
      <c r="V170" s="333"/>
      <c r="W170" s="333"/>
      <c r="X170" s="333"/>
      <c r="Y170" s="333"/>
      <c r="Z170" s="333"/>
    </row>
    <row r="171" spans="1:26" ht="15.6">
      <c r="A171" s="333"/>
      <c r="B171" s="348"/>
      <c r="C171" s="348"/>
      <c r="D171" s="348"/>
      <c r="E171" s="348"/>
      <c r="F171" s="348"/>
      <c r="G171" s="348"/>
      <c r="H171" s="348"/>
      <c r="I171" s="348"/>
      <c r="J171" s="348"/>
      <c r="K171" s="348"/>
      <c r="L171" s="333"/>
      <c r="M171" s="333"/>
      <c r="N171" s="333"/>
      <c r="O171" s="333"/>
      <c r="P171" s="333"/>
      <c r="Q171" s="333"/>
      <c r="R171" s="333"/>
      <c r="S171" s="333"/>
      <c r="T171" s="333"/>
      <c r="U171" s="333"/>
      <c r="V171" s="333"/>
      <c r="W171" s="333"/>
      <c r="X171" s="333"/>
      <c r="Y171" s="333"/>
      <c r="Z171" s="333"/>
    </row>
    <row r="172" spans="1:26" ht="15.6">
      <c r="A172" s="333"/>
      <c r="B172" s="348"/>
      <c r="C172" s="348"/>
      <c r="D172" s="348"/>
      <c r="E172" s="348"/>
      <c r="F172" s="348"/>
      <c r="G172" s="348"/>
      <c r="H172" s="348"/>
      <c r="I172" s="348"/>
      <c r="J172" s="348"/>
      <c r="K172" s="348"/>
      <c r="L172" s="333"/>
      <c r="M172" s="333"/>
      <c r="N172" s="333"/>
      <c r="O172" s="333"/>
      <c r="P172" s="333"/>
      <c r="Q172" s="333"/>
      <c r="R172" s="333"/>
      <c r="S172" s="333"/>
      <c r="T172" s="333"/>
      <c r="U172" s="333"/>
      <c r="V172" s="333"/>
      <c r="W172" s="333"/>
      <c r="X172" s="333"/>
      <c r="Y172" s="333"/>
      <c r="Z172" s="333"/>
    </row>
    <row r="173" spans="1:26" ht="15.6">
      <c r="A173" s="333"/>
      <c r="B173" s="348"/>
      <c r="C173" s="348"/>
      <c r="D173" s="348"/>
      <c r="E173" s="348"/>
      <c r="F173" s="348"/>
      <c r="G173" s="348"/>
      <c r="H173" s="348"/>
      <c r="I173" s="348"/>
      <c r="J173" s="348"/>
      <c r="K173" s="348"/>
      <c r="L173" s="333"/>
      <c r="M173" s="333"/>
      <c r="N173" s="333"/>
      <c r="O173" s="333"/>
      <c r="P173" s="333"/>
      <c r="Q173" s="333"/>
      <c r="R173" s="333"/>
      <c r="S173" s="333"/>
      <c r="T173" s="333"/>
      <c r="U173" s="333"/>
      <c r="V173" s="333"/>
      <c r="W173" s="333"/>
      <c r="X173" s="333"/>
      <c r="Y173" s="333"/>
      <c r="Z173" s="333"/>
    </row>
    <row r="174" spans="1:26" ht="15.6">
      <c r="A174" s="333"/>
      <c r="B174" s="348"/>
      <c r="C174" s="348"/>
      <c r="D174" s="348"/>
      <c r="E174" s="348"/>
      <c r="F174" s="348"/>
      <c r="G174" s="348"/>
      <c r="H174" s="348"/>
      <c r="I174" s="348"/>
      <c r="J174" s="348"/>
      <c r="K174" s="348"/>
      <c r="L174" s="333"/>
      <c r="M174" s="333"/>
      <c r="N174" s="333"/>
      <c r="O174" s="333"/>
      <c r="P174" s="333"/>
      <c r="Q174" s="333"/>
      <c r="R174" s="333"/>
      <c r="S174" s="333"/>
      <c r="T174" s="333"/>
      <c r="U174" s="333"/>
      <c r="V174" s="333"/>
      <c r="W174" s="333"/>
      <c r="X174" s="333"/>
      <c r="Y174" s="333"/>
      <c r="Z174" s="333"/>
    </row>
    <row r="175" spans="1:26" ht="15.6">
      <c r="A175" s="333"/>
      <c r="B175" s="348"/>
      <c r="C175" s="348"/>
      <c r="D175" s="348"/>
      <c r="E175" s="348"/>
      <c r="F175" s="348"/>
      <c r="G175" s="348"/>
      <c r="H175" s="348"/>
      <c r="I175" s="348"/>
      <c r="J175" s="348"/>
      <c r="K175" s="348"/>
      <c r="L175" s="333"/>
      <c r="M175" s="333"/>
      <c r="N175" s="333"/>
      <c r="O175" s="333"/>
      <c r="P175" s="333"/>
      <c r="Q175" s="333"/>
      <c r="R175" s="333"/>
      <c r="S175" s="333"/>
      <c r="T175" s="333"/>
      <c r="U175" s="333"/>
      <c r="V175" s="333"/>
      <c r="W175" s="333"/>
      <c r="X175" s="333"/>
      <c r="Y175" s="333"/>
      <c r="Z175" s="333"/>
    </row>
    <row r="176" spans="1:26" ht="15.6">
      <c r="A176" s="333"/>
      <c r="B176" s="348"/>
      <c r="C176" s="348"/>
      <c r="D176" s="348"/>
      <c r="E176" s="348"/>
      <c r="F176" s="348"/>
      <c r="G176" s="348"/>
      <c r="H176" s="348"/>
      <c r="I176" s="348"/>
      <c r="J176" s="348"/>
      <c r="K176" s="348"/>
      <c r="L176" s="333"/>
      <c r="M176" s="333"/>
      <c r="N176" s="333"/>
      <c r="O176" s="333"/>
      <c r="P176" s="333"/>
      <c r="Q176" s="333"/>
      <c r="R176" s="333"/>
      <c r="S176" s="333"/>
      <c r="T176" s="333"/>
      <c r="U176" s="333"/>
      <c r="V176" s="333"/>
      <c r="W176" s="333"/>
      <c r="X176" s="333"/>
      <c r="Y176" s="333"/>
      <c r="Z176" s="333"/>
    </row>
    <row r="177" spans="1:26" ht="15.6">
      <c r="A177" s="333"/>
      <c r="B177" s="348"/>
      <c r="C177" s="348"/>
      <c r="D177" s="348"/>
      <c r="E177" s="348"/>
      <c r="F177" s="348"/>
      <c r="G177" s="348"/>
      <c r="H177" s="348"/>
      <c r="I177" s="348"/>
      <c r="J177" s="348"/>
      <c r="K177" s="348"/>
      <c r="L177" s="333"/>
      <c r="M177" s="333"/>
      <c r="N177" s="333"/>
      <c r="O177" s="333"/>
      <c r="P177" s="333"/>
      <c r="Q177" s="333"/>
      <c r="R177" s="333"/>
      <c r="S177" s="333"/>
      <c r="T177" s="333"/>
      <c r="U177" s="333"/>
      <c r="V177" s="333"/>
      <c r="W177" s="333"/>
      <c r="X177" s="333"/>
      <c r="Y177" s="333"/>
      <c r="Z177" s="333"/>
    </row>
    <row r="178" spans="1:26" ht="15.6">
      <c r="A178" s="333"/>
      <c r="B178" s="348"/>
      <c r="C178" s="348"/>
      <c r="D178" s="348"/>
      <c r="E178" s="348"/>
      <c r="F178" s="348"/>
      <c r="G178" s="348"/>
      <c r="H178" s="348"/>
      <c r="I178" s="348"/>
      <c r="J178" s="348"/>
      <c r="K178" s="348"/>
      <c r="L178" s="333"/>
      <c r="M178" s="333"/>
      <c r="N178" s="333"/>
      <c r="O178" s="333"/>
      <c r="P178" s="333"/>
      <c r="Q178" s="333"/>
      <c r="R178" s="333"/>
      <c r="S178" s="333"/>
      <c r="T178" s="333"/>
      <c r="U178" s="333"/>
      <c r="V178" s="333"/>
      <c r="W178" s="333"/>
      <c r="X178" s="333"/>
      <c r="Y178" s="333"/>
      <c r="Z178" s="333"/>
    </row>
    <row r="179" spans="1:26" ht="15.6">
      <c r="A179" s="333"/>
      <c r="B179" s="348"/>
      <c r="C179" s="348"/>
      <c r="D179" s="348"/>
      <c r="E179" s="348"/>
      <c r="F179" s="348"/>
      <c r="G179" s="348"/>
      <c r="H179" s="348"/>
      <c r="I179" s="348"/>
      <c r="J179" s="348"/>
      <c r="K179" s="348"/>
      <c r="L179" s="333"/>
      <c r="M179" s="333"/>
      <c r="N179" s="333"/>
      <c r="O179" s="333"/>
      <c r="P179" s="333"/>
      <c r="Q179" s="333"/>
      <c r="R179" s="333"/>
      <c r="S179" s="333"/>
      <c r="T179" s="333"/>
      <c r="U179" s="333"/>
      <c r="V179" s="333"/>
      <c r="W179" s="333"/>
      <c r="X179" s="333"/>
      <c r="Y179" s="333"/>
      <c r="Z179" s="333"/>
    </row>
    <row r="180" spans="1:26" ht="15.6">
      <c r="A180" s="333"/>
      <c r="B180" s="348"/>
      <c r="C180" s="348"/>
      <c r="D180" s="348"/>
      <c r="E180" s="348"/>
      <c r="F180" s="348"/>
      <c r="G180" s="348"/>
      <c r="H180" s="348"/>
      <c r="I180" s="348"/>
      <c r="J180" s="348"/>
      <c r="K180" s="348"/>
      <c r="L180" s="333"/>
      <c r="M180" s="333"/>
      <c r="N180" s="333"/>
      <c r="O180" s="333"/>
      <c r="P180" s="333"/>
      <c r="Q180" s="333"/>
      <c r="R180" s="333"/>
      <c r="S180" s="333"/>
      <c r="T180" s="333"/>
      <c r="U180" s="333"/>
      <c r="V180" s="333"/>
      <c r="W180" s="333"/>
      <c r="X180" s="333"/>
      <c r="Y180" s="333"/>
      <c r="Z180" s="333"/>
    </row>
    <row r="181" spans="1:26" ht="15.6">
      <c r="A181" s="333"/>
      <c r="B181" s="348"/>
      <c r="C181" s="348"/>
      <c r="D181" s="348"/>
      <c r="E181" s="348"/>
      <c r="F181" s="348"/>
      <c r="G181" s="348"/>
      <c r="H181" s="348"/>
      <c r="I181" s="348"/>
      <c r="J181" s="348"/>
      <c r="K181" s="348"/>
      <c r="L181" s="333"/>
      <c r="M181" s="333"/>
      <c r="N181" s="333"/>
      <c r="O181" s="333"/>
      <c r="P181" s="333"/>
      <c r="Q181" s="333"/>
      <c r="R181" s="333"/>
      <c r="S181" s="333"/>
      <c r="T181" s="333"/>
      <c r="U181" s="333"/>
      <c r="V181" s="333"/>
      <c r="W181" s="333"/>
      <c r="X181" s="333"/>
      <c r="Y181" s="333"/>
      <c r="Z181" s="333"/>
    </row>
    <row r="182" spans="1:26" ht="15.6">
      <c r="A182" s="333"/>
      <c r="B182" s="348"/>
      <c r="C182" s="348"/>
      <c r="D182" s="348"/>
      <c r="E182" s="348"/>
      <c r="F182" s="348"/>
      <c r="G182" s="348"/>
      <c r="H182" s="348"/>
      <c r="I182" s="348"/>
      <c r="J182" s="348"/>
      <c r="K182" s="348"/>
      <c r="L182" s="333"/>
      <c r="M182" s="333"/>
      <c r="N182" s="333"/>
      <c r="O182" s="333"/>
      <c r="P182" s="333"/>
      <c r="Q182" s="333"/>
      <c r="R182" s="333"/>
      <c r="S182" s="333"/>
      <c r="T182" s="333"/>
      <c r="U182" s="333"/>
      <c r="V182" s="333"/>
      <c r="W182" s="333"/>
      <c r="X182" s="333"/>
      <c r="Y182" s="333"/>
      <c r="Z182" s="333"/>
    </row>
    <row r="183" spans="1:26" ht="15.6">
      <c r="A183" s="333"/>
      <c r="B183" s="348"/>
      <c r="C183" s="348"/>
      <c r="D183" s="348"/>
      <c r="E183" s="348"/>
      <c r="F183" s="348"/>
      <c r="G183" s="348"/>
      <c r="H183" s="348"/>
      <c r="I183" s="348"/>
      <c r="J183" s="348"/>
      <c r="K183" s="348"/>
      <c r="L183" s="333"/>
      <c r="M183" s="333"/>
      <c r="N183" s="333"/>
      <c r="O183" s="333"/>
      <c r="P183" s="333"/>
      <c r="Q183" s="333"/>
      <c r="R183" s="333"/>
      <c r="S183" s="333"/>
      <c r="T183" s="333"/>
      <c r="U183" s="333"/>
      <c r="V183" s="333"/>
      <c r="W183" s="333"/>
      <c r="X183" s="333"/>
      <c r="Y183" s="333"/>
      <c r="Z183" s="333"/>
    </row>
    <row r="184" spans="1:26" ht="15.6">
      <c r="A184" s="333"/>
      <c r="B184" s="348"/>
      <c r="C184" s="348"/>
      <c r="D184" s="348"/>
      <c r="E184" s="348"/>
      <c r="F184" s="348"/>
      <c r="G184" s="348"/>
      <c r="H184" s="348"/>
      <c r="I184" s="348"/>
      <c r="J184" s="348"/>
      <c r="K184" s="348"/>
      <c r="L184" s="333"/>
      <c r="M184" s="333"/>
      <c r="N184" s="333"/>
      <c r="O184" s="333"/>
      <c r="P184" s="333"/>
      <c r="Q184" s="333"/>
      <c r="R184" s="333"/>
      <c r="S184" s="333"/>
      <c r="T184" s="333"/>
      <c r="U184" s="333"/>
      <c r="V184" s="333"/>
      <c r="W184" s="333"/>
      <c r="X184" s="333"/>
      <c r="Y184" s="333"/>
      <c r="Z184" s="333"/>
    </row>
    <row r="185" spans="1:26" ht="15.6">
      <c r="A185" s="333"/>
      <c r="B185" s="348"/>
      <c r="C185" s="348"/>
      <c r="D185" s="348"/>
      <c r="E185" s="348"/>
      <c r="F185" s="348"/>
      <c r="G185" s="348"/>
      <c r="H185" s="348"/>
      <c r="I185" s="348"/>
      <c r="J185" s="348"/>
      <c r="K185" s="348"/>
      <c r="L185" s="333"/>
      <c r="M185" s="333"/>
      <c r="N185" s="333"/>
      <c r="O185" s="333"/>
      <c r="P185" s="333"/>
      <c r="Q185" s="333"/>
      <c r="R185" s="333"/>
      <c r="S185" s="333"/>
      <c r="T185" s="333"/>
      <c r="U185" s="333"/>
      <c r="V185" s="333"/>
      <c r="W185" s="333"/>
      <c r="X185" s="333"/>
      <c r="Y185" s="333"/>
      <c r="Z185" s="333"/>
    </row>
    <row r="186" spans="1:26" ht="15.6">
      <c r="A186" s="333"/>
      <c r="B186" s="348"/>
      <c r="C186" s="348"/>
      <c r="D186" s="348"/>
      <c r="E186" s="348"/>
      <c r="F186" s="348"/>
      <c r="G186" s="348"/>
      <c r="H186" s="348"/>
      <c r="I186" s="348"/>
      <c r="J186" s="348"/>
      <c r="K186" s="348"/>
      <c r="L186" s="333"/>
      <c r="M186" s="333"/>
      <c r="N186" s="333"/>
      <c r="O186" s="333"/>
      <c r="P186" s="333"/>
      <c r="Q186" s="333"/>
      <c r="R186" s="333"/>
      <c r="S186" s="333"/>
      <c r="T186" s="333"/>
      <c r="U186" s="333"/>
      <c r="V186" s="333"/>
      <c r="W186" s="333"/>
      <c r="X186" s="333"/>
      <c r="Y186" s="333"/>
      <c r="Z186" s="333"/>
    </row>
    <row r="187" spans="1:26" ht="15.6">
      <c r="A187" s="333"/>
      <c r="B187" s="348"/>
      <c r="C187" s="348"/>
      <c r="D187" s="348"/>
      <c r="E187" s="348"/>
      <c r="F187" s="348"/>
      <c r="G187" s="348"/>
      <c r="H187" s="348"/>
      <c r="I187" s="348"/>
      <c r="J187" s="348"/>
      <c r="K187" s="348"/>
      <c r="L187" s="333"/>
      <c r="M187" s="333"/>
      <c r="N187" s="333"/>
      <c r="O187" s="333"/>
      <c r="P187" s="333"/>
      <c r="Q187" s="333"/>
      <c r="R187" s="333"/>
      <c r="S187" s="333"/>
      <c r="T187" s="333"/>
      <c r="U187" s="333"/>
      <c r="V187" s="333"/>
      <c r="W187" s="333"/>
      <c r="X187" s="333"/>
      <c r="Y187" s="333"/>
      <c r="Z187" s="333"/>
    </row>
    <row r="188" spans="1:26" ht="15.6">
      <c r="A188" s="333"/>
      <c r="B188" s="348"/>
      <c r="C188" s="348"/>
      <c r="D188" s="348"/>
      <c r="E188" s="348"/>
      <c r="F188" s="348"/>
      <c r="G188" s="348"/>
      <c r="H188" s="348"/>
      <c r="I188" s="348"/>
      <c r="J188" s="348"/>
      <c r="K188" s="348"/>
      <c r="L188" s="333"/>
      <c r="M188" s="333"/>
      <c r="N188" s="333"/>
      <c r="O188" s="333"/>
      <c r="P188" s="333"/>
      <c r="Q188" s="333"/>
      <c r="R188" s="333"/>
      <c r="S188" s="333"/>
      <c r="T188" s="333"/>
      <c r="U188" s="333"/>
      <c r="V188" s="333"/>
      <c r="W188" s="333"/>
      <c r="X188" s="333"/>
      <c r="Y188" s="333"/>
      <c r="Z188" s="333"/>
    </row>
    <row r="189" spans="1:26" ht="15.6">
      <c r="A189" s="333"/>
      <c r="B189" s="348"/>
      <c r="C189" s="348"/>
      <c r="D189" s="348"/>
      <c r="E189" s="348"/>
      <c r="F189" s="348"/>
      <c r="G189" s="348"/>
      <c r="H189" s="348"/>
      <c r="I189" s="348"/>
      <c r="J189" s="348"/>
      <c r="K189" s="348"/>
      <c r="L189" s="333"/>
      <c r="M189" s="333"/>
      <c r="N189" s="333"/>
      <c r="O189" s="333"/>
      <c r="P189" s="333"/>
      <c r="Q189" s="333"/>
      <c r="R189" s="333"/>
      <c r="S189" s="333"/>
      <c r="T189" s="333"/>
      <c r="U189" s="333"/>
      <c r="V189" s="333"/>
      <c r="W189" s="333"/>
      <c r="X189" s="333"/>
      <c r="Y189" s="333"/>
      <c r="Z189" s="333"/>
    </row>
    <row r="190" spans="1:26" ht="15.6">
      <c r="A190" s="333"/>
      <c r="B190" s="348"/>
      <c r="C190" s="348"/>
      <c r="D190" s="348"/>
      <c r="E190" s="348"/>
      <c r="F190" s="348"/>
      <c r="G190" s="348"/>
      <c r="H190" s="348"/>
      <c r="I190" s="348"/>
      <c r="J190" s="348"/>
      <c r="K190" s="348"/>
      <c r="L190" s="333"/>
      <c r="M190" s="333"/>
      <c r="N190" s="333"/>
      <c r="O190" s="333"/>
      <c r="P190" s="333"/>
      <c r="Q190" s="333"/>
      <c r="R190" s="333"/>
      <c r="S190" s="333"/>
      <c r="T190" s="333"/>
      <c r="U190" s="333"/>
      <c r="V190" s="333"/>
      <c r="W190" s="333"/>
      <c r="X190" s="333"/>
      <c r="Y190" s="333"/>
      <c r="Z190" s="333"/>
    </row>
    <row r="191" spans="1:26" ht="15.6">
      <c r="A191" s="333"/>
      <c r="B191" s="348"/>
      <c r="C191" s="348"/>
      <c r="D191" s="348"/>
      <c r="E191" s="348"/>
      <c r="F191" s="348"/>
      <c r="G191" s="348"/>
      <c r="H191" s="348"/>
      <c r="I191" s="348"/>
      <c r="J191" s="348"/>
      <c r="K191" s="348"/>
      <c r="L191" s="333"/>
      <c r="M191" s="333"/>
      <c r="N191" s="333"/>
      <c r="O191" s="333"/>
      <c r="P191" s="333"/>
      <c r="Q191" s="333"/>
      <c r="R191" s="333"/>
      <c r="S191" s="333"/>
      <c r="T191" s="333"/>
      <c r="U191" s="333"/>
      <c r="V191" s="333"/>
      <c r="W191" s="333"/>
      <c r="X191" s="333"/>
      <c r="Y191" s="333"/>
      <c r="Z191" s="333"/>
    </row>
    <row r="192" spans="1:26" ht="15.6">
      <c r="A192" s="333"/>
      <c r="B192" s="348"/>
      <c r="C192" s="348"/>
      <c r="D192" s="348"/>
      <c r="E192" s="348"/>
      <c r="F192" s="348"/>
      <c r="G192" s="348"/>
      <c r="H192" s="348"/>
      <c r="I192" s="348"/>
      <c r="J192" s="348"/>
      <c r="K192" s="348"/>
      <c r="L192" s="333"/>
      <c r="M192" s="333"/>
      <c r="N192" s="333"/>
      <c r="O192" s="333"/>
      <c r="P192" s="333"/>
      <c r="Q192" s="333"/>
      <c r="R192" s="333"/>
      <c r="S192" s="333"/>
      <c r="T192" s="333"/>
      <c r="U192" s="333"/>
      <c r="V192" s="333"/>
      <c r="W192" s="333"/>
      <c r="X192" s="333"/>
      <c r="Y192" s="333"/>
      <c r="Z192" s="333"/>
    </row>
    <row r="193" spans="1:26" ht="15.6">
      <c r="A193" s="333"/>
      <c r="B193" s="348"/>
      <c r="C193" s="348"/>
      <c r="D193" s="348"/>
      <c r="E193" s="348"/>
      <c r="F193" s="348"/>
      <c r="G193" s="348"/>
      <c r="H193" s="348"/>
      <c r="I193" s="348"/>
      <c r="J193" s="348"/>
      <c r="K193" s="348"/>
      <c r="L193" s="333"/>
      <c r="M193" s="333"/>
      <c r="N193" s="333"/>
      <c r="O193" s="333"/>
      <c r="P193" s="333"/>
      <c r="Q193" s="333"/>
      <c r="R193" s="333"/>
      <c r="S193" s="333"/>
      <c r="T193" s="333"/>
      <c r="U193" s="333"/>
      <c r="V193" s="333"/>
      <c r="W193" s="333"/>
      <c r="X193" s="333"/>
      <c r="Y193" s="333"/>
      <c r="Z193" s="333"/>
    </row>
    <row r="194" spans="1:26" ht="15.6">
      <c r="A194" s="333"/>
      <c r="B194" s="348"/>
      <c r="C194" s="348"/>
      <c r="D194" s="348"/>
      <c r="E194" s="348"/>
      <c r="F194" s="348"/>
      <c r="G194" s="348"/>
      <c r="H194" s="348"/>
      <c r="I194" s="348"/>
      <c r="J194" s="348"/>
      <c r="K194" s="348"/>
      <c r="L194" s="333"/>
      <c r="M194" s="333"/>
      <c r="N194" s="333"/>
      <c r="O194" s="333"/>
      <c r="P194" s="333"/>
      <c r="Q194" s="333"/>
      <c r="R194" s="333"/>
      <c r="S194" s="333"/>
      <c r="T194" s="333"/>
      <c r="U194" s="333"/>
      <c r="V194" s="333"/>
      <c r="W194" s="333"/>
      <c r="X194" s="333"/>
      <c r="Y194" s="333"/>
      <c r="Z194" s="333"/>
    </row>
    <row r="195" spans="1:26" ht="15.6">
      <c r="A195" s="333"/>
      <c r="B195" s="348"/>
      <c r="C195" s="348"/>
      <c r="D195" s="348"/>
      <c r="E195" s="348"/>
      <c r="F195" s="348"/>
      <c r="G195" s="348"/>
      <c r="H195" s="348"/>
      <c r="I195" s="348"/>
      <c r="J195" s="348"/>
      <c r="K195" s="348"/>
      <c r="L195" s="333"/>
      <c r="M195" s="333"/>
      <c r="N195" s="333"/>
      <c r="O195" s="333"/>
      <c r="P195" s="333"/>
      <c r="Q195" s="333"/>
      <c r="R195" s="333"/>
      <c r="S195" s="333"/>
      <c r="T195" s="333"/>
      <c r="U195" s="333"/>
      <c r="V195" s="333"/>
      <c r="W195" s="333"/>
      <c r="X195" s="333"/>
      <c r="Y195" s="333"/>
      <c r="Z195" s="333"/>
    </row>
    <row r="196" spans="1:26" ht="15.6">
      <c r="A196" s="333"/>
      <c r="B196" s="348"/>
      <c r="C196" s="348"/>
      <c r="D196" s="348"/>
      <c r="E196" s="348"/>
      <c r="F196" s="348"/>
      <c r="G196" s="348"/>
      <c r="H196" s="348"/>
      <c r="I196" s="348"/>
      <c r="J196" s="348"/>
      <c r="K196" s="348"/>
      <c r="L196" s="333"/>
      <c r="M196" s="333"/>
      <c r="N196" s="333"/>
      <c r="O196" s="333"/>
      <c r="P196" s="333"/>
      <c r="Q196" s="333"/>
      <c r="R196" s="333"/>
      <c r="S196" s="333"/>
      <c r="T196" s="333"/>
      <c r="U196" s="333"/>
      <c r="V196" s="333"/>
      <c r="W196" s="333"/>
      <c r="X196" s="333"/>
      <c r="Y196" s="333"/>
      <c r="Z196" s="333"/>
    </row>
    <row r="197" spans="1:26" ht="15.6">
      <c r="A197" s="333"/>
      <c r="B197" s="348"/>
      <c r="C197" s="348"/>
      <c r="D197" s="348"/>
      <c r="E197" s="348"/>
      <c r="F197" s="348"/>
      <c r="G197" s="348"/>
      <c r="H197" s="348"/>
      <c r="I197" s="348"/>
      <c r="J197" s="348"/>
      <c r="K197" s="348"/>
      <c r="L197" s="333"/>
      <c r="M197" s="333"/>
      <c r="N197" s="333"/>
      <c r="O197" s="333"/>
      <c r="P197" s="333"/>
      <c r="Q197" s="333"/>
      <c r="R197" s="333"/>
      <c r="S197" s="333"/>
      <c r="T197" s="333"/>
      <c r="U197" s="333"/>
      <c r="V197" s="333"/>
      <c r="W197" s="333"/>
      <c r="X197" s="333"/>
      <c r="Y197" s="333"/>
      <c r="Z197" s="333"/>
    </row>
    <row r="198" spans="1:26" ht="15.6">
      <c r="A198" s="333"/>
      <c r="B198" s="348"/>
      <c r="C198" s="348"/>
      <c r="D198" s="348"/>
      <c r="E198" s="348"/>
      <c r="F198" s="348"/>
      <c r="G198" s="348"/>
      <c r="H198" s="348"/>
      <c r="I198" s="348"/>
      <c r="J198" s="348"/>
      <c r="K198" s="348"/>
      <c r="L198" s="333"/>
      <c r="M198" s="333"/>
      <c r="N198" s="333"/>
      <c r="O198" s="333"/>
      <c r="P198" s="333"/>
      <c r="Q198" s="333"/>
      <c r="R198" s="333"/>
      <c r="S198" s="333"/>
      <c r="T198" s="333"/>
      <c r="U198" s="333"/>
      <c r="V198" s="333"/>
      <c r="W198" s="333"/>
      <c r="X198" s="333"/>
      <c r="Y198" s="333"/>
      <c r="Z198" s="333"/>
    </row>
    <row r="199" spans="1:26" ht="15.6">
      <c r="A199" s="333"/>
      <c r="B199" s="348"/>
      <c r="C199" s="348"/>
      <c r="D199" s="348"/>
      <c r="E199" s="348"/>
      <c r="F199" s="348"/>
      <c r="G199" s="348"/>
      <c r="H199" s="348"/>
      <c r="I199" s="348"/>
      <c r="J199" s="348"/>
      <c r="K199" s="348"/>
      <c r="L199" s="333"/>
      <c r="M199" s="333"/>
      <c r="N199" s="333"/>
      <c r="O199" s="333"/>
      <c r="P199" s="333"/>
      <c r="Q199" s="333"/>
      <c r="R199" s="333"/>
      <c r="S199" s="333"/>
      <c r="T199" s="333"/>
      <c r="U199" s="333"/>
      <c r="V199" s="333"/>
      <c r="W199" s="333"/>
      <c r="X199" s="333"/>
      <c r="Y199" s="333"/>
      <c r="Z199" s="333"/>
    </row>
    <row r="200" spans="1:26" ht="15.6">
      <c r="A200" s="333"/>
      <c r="B200" s="348"/>
      <c r="C200" s="348"/>
      <c r="D200" s="348"/>
      <c r="E200" s="348"/>
      <c r="F200" s="348"/>
      <c r="G200" s="348"/>
      <c r="H200" s="348"/>
      <c r="I200" s="348"/>
      <c r="J200" s="348"/>
      <c r="K200" s="348"/>
      <c r="L200" s="333"/>
      <c r="M200" s="333"/>
      <c r="N200" s="333"/>
      <c r="O200" s="333"/>
      <c r="P200" s="333"/>
      <c r="Q200" s="333"/>
      <c r="R200" s="333"/>
      <c r="S200" s="333"/>
      <c r="T200" s="333"/>
      <c r="U200" s="333"/>
      <c r="V200" s="333"/>
      <c r="W200" s="333"/>
      <c r="X200" s="333"/>
      <c r="Y200" s="333"/>
      <c r="Z200" s="333"/>
    </row>
    <row r="201" spans="1:26" ht="15.6">
      <c r="A201" s="333"/>
      <c r="B201" s="348"/>
      <c r="C201" s="348"/>
      <c r="D201" s="348"/>
      <c r="E201" s="348"/>
      <c r="F201" s="348"/>
      <c r="G201" s="348"/>
      <c r="H201" s="348"/>
      <c r="I201" s="348"/>
      <c r="J201" s="348"/>
      <c r="K201" s="348"/>
      <c r="L201" s="333"/>
      <c r="M201" s="333"/>
      <c r="N201" s="333"/>
      <c r="O201" s="333"/>
      <c r="P201" s="333"/>
      <c r="Q201" s="333"/>
      <c r="R201" s="333"/>
      <c r="S201" s="333"/>
      <c r="T201" s="333"/>
      <c r="U201" s="333"/>
      <c r="V201" s="333"/>
      <c r="W201" s="333"/>
      <c r="X201" s="333"/>
      <c r="Y201" s="333"/>
      <c r="Z201" s="333"/>
    </row>
    <row r="202" spans="1:26" ht="15.6">
      <c r="A202" s="333"/>
      <c r="B202" s="348"/>
      <c r="C202" s="348"/>
      <c r="D202" s="348"/>
      <c r="E202" s="348"/>
      <c r="F202" s="348"/>
      <c r="G202" s="348"/>
      <c r="H202" s="348"/>
      <c r="I202" s="348"/>
      <c r="J202" s="348"/>
      <c r="K202" s="348"/>
      <c r="L202" s="333"/>
      <c r="M202" s="333"/>
      <c r="N202" s="333"/>
      <c r="O202" s="333"/>
      <c r="P202" s="333"/>
      <c r="Q202" s="333"/>
      <c r="R202" s="333"/>
      <c r="S202" s="333"/>
      <c r="T202" s="333"/>
      <c r="U202" s="333"/>
      <c r="V202" s="333"/>
      <c r="W202" s="333"/>
      <c r="X202" s="333"/>
      <c r="Y202" s="333"/>
      <c r="Z202" s="333"/>
    </row>
    <row r="203" spans="1:26" ht="15.6">
      <c r="A203" s="333"/>
      <c r="B203" s="348"/>
      <c r="C203" s="348"/>
      <c r="D203" s="348"/>
      <c r="E203" s="348"/>
      <c r="F203" s="348"/>
      <c r="G203" s="348"/>
      <c r="H203" s="348"/>
      <c r="I203" s="348"/>
      <c r="J203" s="348"/>
      <c r="K203" s="348"/>
      <c r="L203" s="333"/>
      <c r="M203" s="333"/>
      <c r="N203" s="333"/>
      <c r="O203" s="333"/>
      <c r="P203" s="333"/>
      <c r="Q203" s="333"/>
      <c r="R203" s="333"/>
      <c r="S203" s="333"/>
      <c r="T203" s="333"/>
      <c r="U203" s="333"/>
      <c r="V203" s="333"/>
      <c r="W203" s="333"/>
      <c r="X203" s="333"/>
      <c r="Y203" s="333"/>
      <c r="Z203" s="333"/>
    </row>
    <row r="204" spans="1:26" ht="15.6">
      <c r="A204" s="333"/>
      <c r="B204" s="348"/>
      <c r="C204" s="348"/>
      <c r="D204" s="348"/>
      <c r="E204" s="348"/>
      <c r="F204" s="348"/>
      <c r="G204" s="348"/>
      <c r="H204" s="348"/>
      <c r="I204" s="348"/>
      <c r="J204" s="348"/>
      <c r="K204" s="348"/>
      <c r="L204" s="333"/>
      <c r="M204" s="333"/>
      <c r="N204" s="333"/>
      <c r="O204" s="333"/>
      <c r="P204" s="333"/>
      <c r="Q204" s="333"/>
      <c r="R204" s="333"/>
      <c r="S204" s="333"/>
      <c r="T204" s="333"/>
      <c r="U204" s="333"/>
      <c r="V204" s="333"/>
      <c r="W204" s="333"/>
      <c r="X204" s="333"/>
      <c r="Y204" s="333"/>
      <c r="Z204" s="333"/>
    </row>
    <row r="205" spans="1:26" ht="15.6">
      <c r="A205" s="333"/>
      <c r="B205" s="348"/>
      <c r="C205" s="348"/>
      <c r="D205" s="348"/>
      <c r="E205" s="348"/>
      <c r="F205" s="348"/>
      <c r="G205" s="348"/>
      <c r="H205" s="348"/>
      <c r="I205" s="348"/>
      <c r="J205" s="348"/>
      <c r="K205" s="348"/>
      <c r="L205" s="333"/>
      <c r="M205" s="333"/>
      <c r="N205" s="333"/>
      <c r="O205" s="333"/>
      <c r="P205" s="333"/>
      <c r="Q205" s="333"/>
      <c r="R205" s="333"/>
      <c r="S205" s="333"/>
      <c r="T205" s="333"/>
      <c r="U205" s="333"/>
      <c r="V205" s="333"/>
      <c r="W205" s="333"/>
      <c r="X205" s="333"/>
      <c r="Y205" s="333"/>
      <c r="Z205" s="333"/>
    </row>
    <row r="206" spans="1:26" ht="15.6">
      <c r="A206" s="333"/>
      <c r="B206" s="348"/>
      <c r="C206" s="348"/>
      <c r="D206" s="348"/>
      <c r="E206" s="348"/>
      <c r="F206" s="348"/>
      <c r="G206" s="348"/>
      <c r="H206" s="348"/>
      <c r="I206" s="348"/>
      <c r="J206" s="348"/>
      <c r="K206" s="348"/>
      <c r="L206" s="333"/>
      <c r="M206" s="333"/>
      <c r="N206" s="333"/>
      <c r="O206" s="333"/>
      <c r="P206" s="333"/>
      <c r="Q206" s="333"/>
      <c r="R206" s="333"/>
      <c r="S206" s="333"/>
      <c r="T206" s="333"/>
      <c r="U206" s="333"/>
      <c r="V206" s="333"/>
      <c r="W206" s="333"/>
      <c r="X206" s="333"/>
      <c r="Y206" s="333"/>
      <c r="Z206" s="333"/>
    </row>
    <row r="207" spans="1:26" ht="15.6">
      <c r="A207" s="333"/>
      <c r="B207" s="348"/>
      <c r="C207" s="348"/>
      <c r="D207" s="348"/>
      <c r="E207" s="348"/>
      <c r="F207" s="348"/>
      <c r="G207" s="348"/>
      <c r="H207" s="348"/>
      <c r="I207" s="348"/>
      <c r="J207" s="348"/>
      <c r="K207" s="348"/>
      <c r="L207" s="333"/>
      <c r="M207" s="333"/>
      <c r="N207" s="333"/>
      <c r="O207" s="333"/>
      <c r="P207" s="333"/>
      <c r="Q207" s="333"/>
      <c r="R207" s="333"/>
      <c r="S207" s="333"/>
      <c r="T207" s="333"/>
      <c r="U207" s="333"/>
      <c r="V207" s="333"/>
      <c r="W207" s="333"/>
      <c r="X207" s="333"/>
      <c r="Y207" s="333"/>
      <c r="Z207" s="333"/>
    </row>
    <row r="208" spans="1:26" ht="15.6">
      <c r="A208" s="333"/>
      <c r="B208" s="348"/>
      <c r="C208" s="348"/>
      <c r="D208" s="348"/>
      <c r="E208" s="348"/>
      <c r="F208" s="348"/>
      <c r="G208" s="348"/>
      <c r="H208" s="348"/>
      <c r="I208" s="348"/>
      <c r="J208" s="348"/>
      <c r="K208" s="348"/>
      <c r="L208" s="333"/>
      <c r="M208" s="333"/>
      <c r="N208" s="333"/>
      <c r="O208" s="333"/>
      <c r="P208" s="333"/>
      <c r="Q208" s="333"/>
      <c r="R208" s="333"/>
      <c r="S208" s="333"/>
      <c r="T208" s="333"/>
      <c r="U208" s="333"/>
      <c r="V208" s="333"/>
      <c r="W208" s="333"/>
      <c r="X208" s="333"/>
      <c r="Y208" s="333"/>
      <c r="Z208" s="333"/>
    </row>
    <row r="209" spans="1:26" ht="15.6">
      <c r="A209" s="333"/>
      <c r="B209" s="348"/>
      <c r="C209" s="348"/>
      <c r="D209" s="348"/>
      <c r="E209" s="348"/>
      <c r="F209" s="348"/>
      <c r="G209" s="348"/>
      <c r="H209" s="348"/>
      <c r="I209" s="348"/>
      <c r="J209" s="348"/>
      <c r="K209" s="348"/>
      <c r="L209" s="333"/>
      <c r="M209" s="333"/>
      <c r="N209" s="333"/>
      <c r="O209" s="333"/>
      <c r="P209" s="333"/>
      <c r="Q209" s="333"/>
      <c r="R209" s="333"/>
      <c r="S209" s="333"/>
      <c r="T209" s="333"/>
      <c r="U209" s="333"/>
      <c r="V209" s="333"/>
      <c r="W209" s="333"/>
      <c r="X209" s="333"/>
      <c r="Y209" s="333"/>
      <c r="Z209" s="333"/>
    </row>
    <row r="210" spans="1:26" ht="15.6">
      <c r="A210" s="333"/>
      <c r="B210" s="348"/>
      <c r="C210" s="348"/>
      <c r="D210" s="348"/>
      <c r="E210" s="348"/>
      <c r="F210" s="348"/>
      <c r="G210" s="348"/>
      <c r="H210" s="348"/>
      <c r="I210" s="348"/>
      <c r="J210" s="348"/>
      <c r="K210" s="348"/>
      <c r="L210" s="333"/>
      <c r="M210" s="333"/>
      <c r="N210" s="333"/>
      <c r="O210" s="333"/>
      <c r="P210" s="333"/>
      <c r="Q210" s="333"/>
      <c r="R210" s="333"/>
      <c r="S210" s="333"/>
      <c r="T210" s="333"/>
      <c r="U210" s="333"/>
      <c r="V210" s="333"/>
      <c r="W210" s="333"/>
      <c r="X210" s="333"/>
      <c r="Y210" s="333"/>
      <c r="Z210" s="333"/>
    </row>
    <row r="211" spans="1:26" ht="15.6">
      <c r="A211" s="333"/>
      <c r="B211" s="348"/>
      <c r="C211" s="348"/>
      <c r="D211" s="348"/>
      <c r="E211" s="348"/>
      <c r="F211" s="348"/>
      <c r="G211" s="348"/>
      <c r="H211" s="348"/>
      <c r="I211" s="348"/>
      <c r="J211" s="348"/>
      <c r="K211" s="348"/>
      <c r="L211" s="333"/>
      <c r="M211" s="333"/>
      <c r="N211" s="333"/>
      <c r="O211" s="333"/>
      <c r="P211" s="333"/>
      <c r="Q211" s="333"/>
      <c r="R211" s="333"/>
      <c r="S211" s="333"/>
      <c r="T211" s="333"/>
      <c r="U211" s="333"/>
      <c r="V211" s="333"/>
      <c r="W211" s="333"/>
      <c r="X211" s="333"/>
      <c r="Y211" s="333"/>
      <c r="Z211" s="333"/>
    </row>
    <row r="212" spans="1:26" ht="15.6">
      <c r="A212" s="333"/>
      <c r="B212" s="348"/>
      <c r="C212" s="348"/>
      <c r="D212" s="348"/>
      <c r="E212" s="348"/>
      <c r="F212" s="348"/>
      <c r="G212" s="348"/>
      <c r="H212" s="348"/>
      <c r="I212" s="348"/>
      <c r="J212" s="348"/>
      <c r="K212" s="348"/>
      <c r="L212" s="333"/>
      <c r="M212" s="333"/>
      <c r="N212" s="333"/>
      <c r="O212" s="333"/>
      <c r="P212" s="333"/>
      <c r="Q212" s="333"/>
      <c r="R212" s="333"/>
      <c r="S212" s="333"/>
      <c r="T212" s="333"/>
      <c r="U212" s="333"/>
      <c r="V212" s="333"/>
      <c r="W212" s="333"/>
      <c r="X212" s="333"/>
      <c r="Y212" s="333"/>
      <c r="Z212" s="333"/>
    </row>
    <row r="213" spans="1:26" ht="15.6">
      <c r="A213" s="333"/>
      <c r="B213" s="348"/>
      <c r="C213" s="348"/>
      <c r="D213" s="348"/>
      <c r="E213" s="348"/>
      <c r="F213" s="348"/>
      <c r="G213" s="348"/>
      <c r="H213" s="348"/>
      <c r="I213" s="348"/>
      <c r="J213" s="348"/>
      <c r="K213" s="348"/>
      <c r="L213" s="333"/>
      <c r="M213" s="333"/>
      <c r="N213" s="333"/>
      <c r="O213" s="333"/>
      <c r="P213" s="333"/>
      <c r="Q213" s="333"/>
      <c r="R213" s="333"/>
      <c r="S213" s="333"/>
      <c r="T213" s="333"/>
      <c r="U213" s="333"/>
      <c r="V213" s="333"/>
      <c r="W213" s="333"/>
      <c r="X213" s="333"/>
      <c r="Y213" s="333"/>
      <c r="Z213" s="333"/>
    </row>
    <row r="214" spans="1:26" ht="15.6">
      <c r="A214" s="333"/>
      <c r="B214" s="348"/>
      <c r="C214" s="348"/>
      <c r="D214" s="348"/>
      <c r="E214" s="348"/>
      <c r="F214" s="348"/>
      <c r="G214" s="348"/>
      <c r="H214" s="348"/>
      <c r="I214" s="348"/>
      <c r="J214" s="348"/>
      <c r="K214" s="348"/>
      <c r="L214" s="333"/>
      <c r="M214" s="333"/>
      <c r="N214" s="333"/>
      <c r="O214" s="333"/>
      <c r="P214" s="333"/>
      <c r="Q214" s="333"/>
      <c r="R214" s="333"/>
      <c r="S214" s="333"/>
      <c r="T214" s="333"/>
      <c r="U214" s="333"/>
      <c r="V214" s="333"/>
      <c r="W214" s="333"/>
      <c r="X214" s="333"/>
      <c r="Y214" s="333"/>
      <c r="Z214" s="333"/>
    </row>
    <row r="215" spans="1:26" ht="15.6">
      <c r="A215" s="333"/>
      <c r="B215" s="348"/>
      <c r="C215" s="348"/>
      <c r="D215" s="348"/>
      <c r="E215" s="348"/>
      <c r="F215" s="348"/>
      <c r="G215" s="348"/>
      <c r="H215" s="348"/>
      <c r="I215" s="348"/>
      <c r="J215" s="348"/>
      <c r="K215" s="348"/>
      <c r="L215" s="333"/>
      <c r="M215" s="333"/>
      <c r="N215" s="333"/>
      <c r="O215" s="333"/>
      <c r="P215" s="333"/>
      <c r="Q215" s="333"/>
      <c r="R215" s="333"/>
      <c r="S215" s="333"/>
      <c r="T215" s="333"/>
      <c r="U215" s="333"/>
      <c r="V215" s="333"/>
      <c r="W215" s="333"/>
      <c r="X215" s="333"/>
      <c r="Y215" s="333"/>
      <c r="Z215" s="333"/>
    </row>
    <row r="216" spans="1:26" ht="15.6">
      <c r="A216" s="333"/>
      <c r="B216" s="348"/>
      <c r="C216" s="348"/>
      <c r="D216" s="348"/>
      <c r="E216" s="348"/>
      <c r="F216" s="348"/>
      <c r="G216" s="348"/>
      <c r="H216" s="348"/>
      <c r="I216" s="348"/>
      <c r="J216" s="348"/>
      <c r="K216" s="348"/>
      <c r="L216" s="333"/>
      <c r="M216" s="333"/>
      <c r="N216" s="333"/>
      <c r="O216" s="333"/>
      <c r="P216" s="333"/>
      <c r="Q216" s="333"/>
      <c r="R216" s="333"/>
      <c r="S216" s="333"/>
      <c r="T216" s="333"/>
      <c r="U216" s="333"/>
      <c r="V216" s="333"/>
      <c r="W216" s="333"/>
      <c r="X216" s="333"/>
      <c r="Y216" s="333"/>
      <c r="Z216" s="333"/>
    </row>
    <row r="217" spans="1:26" ht="15.6">
      <c r="A217" s="333"/>
      <c r="B217" s="348"/>
      <c r="C217" s="348"/>
      <c r="D217" s="348"/>
      <c r="E217" s="348"/>
      <c r="F217" s="348"/>
      <c r="G217" s="348"/>
      <c r="H217" s="348"/>
      <c r="I217" s="348"/>
      <c r="J217" s="348"/>
      <c r="K217" s="348"/>
      <c r="L217" s="333"/>
      <c r="M217" s="333"/>
      <c r="N217" s="333"/>
      <c r="O217" s="333"/>
      <c r="P217" s="333"/>
      <c r="Q217" s="333"/>
      <c r="R217" s="333"/>
      <c r="S217" s="333"/>
      <c r="T217" s="333"/>
      <c r="U217" s="333"/>
      <c r="V217" s="333"/>
      <c r="W217" s="333"/>
      <c r="X217" s="333"/>
      <c r="Y217" s="333"/>
      <c r="Z217" s="333"/>
    </row>
    <row r="218" spans="1:26" ht="15.6">
      <c r="A218" s="333"/>
      <c r="B218" s="348"/>
      <c r="C218" s="348"/>
      <c r="D218" s="348"/>
      <c r="E218" s="348"/>
      <c r="F218" s="348"/>
      <c r="G218" s="348"/>
      <c r="H218" s="348"/>
      <c r="I218" s="348"/>
      <c r="J218" s="348"/>
      <c r="K218" s="348"/>
      <c r="L218" s="333"/>
      <c r="M218" s="333"/>
      <c r="N218" s="333"/>
      <c r="O218" s="333"/>
      <c r="P218" s="333"/>
      <c r="Q218" s="333"/>
      <c r="R218" s="333"/>
      <c r="S218" s="333"/>
      <c r="T218" s="333"/>
      <c r="U218" s="333"/>
      <c r="V218" s="333"/>
      <c r="W218" s="333"/>
      <c r="X218" s="333"/>
      <c r="Y218" s="333"/>
      <c r="Z218" s="333"/>
    </row>
    <row r="219" spans="1:26" ht="15.6">
      <c r="A219" s="333"/>
      <c r="B219" s="348"/>
      <c r="C219" s="348"/>
      <c r="D219" s="348"/>
      <c r="E219" s="348"/>
      <c r="F219" s="348"/>
      <c r="G219" s="348"/>
      <c r="H219" s="348"/>
      <c r="I219" s="348"/>
      <c r="J219" s="348"/>
      <c r="K219" s="348"/>
      <c r="L219" s="333"/>
      <c r="M219" s="333"/>
      <c r="N219" s="333"/>
      <c r="O219" s="333"/>
      <c r="P219" s="333"/>
      <c r="Q219" s="333"/>
      <c r="R219" s="333"/>
      <c r="S219" s="333"/>
      <c r="T219" s="333"/>
      <c r="U219" s="333"/>
      <c r="V219" s="333"/>
      <c r="W219" s="333"/>
      <c r="X219" s="333"/>
      <c r="Y219" s="333"/>
      <c r="Z219" s="333"/>
    </row>
    <row r="220" spans="1:26" ht="15.6">
      <c r="A220" s="333"/>
      <c r="B220" s="348"/>
      <c r="C220" s="348"/>
      <c r="D220" s="348"/>
      <c r="E220" s="348"/>
      <c r="F220" s="348"/>
      <c r="G220" s="348"/>
      <c r="H220" s="348"/>
      <c r="I220" s="348"/>
      <c r="J220" s="348"/>
      <c r="K220" s="348"/>
      <c r="L220" s="333"/>
      <c r="M220" s="333"/>
      <c r="N220" s="333"/>
      <c r="O220" s="333"/>
      <c r="P220" s="333"/>
      <c r="Q220" s="333"/>
      <c r="R220" s="333"/>
      <c r="S220" s="333"/>
      <c r="T220" s="333"/>
      <c r="U220" s="333"/>
      <c r="V220" s="333"/>
      <c r="W220" s="333"/>
      <c r="X220" s="333"/>
      <c r="Y220" s="333"/>
      <c r="Z220" s="333"/>
    </row>
    <row r="221" spans="1:26" ht="15.6">
      <c r="A221" s="333"/>
      <c r="B221" s="348"/>
      <c r="C221" s="348"/>
      <c r="D221" s="348"/>
      <c r="E221" s="348"/>
      <c r="F221" s="348"/>
      <c r="G221" s="348"/>
      <c r="H221" s="348"/>
      <c r="I221" s="348"/>
      <c r="J221" s="348"/>
      <c r="K221" s="348"/>
      <c r="L221" s="333"/>
      <c r="M221" s="333"/>
      <c r="N221" s="333"/>
      <c r="O221" s="333"/>
      <c r="P221" s="333"/>
      <c r="Q221" s="333"/>
      <c r="R221" s="333"/>
      <c r="S221" s="333"/>
      <c r="T221" s="333"/>
      <c r="U221" s="333"/>
      <c r="V221" s="333"/>
      <c r="W221" s="333"/>
      <c r="X221" s="333"/>
      <c r="Y221" s="333"/>
      <c r="Z221" s="333"/>
    </row>
    <row r="222" spans="1:26" ht="15.6">
      <c r="A222" s="333"/>
      <c r="B222" s="348"/>
      <c r="C222" s="348"/>
      <c r="D222" s="348"/>
      <c r="E222" s="348"/>
      <c r="F222" s="348"/>
      <c r="G222" s="348"/>
      <c r="H222" s="348"/>
      <c r="I222" s="348"/>
      <c r="J222" s="348"/>
      <c r="K222" s="348"/>
      <c r="L222" s="333"/>
      <c r="M222" s="333"/>
      <c r="N222" s="333"/>
      <c r="O222" s="333"/>
      <c r="P222" s="333"/>
      <c r="Q222" s="333"/>
      <c r="R222" s="333"/>
      <c r="S222" s="333"/>
      <c r="T222" s="333"/>
      <c r="U222" s="333"/>
      <c r="V222" s="333"/>
      <c r="W222" s="333"/>
      <c r="X222" s="333"/>
      <c r="Y222" s="333"/>
      <c r="Z222" s="333"/>
    </row>
    <row r="223" spans="1:26" ht="15.6">
      <c r="A223" s="333"/>
      <c r="B223" s="348"/>
      <c r="C223" s="348"/>
      <c r="D223" s="348"/>
      <c r="E223" s="348"/>
      <c r="F223" s="348"/>
      <c r="G223" s="348"/>
      <c r="H223" s="348"/>
      <c r="I223" s="348"/>
      <c r="J223" s="348"/>
      <c r="K223" s="348"/>
      <c r="L223" s="333"/>
      <c r="M223" s="333"/>
      <c r="N223" s="333"/>
      <c r="O223" s="333"/>
      <c r="P223" s="333"/>
      <c r="Q223" s="333"/>
      <c r="R223" s="333"/>
      <c r="S223" s="333"/>
      <c r="T223" s="333"/>
      <c r="U223" s="333"/>
      <c r="V223" s="333"/>
      <c r="W223" s="333"/>
      <c r="X223" s="333"/>
      <c r="Y223" s="333"/>
      <c r="Z223" s="333"/>
    </row>
    <row r="224" spans="1:26" ht="15.6">
      <c r="A224" s="333"/>
      <c r="B224" s="348"/>
      <c r="C224" s="348"/>
      <c r="D224" s="348"/>
      <c r="E224" s="348"/>
      <c r="F224" s="348"/>
      <c r="G224" s="348"/>
      <c r="H224" s="348"/>
      <c r="I224" s="348"/>
      <c r="J224" s="348"/>
      <c r="K224" s="348"/>
      <c r="L224" s="333"/>
      <c r="M224" s="333"/>
      <c r="N224" s="333"/>
      <c r="O224" s="333"/>
      <c r="P224" s="333"/>
      <c r="Q224" s="333"/>
      <c r="R224" s="333"/>
      <c r="S224" s="333"/>
      <c r="T224" s="333"/>
      <c r="U224" s="333"/>
      <c r="V224" s="333"/>
      <c r="W224" s="333"/>
      <c r="X224" s="333"/>
      <c r="Y224" s="333"/>
      <c r="Z224" s="333"/>
    </row>
    <row r="225" spans="1:26" ht="15.6">
      <c r="A225" s="333"/>
      <c r="B225" s="348"/>
      <c r="C225" s="348"/>
      <c r="D225" s="348"/>
      <c r="E225" s="348"/>
      <c r="F225" s="348"/>
      <c r="G225" s="348"/>
      <c r="H225" s="348"/>
      <c r="I225" s="348"/>
      <c r="J225" s="348"/>
      <c r="K225" s="348"/>
      <c r="L225" s="333"/>
      <c r="M225" s="333"/>
      <c r="N225" s="333"/>
      <c r="O225" s="333"/>
      <c r="P225" s="333"/>
      <c r="Q225" s="333"/>
      <c r="R225" s="333"/>
      <c r="S225" s="333"/>
      <c r="T225" s="333"/>
      <c r="U225" s="333"/>
      <c r="V225" s="333"/>
      <c r="W225" s="333"/>
      <c r="X225" s="333"/>
      <c r="Y225" s="333"/>
      <c r="Z225" s="333"/>
    </row>
    <row r="226" spans="1:26" ht="15.6">
      <c r="A226" s="333"/>
      <c r="B226" s="348"/>
      <c r="C226" s="348"/>
      <c r="D226" s="348"/>
      <c r="E226" s="348"/>
      <c r="F226" s="348"/>
      <c r="G226" s="348"/>
      <c r="H226" s="348"/>
      <c r="I226" s="348"/>
      <c r="J226" s="348"/>
      <c r="K226" s="348"/>
      <c r="L226" s="333"/>
      <c r="M226" s="333"/>
      <c r="N226" s="333"/>
      <c r="O226" s="333"/>
      <c r="P226" s="333"/>
      <c r="Q226" s="333"/>
      <c r="R226" s="333"/>
      <c r="S226" s="333"/>
      <c r="T226" s="333"/>
      <c r="U226" s="333"/>
      <c r="V226" s="333"/>
      <c r="W226" s="333"/>
      <c r="X226" s="333"/>
      <c r="Y226" s="333"/>
      <c r="Z226" s="333"/>
    </row>
    <row r="227" spans="1:26" ht="15.6">
      <c r="A227" s="333"/>
      <c r="B227" s="348"/>
      <c r="C227" s="348"/>
      <c r="D227" s="348"/>
      <c r="E227" s="348"/>
      <c r="F227" s="348"/>
      <c r="G227" s="348"/>
      <c r="H227" s="348"/>
      <c r="I227" s="348"/>
      <c r="J227" s="348"/>
      <c r="K227" s="348"/>
      <c r="L227" s="333"/>
      <c r="M227" s="333"/>
      <c r="N227" s="333"/>
      <c r="O227" s="333"/>
      <c r="P227" s="333"/>
      <c r="Q227" s="333"/>
      <c r="R227" s="333"/>
      <c r="S227" s="333"/>
      <c r="T227" s="333"/>
      <c r="U227" s="333"/>
      <c r="V227" s="333"/>
      <c r="W227" s="333"/>
      <c r="X227" s="333"/>
      <c r="Y227" s="333"/>
      <c r="Z227" s="333"/>
    </row>
    <row r="228" spans="1:26" ht="15.6">
      <c r="A228" s="333"/>
      <c r="B228" s="348"/>
      <c r="C228" s="348"/>
      <c r="D228" s="348"/>
      <c r="E228" s="348"/>
      <c r="F228" s="348"/>
      <c r="G228" s="348"/>
      <c r="H228" s="348"/>
      <c r="I228" s="348"/>
      <c r="J228" s="348"/>
      <c r="K228" s="348"/>
      <c r="L228" s="333"/>
      <c r="M228" s="333"/>
      <c r="N228" s="333"/>
      <c r="O228" s="333"/>
      <c r="P228" s="333"/>
      <c r="Q228" s="333"/>
      <c r="R228" s="333"/>
      <c r="S228" s="333"/>
      <c r="T228" s="333"/>
      <c r="U228" s="333"/>
      <c r="V228" s="333"/>
      <c r="W228" s="333"/>
      <c r="X228" s="333"/>
      <c r="Y228" s="333"/>
      <c r="Z228" s="333"/>
    </row>
    <row r="229" spans="1:26" ht="15.6">
      <c r="A229" s="333"/>
      <c r="B229" s="348"/>
      <c r="C229" s="348"/>
      <c r="D229" s="348"/>
      <c r="E229" s="348"/>
      <c r="F229" s="348"/>
      <c r="G229" s="348"/>
      <c r="H229" s="348"/>
      <c r="I229" s="348"/>
      <c r="J229" s="348"/>
      <c r="K229" s="348"/>
      <c r="L229" s="333"/>
      <c r="M229" s="333"/>
      <c r="N229" s="333"/>
      <c r="O229" s="333"/>
      <c r="P229" s="333"/>
      <c r="Q229" s="333"/>
      <c r="R229" s="333"/>
      <c r="S229" s="333"/>
      <c r="T229" s="333"/>
      <c r="U229" s="333"/>
      <c r="V229" s="333"/>
      <c r="W229" s="333"/>
      <c r="X229" s="333"/>
      <c r="Y229" s="333"/>
      <c r="Z229" s="333"/>
    </row>
    <row r="230" spans="1:26" ht="15.6">
      <c r="A230" s="333"/>
      <c r="B230" s="348"/>
      <c r="C230" s="348"/>
      <c r="D230" s="348"/>
      <c r="E230" s="348"/>
      <c r="F230" s="348"/>
      <c r="G230" s="348"/>
      <c r="H230" s="348"/>
      <c r="I230" s="348"/>
      <c r="J230" s="348"/>
      <c r="K230" s="348"/>
      <c r="L230" s="333"/>
      <c r="M230" s="333"/>
      <c r="N230" s="333"/>
      <c r="O230" s="333"/>
      <c r="P230" s="333"/>
      <c r="Q230" s="333"/>
      <c r="R230" s="333"/>
      <c r="S230" s="333"/>
      <c r="T230" s="333"/>
      <c r="U230" s="333"/>
      <c r="V230" s="333"/>
      <c r="W230" s="333"/>
      <c r="X230" s="333"/>
      <c r="Y230" s="333"/>
      <c r="Z230" s="333"/>
    </row>
    <row r="231" spans="1:26" ht="15.6">
      <c r="A231" s="333"/>
      <c r="B231" s="348"/>
      <c r="C231" s="348"/>
      <c r="D231" s="348"/>
      <c r="E231" s="348"/>
      <c r="F231" s="348"/>
      <c r="G231" s="348"/>
      <c r="H231" s="348"/>
      <c r="I231" s="348"/>
      <c r="J231" s="348"/>
      <c r="K231" s="348"/>
      <c r="L231" s="333"/>
      <c r="M231" s="333"/>
      <c r="N231" s="333"/>
      <c r="O231" s="333"/>
      <c r="P231" s="333"/>
      <c r="Q231" s="333"/>
      <c r="R231" s="333"/>
      <c r="S231" s="333"/>
      <c r="T231" s="333"/>
      <c r="U231" s="333"/>
      <c r="V231" s="333"/>
      <c r="W231" s="333"/>
      <c r="X231" s="333"/>
      <c r="Y231" s="333"/>
      <c r="Z231" s="333"/>
    </row>
    <row r="232" spans="1:26" ht="15.6">
      <c r="A232" s="333"/>
      <c r="B232" s="348"/>
      <c r="C232" s="348"/>
      <c r="D232" s="348"/>
      <c r="E232" s="348"/>
      <c r="F232" s="348"/>
      <c r="G232" s="348"/>
      <c r="H232" s="348"/>
      <c r="I232" s="348"/>
      <c r="J232" s="348"/>
      <c r="K232" s="348"/>
      <c r="L232" s="333"/>
      <c r="M232" s="333"/>
      <c r="N232" s="333"/>
      <c r="O232" s="333"/>
      <c r="P232" s="333"/>
      <c r="Q232" s="333"/>
      <c r="R232" s="333"/>
      <c r="S232" s="333"/>
      <c r="T232" s="333"/>
      <c r="U232" s="333"/>
      <c r="V232" s="333"/>
      <c r="W232" s="333"/>
      <c r="X232" s="333"/>
      <c r="Y232" s="333"/>
      <c r="Z232" s="333"/>
    </row>
    <row r="233" spans="1:26" ht="15.6">
      <c r="A233" s="333"/>
      <c r="B233" s="348"/>
      <c r="C233" s="348"/>
      <c r="D233" s="348"/>
      <c r="E233" s="348"/>
      <c r="F233" s="348"/>
      <c r="G233" s="348"/>
      <c r="H233" s="348"/>
      <c r="I233" s="348"/>
      <c r="J233" s="348"/>
      <c r="K233" s="348"/>
      <c r="L233" s="333"/>
      <c r="M233" s="333"/>
      <c r="N233" s="333"/>
      <c r="O233" s="333"/>
      <c r="P233" s="333"/>
      <c r="Q233" s="333"/>
      <c r="R233" s="333"/>
      <c r="S233" s="333"/>
      <c r="T233" s="333"/>
      <c r="U233" s="333"/>
      <c r="V233" s="333"/>
      <c r="W233" s="333"/>
      <c r="X233" s="333"/>
      <c r="Y233" s="333"/>
      <c r="Z233" s="333"/>
    </row>
    <row r="234" spans="1:26" ht="15.6">
      <c r="A234" s="333"/>
      <c r="B234" s="348"/>
      <c r="C234" s="348"/>
      <c r="D234" s="348"/>
      <c r="E234" s="348"/>
      <c r="F234" s="348"/>
      <c r="G234" s="348"/>
      <c r="H234" s="348"/>
      <c r="I234" s="348"/>
      <c r="J234" s="348"/>
      <c r="K234" s="348"/>
      <c r="L234" s="333"/>
      <c r="M234" s="333"/>
      <c r="N234" s="333"/>
      <c r="O234" s="333"/>
      <c r="P234" s="333"/>
      <c r="Q234" s="333"/>
      <c r="R234" s="333"/>
      <c r="S234" s="333"/>
      <c r="T234" s="333"/>
      <c r="U234" s="333"/>
      <c r="V234" s="333"/>
      <c r="W234" s="333"/>
      <c r="X234" s="333"/>
      <c r="Y234" s="333"/>
      <c r="Z234" s="333"/>
    </row>
    <row r="235" spans="1:26" ht="15.6">
      <c r="A235" s="333"/>
      <c r="B235" s="348"/>
      <c r="C235" s="348"/>
      <c r="D235" s="348"/>
      <c r="E235" s="348"/>
      <c r="F235" s="348"/>
      <c r="G235" s="348"/>
      <c r="H235" s="348"/>
      <c r="I235" s="348"/>
      <c r="J235" s="348"/>
      <c r="K235" s="348"/>
      <c r="L235" s="333"/>
      <c r="M235" s="333"/>
      <c r="N235" s="333"/>
      <c r="O235" s="333"/>
      <c r="P235" s="333"/>
      <c r="Q235" s="333"/>
      <c r="R235" s="333"/>
      <c r="S235" s="333"/>
      <c r="T235" s="333"/>
      <c r="U235" s="333"/>
      <c r="V235" s="333"/>
      <c r="W235" s="333"/>
      <c r="X235" s="333"/>
      <c r="Y235" s="333"/>
      <c r="Z235" s="333"/>
    </row>
    <row r="236" spans="1:26" ht="15.6">
      <c r="A236" s="333"/>
      <c r="B236" s="348"/>
      <c r="C236" s="348"/>
      <c r="D236" s="348"/>
      <c r="E236" s="348"/>
      <c r="F236" s="348"/>
      <c r="G236" s="348"/>
      <c r="H236" s="348"/>
      <c r="I236" s="348"/>
      <c r="J236" s="348"/>
      <c r="K236" s="348"/>
      <c r="L236" s="333"/>
      <c r="M236" s="333"/>
      <c r="N236" s="333"/>
      <c r="O236" s="333"/>
      <c r="P236" s="333"/>
      <c r="Q236" s="333"/>
      <c r="R236" s="333"/>
      <c r="S236" s="333"/>
      <c r="T236" s="333"/>
      <c r="U236" s="333"/>
      <c r="V236" s="333"/>
      <c r="W236" s="333"/>
      <c r="X236" s="333"/>
      <c r="Y236" s="333"/>
      <c r="Z236" s="333"/>
    </row>
    <row r="237" spans="1:26" ht="15.6">
      <c r="A237" s="333"/>
      <c r="B237" s="348"/>
      <c r="C237" s="348"/>
      <c r="D237" s="348"/>
      <c r="E237" s="348"/>
      <c r="F237" s="348"/>
      <c r="G237" s="348"/>
      <c r="H237" s="348"/>
      <c r="I237" s="348"/>
      <c r="J237" s="348"/>
      <c r="K237" s="348"/>
      <c r="L237" s="333"/>
      <c r="M237" s="333"/>
      <c r="N237" s="333"/>
      <c r="O237" s="333"/>
      <c r="P237" s="333"/>
      <c r="Q237" s="333"/>
      <c r="R237" s="333"/>
      <c r="S237" s="333"/>
      <c r="T237" s="333"/>
      <c r="U237" s="333"/>
      <c r="V237" s="333"/>
      <c r="W237" s="333"/>
      <c r="X237" s="333"/>
      <c r="Y237" s="333"/>
      <c r="Z237" s="333"/>
    </row>
    <row r="238" spans="1:26" ht="15.6">
      <c r="A238" s="333"/>
      <c r="B238" s="348"/>
      <c r="C238" s="348"/>
      <c r="D238" s="348"/>
      <c r="E238" s="348"/>
      <c r="F238" s="348"/>
      <c r="G238" s="348"/>
      <c r="H238" s="348"/>
      <c r="I238" s="348"/>
      <c r="J238" s="348"/>
      <c r="K238" s="348"/>
      <c r="L238" s="333"/>
      <c r="M238" s="333"/>
      <c r="N238" s="333"/>
      <c r="O238" s="333"/>
      <c r="P238" s="333"/>
      <c r="Q238" s="333"/>
      <c r="R238" s="333"/>
      <c r="S238" s="333"/>
      <c r="T238" s="333"/>
      <c r="U238" s="333"/>
      <c r="V238" s="333"/>
      <c r="W238" s="333"/>
      <c r="X238" s="333"/>
      <c r="Y238" s="333"/>
      <c r="Z238" s="333"/>
    </row>
    <row r="239" spans="1:26" ht="15.6">
      <c r="A239" s="333"/>
      <c r="B239" s="348"/>
      <c r="C239" s="348"/>
      <c r="D239" s="348"/>
      <c r="E239" s="348"/>
      <c r="F239" s="348"/>
      <c r="G239" s="348"/>
      <c r="H239" s="348"/>
      <c r="I239" s="348"/>
      <c r="J239" s="348"/>
      <c r="K239" s="348"/>
      <c r="L239" s="333"/>
      <c r="M239" s="333"/>
      <c r="N239" s="333"/>
      <c r="O239" s="333"/>
      <c r="P239" s="333"/>
      <c r="Q239" s="333"/>
      <c r="R239" s="333"/>
      <c r="S239" s="333"/>
      <c r="T239" s="333"/>
      <c r="U239" s="333"/>
      <c r="V239" s="333"/>
      <c r="W239" s="333"/>
      <c r="X239" s="333"/>
      <c r="Y239" s="333"/>
      <c r="Z239" s="333"/>
    </row>
    <row r="240" spans="1:26" ht="15.6">
      <c r="A240" s="333"/>
      <c r="B240" s="348"/>
      <c r="C240" s="348"/>
      <c r="D240" s="348"/>
      <c r="E240" s="348"/>
      <c r="F240" s="348"/>
      <c r="G240" s="348"/>
      <c r="H240" s="348"/>
      <c r="I240" s="348"/>
      <c r="J240" s="348"/>
      <c r="K240" s="348"/>
      <c r="L240" s="333"/>
      <c r="M240" s="333"/>
      <c r="N240" s="333"/>
      <c r="O240" s="333"/>
      <c r="P240" s="333"/>
      <c r="Q240" s="333"/>
      <c r="R240" s="333"/>
      <c r="S240" s="333"/>
      <c r="T240" s="333"/>
      <c r="U240" s="333"/>
      <c r="V240" s="333"/>
      <c r="W240" s="333"/>
      <c r="X240" s="333"/>
      <c r="Y240" s="333"/>
      <c r="Z240" s="333"/>
    </row>
    <row r="241" spans="1:26" ht="15.6">
      <c r="A241" s="333"/>
      <c r="B241" s="348"/>
      <c r="C241" s="348"/>
      <c r="D241" s="348"/>
      <c r="E241" s="348"/>
      <c r="F241" s="348"/>
      <c r="G241" s="348"/>
      <c r="H241" s="348"/>
      <c r="I241" s="348"/>
      <c r="J241" s="348"/>
      <c r="K241" s="348"/>
      <c r="L241" s="333"/>
      <c r="M241" s="333"/>
      <c r="N241" s="333"/>
      <c r="O241" s="333"/>
      <c r="P241" s="333"/>
      <c r="Q241" s="333"/>
      <c r="R241" s="333"/>
      <c r="S241" s="333"/>
      <c r="T241" s="333"/>
      <c r="U241" s="333"/>
      <c r="V241" s="333"/>
      <c r="W241" s="333"/>
      <c r="X241" s="333"/>
      <c r="Y241" s="333"/>
      <c r="Z241" s="333"/>
    </row>
    <row r="242" spans="1:26" ht="15.6">
      <c r="A242" s="333"/>
      <c r="B242" s="348"/>
      <c r="C242" s="348"/>
      <c r="D242" s="348"/>
      <c r="E242" s="348"/>
      <c r="F242" s="348"/>
      <c r="G242" s="348"/>
      <c r="H242" s="348"/>
      <c r="I242" s="348"/>
      <c r="J242" s="348"/>
      <c r="K242" s="348"/>
      <c r="L242" s="333"/>
      <c r="M242" s="333"/>
      <c r="N242" s="333"/>
      <c r="O242" s="333"/>
      <c r="P242" s="333"/>
      <c r="Q242" s="333"/>
      <c r="R242" s="333"/>
      <c r="S242" s="333"/>
      <c r="T242" s="333"/>
      <c r="U242" s="333"/>
      <c r="V242" s="333"/>
      <c r="W242" s="333"/>
      <c r="X242" s="333"/>
      <c r="Y242" s="333"/>
      <c r="Z242" s="333"/>
    </row>
    <row r="243" spans="1:26" ht="15.6">
      <c r="A243" s="333"/>
      <c r="B243" s="348"/>
      <c r="C243" s="348"/>
      <c r="D243" s="348"/>
      <c r="E243" s="348"/>
      <c r="F243" s="348"/>
      <c r="G243" s="348"/>
      <c r="H243" s="348"/>
      <c r="I243" s="348"/>
      <c r="J243" s="348"/>
      <c r="K243" s="348"/>
      <c r="L243" s="333"/>
      <c r="M243" s="333"/>
      <c r="N243" s="333"/>
      <c r="O243" s="333"/>
      <c r="P243" s="333"/>
      <c r="Q243" s="333"/>
      <c r="R243" s="333"/>
      <c r="S243" s="333"/>
      <c r="T243" s="333"/>
      <c r="U243" s="333"/>
      <c r="V243" s="333"/>
      <c r="W243" s="333"/>
      <c r="X243" s="333"/>
      <c r="Y243" s="333"/>
      <c r="Z243" s="333"/>
    </row>
    <row r="244" spans="1:26" ht="15.6">
      <c r="A244" s="333"/>
      <c r="B244" s="348"/>
      <c r="C244" s="348"/>
      <c r="D244" s="348"/>
      <c r="E244" s="348"/>
      <c r="F244" s="348"/>
      <c r="G244" s="348"/>
      <c r="H244" s="348"/>
      <c r="I244" s="348"/>
      <c r="J244" s="348"/>
      <c r="K244" s="348"/>
      <c r="L244" s="333"/>
      <c r="M244" s="333"/>
      <c r="N244" s="333"/>
      <c r="O244" s="333"/>
      <c r="P244" s="333"/>
      <c r="Q244" s="333"/>
      <c r="R244" s="333"/>
      <c r="S244" s="333"/>
      <c r="T244" s="333"/>
      <c r="U244" s="333"/>
      <c r="V244" s="333"/>
      <c r="W244" s="333"/>
      <c r="X244" s="333"/>
      <c r="Y244" s="333"/>
      <c r="Z244" s="333"/>
    </row>
    <row r="245" spans="1:26" ht="15.6">
      <c r="A245" s="333"/>
      <c r="B245" s="348"/>
      <c r="C245" s="348"/>
      <c r="D245" s="348"/>
      <c r="E245" s="348"/>
      <c r="F245" s="348"/>
      <c r="G245" s="348"/>
      <c r="H245" s="348"/>
      <c r="I245" s="348"/>
      <c r="J245" s="348"/>
      <c r="K245" s="348"/>
      <c r="L245" s="333"/>
      <c r="M245" s="333"/>
      <c r="N245" s="333"/>
      <c r="O245" s="333"/>
      <c r="P245" s="333"/>
      <c r="Q245" s="333"/>
      <c r="R245" s="333"/>
      <c r="S245" s="333"/>
      <c r="T245" s="333"/>
      <c r="U245" s="333"/>
      <c r="V245" s="333"/>
      <c r="W245" s="333"/>
      <c r="X245" s="333"/>
      <c r="Y245" s="333"/>
      <c r="Z245" s="333"/>
    </row>
    <row r="246" spans="1:26" ht="15.6">
      <c r="A246" s="333"/>
      <c r="B246" s="348"/>
      <c r="C246" s="348"/>
      <c r="D246" s="348"/>
      <c r="E246" s="348"/>
      <c r="F246" s="348"/>
      <c r="G246" s="348"/>
      <c r="H246" s="348"/>
      <c r="I246" s="348"/>
      <c r="J246" s="348"/>
      <c r="K246" s="348"/>
      <c r="L246" s="333"/>
      <c r="M246" s="333"/>
      <c r="N246" s="333"/>
      <c r="O246" s="333"/>
      <c r="P246" s="333"/>
      <c r="Q246" s="333"/>
      <c r="R246" s="333"/>
      <c r="S246" s="333"/>
      <c r="T246" s="333"/>
      <c r="U246" s="333"/>
      <c r="V246" s="333"/>
      <c r="W246" s="333"/>
      <c r="X246" s="333"/>
      <c r="Y246" s="333"/>
      <c r="Z246" s="333"/>
    </row>
    <row r="247" spans="1:26" ht="15.6">
      <c r="A247" s="333"/>
      <c r="B247" s="348"/>
      <c r="C247" s="348"/>
      <c r="D247" s="348"/>
      <c r="E247" s="348"/>
      <c r="F247" s="348"/>
      <c r="G247" s="348"/>
      <c r="H247" s="348"/>
      <c r="I247" s="348"/>
      <c r="J247" s="348"/>
      <c r="K247" s="348"/>
      <c r="L247" s="333"/>
      <c r="M247" s="333"/>
      <c r="N247" s="333"/>
      <c r="O247" s="333"/>
      <c r="P247" s="333"/>
      <c r="Q247" s="333"/>
      <c r="R247" s="333"/>
      <c r="S247" s="333"/>
      <c r="T247" s="333"/>
      <c r="U247" s="333"/>
      <c r="V247" s="333"/>
      <c r="W247" s="333"/>
      <c r="X247" s="333"/>
      <c r="Y247" s="333"/>
      <c r="Z247" s="333"/>
    </row>
    <row r="248" spans="1:26" ht="15.6">
      <c r="A248" s="333"/>
      <c r="B248" s="348"/>
      <c r="C248" s="348"/>
      <c r="D248" s="348"/>
      <c r="E248" s="348"/>
      <c r="F248" s="348"/>
      <c r="G248" s="348"/>
      <c r="H248" s="348"/>
      <c r="I248" s="348"/>
      <c r="J248" s="348"/>
      <c r="K248" s="348"/>
      <c r="L248" s="333"/>
      <c r="M248" s="333"/>
      <c r="N248" s="333"/>
      <c r="O248" s="333"/>
      <c r="P248" s="333"/>
      <c r="Q248" s="333"/>
      <c r="R248" s="333"/>
      <c r="S248" s="333"/>
      <c r="T248" s="333"/>
      <c r="U248" s="333"/>
      <c r="V248" s="333"/>
      <c r="W248" s="333"/>
      <c r="X248" s="333"/>
      <c r="Y248" s="333"/>
      <c r="Z248" s="333"/>
    </row>
    <row r="249" spans="1:26" ht="15.6">
      <c r="A249" s="333"/>
      <c r="B249" s="348"/>
      <c r="C249" s="348"/>
      <c r="D249" s="348"/>
      <c r="E249" s="348"/>
      <c r="F249" s="348"/>
      <c r="G249" s="348"/>
      <c r="H249" s="348"/>
      <c r="I249" s="348"/>
      <c r="J249" s="348"/>
      <c r="K249" s="348"/>
      <c r="L249" s="333"/>
      <c r="M249" s="333"/>
      <c r="N249" s="333"/>
      <c r="O249" s="333"/>
      <c r="P249" s="333"/>
      <c r="Q249" s="333"/>
      <c r="R249" s="333"/>
      <c r="S249" s="333"/>
      <c r="T249" s="333"/>
      <c r="U249" s="333"/>
      <c r="V249" s="333"/>
      <c r="W249" s="333"/>
      <c r="X249" s="333"/>
      <c r="Y249" s="333"/>
      <c r="Z249" s="333"/>
    </row>
    <row r="250" spans="1:26" ht="15.6">
      <c r="A250" s="333"/>
      <c r="B250" s="348"/>
      <c r="C250" s="348"/>
      <c r="D250" s="348"/>
      <c r="E250" s="348"/>
      <c r="F250" s="348"/>
      <c r="G250" s="348"/>
      <c r="H250" s="348"/>
      <c r="I250" s="348"/>
      <c r="J250" s="348"/>
      <c r="K250" s="348"/>
      <c r="L250" s="333"/>
      <c r="M250" s="333"/>
      <c r="N250" s="333"/>
      <c r="O250" s="333"/>
      <c r="P250" s="333"/>
      <c r="Q250" s="333"/>
      <c r="R250" s="333"/>
      <c r="S250" s="333"/>
      <c r="T250" s="333"/>
      <c r="U250" s="333"/>
      <c r="V250" s="333"/>
      <c r="W250" s="333"/>
      <c r="X250" s="333"/>
      <c r="Y250" s="333"/>
      <c r="Z250" s="333"/>
    </row>
    <row r="251" spans="1:26" ht="15.6">
      <c r="A251" s="333"/>
      <c r="B251" s="348"/>
      <c r="C251" s="348"/>
      <c r="D251" s="348"/>
      <c r="E251" s="348"/>
      <c r="F251" s="348"/>
      <c r="G251" s="348"/>
      <c r="H251" s="348"/>
      <c r="I251" s="348"/>
      <c r="J251" s="348"/>
      <c r="K251" s="348"/>
      <c r="L251" s="333"/>
      <c r="M251" s="333"/>
      <c r="N251" s="333"/>
      <c r="O251" s="333"/>
      <c r="P251" s="333"/>
      <c r="Q251" s="333"/>
      <c r="R251" s="333"/>
      <c r="S251" s="333"/>
      <c r="T251" s="333"/>
      <c r="U251" s="333"/>
      <c r="V251" s="333"/>
      <c r="W251" s="333"/>
      <c r="X251" s="333"/>
      <c r="Y251" s="333"/>
      <c r="Z251" s="333"/>
    </row>
    <row r="252" spans="1:26" ht="15.6">
      <c r="A252" s="333"/>
      <c r="B252" s="348"/>
      <c r="C252" s="348"/>
      <c r="D252" s="348"/>
      <c r="E252" s="348"/>
      <c r="F252" s="348"/>
      <c r="G252" s="348"/>
      <c r="H252" s="348"/>
      <c r="I252" s="348"/>
      <c r="J252" s="348"/>
      <c r="K252" s="348"/>
      <c r="L252" s="333"/>
      <c r="M252" s="333"/>
      <c r="N252" s="333"/>
      <c r="O252" s="333"/>
      <c r="P252" s="333"/>
      <c r="Q252" s="333"/>
      <c r="R252" s="333"/>
      <c r="S252" s="333"/>
      <c r="T252" s="333"/>
      <c r="U252" s="333"/>
      <c r="V252" s="333"/>
      <c r="W252" s="333"/>
      <c r="X252" s="333"/>
      <c r="Y252" s="333"/>
      <c r="Z252" s="333"/>
    </row>
    <row r="253" spans="1:26" ht="15.6">
      <c r="A253" s="333"/>
      <c r="B253" s="348"/>
      <c r="C253" s="348"/>
      <c r="D253" s="348"/>
      <c r="E253" s="348"/>
      <c r="F253" s="348"/>
      <c r="G253" s="348"/>
      <c r="H253" s="348"/>
      <c r="I253" s="348"/>
      <c r="J253" s="348"/>
      <c r="K253" s="348"/>
      <c r="L253" s="333"/>
      <c r="M253" s="333"/>
      <c r="N253" s="333"/>
      <c r="O253" s="333"/>
      <c r="P253" s="333"/>
      <c r="Q253" s="333"/>
      <c r="R253" s="333"/>
      <c r="S253" s="333"/>
      <c r="T253" s="333"/>
      <c r="U253" s="333"/>
      <c r="V253" s="333"/>
      <c r="W253" s="333"/>
      <c r="X253" s="333"/>
      <c r="Y253" s="333"/>
      <c r="Z253" s="333"/>
    </row>
    <row r="254" spans="1:26" ht="15.6">
      <c r="A254" s="333"/>
      <c r="B254" s="348"/>
      <c r="C254" s="348"/>
      <c r="D254" s="348"/>
      <c r="E254" s="348"/>
      <c r="F254" s="348"/>
      <c r="G254" s="348"/>
      <c r="H254" s="348"/>
      <c r="I254" s="348"/>
      <c r="J254" s="348"/>
      <c r="K254" s="348"/>
      <c r="L254" s="333"/>
      <c r="M254" s="333"/>
      <c r="N254" s="333"/>
      <c r="O254" s="333"/>
      <c r="P254" s="333"/>
      <c r="Q254" s="333"/>
      <c r="R254" s="333"/>
      <c r="S254" s="333"/>
      <c r="T254" s="333"/>
      <c r="U254" s="333"/>
      <c r="V254" s="333"/>
      <c r="W254" s="333"/>
      <c r="X254" s="333"/>
      <c r="Y254" s="333"/>
      <c r="Z254" s="333"/>
    </row>
    <row r="255" spans="1:26" ht="15.6">
      <c r="A255" s="333"/>
      <c r="B255" s="348"/>
      <c r="C255" s="348"/>
      <c r="D255" s="348"/>
      <c r="E255" s="348"/>
      <c r="F255" s="348"/>
      <c r="G255" s="348"/>
      <c r="H255" s="348"/>
      <c r="I255" s="348"/>
      <c r="J255" s="348"/>
      <c r="K255" s="348"/>
      <c r="L255" s="333"/>
      <c r="M255" s="333"/>
      <c r="N255" s="333"/>
      <c r="O255" s="333"/>
      <c r="P255" s="333"/>
      <c r="Q255" s="333"/>
      <c r="R255" s="333"/>
      <c r="S255" s="333"/>
      <c r="T255" s="333"/>
      <c r="U255" s="333"/>
      <c r="V255" s="333"/>
      <c r="W255" s="333"/>
      <c r="X255" s="333"/>
      <c r="Y255" s="333"/>
      <c r="Z255" s="333"/>
    </row>
    <row r="256" spans="1:26" ht="15.6">
      <c r="A256" s="333"/>
      <c r="B256" s="348"/>
      <c r="C256" s="348"/>
      <c r="D256" s="348"/>
      <c r="E256" s="348"/>
      <c r="F256" s="348"/>
      <c r="G256" s="348"/>
      <c r="H256" s="348"/>
      <c r="I256" s="348"/>
      <c r="J256" s="348"/>
      <c r="K256" s="348"/>
      <c r="L256" s="333"/>
      <c r="M256" s="333"/>
      <c r="N256" s="333"/>
      <c r="O256" s="333"/>
      <c r="P256" s="333"/>
      <c r="Q256" s="333"/>
      <c r="R256" s="333"/>
      <c r="S256" s="333"/>
      <c r="T256" s="333"/>
      <c r="U256" s="333"/>
      <c r="V256" s="333"/>
      <c r="W256" s="333"/>
      <c r="X256" s="333"/>
      <c r="Y256" s="333"/>
      <c r="Z256" s="333"/>
    </row>
    <row r="257" spans="1:26" ht="15.6">
      <c r="A257" s="333"/>
      <c r="B257" s="348"/>
      <c r="C257" s="348"/>
      <c r="D257" s="348"/>
      <c r="E257" s="348"/>
      <c r="F257" s="348"/>
      <c r="G257" s="348"/>
      <c r="H257" s="348"/>
      <c r="I257" s="348"/>
      <c r="J257" s="348"/>
      <c r="K257" s="348"/>
      <c r="L257" s="333"/>
      <c r="M257" s="333"/>
      <c r="N257" s="333"/>
      <c r="O257" s="333"/>
      <c r="P257" s="333"/>
      <c r="Q257" s="333"/>
      <c r="R257" s="333"/>
      <c r="S257" s="333"/>
      <c r="T257" s="333"/>
      <c r="U257" s="333"/>
      <c r="V257" s="333"/>
      <c r="W257" s="333"/>
      <c r="X257" s="333"/>
      <c r="Y257" s="333"/>
      <c r="Z257" s="333"/>
    </row>
    <row r="258" spans="1:26" ht="15.6">
      <c r="A258" s="333"/>
      <c r="B258" s="348"/>
      <c r="C258" s="348"/>
      <c r="D258" s="348"/>
      <c r="E258" s="348"/>
      <c r="F258" s="348"/>
      <c r="G258" s="348"/>
      <c r="H258" s="348"/>
      <c r="I258" s="348"/>
      <c r="J258" s="348"/>
      <c r="K258" s="348"/>
      <c r="L258" s="333"/>
      <c r="M258" s="333"/>
      <c r="N258" s="333"/>
      <c r="O258" s="333"/>
      <c r="P258" s="333"/>
      <c r="Q258" s="333"/>
      <c r="R258" s="333"/>
      <c r="S258" s="333"/>
      <c r="T258" s="333"/>
      <c r="U258" s="333"/>
      <c r="V258" s="333"/>
      <c r="W258" s="333"/>
      <c r="X258" s="333"/>
      <c r="Y258" s="333"/>
      <c r="Z258" s="333"/>
    </row>
    <row r="259" spans="1:26" ht="15.6">
      <c r="A259" s="333"/>
      <c r="B259" s="348"/>
      <c r="C259" s="348"/>
      <c r="D259" s="348"/>
      <c r="E259" s="348"/>
      <c r="F259" s="348"/>
      <c r="G259" s="348"/>
      <c r="H259" s="348"/>
      <c r="I259" s="348"/>
      <c r="J259" s="348"/>
      <c r="K259" s="348"/>
      <c r="L259" s="333"/>
      <c r="M259" s="333"/>
      <c r="N259" s="333"/>
      <c r="O259" s="333"/>
      <c r="P259" s="333"/>
      <c r="Q259" s="333"/>
      <c r="R259" s="333"/>
      <c r="S259" s="333"/>
      <c r="T259" s="333"/>
      <c r="U259" s="333"/>
      <c r="V259" s="333"/>
      <c r="W259" s="333"/>
      <c r="X259" s="333"/>
      <c r="Y259" s="333"/>
      <c r="Z259" s="333"/>
    </row>
    <row r="260" spans="1:26" ht="15.6">
      <c r="A260" s="333"/>
      <c r="B260" s="348"/>
      <c r="C260" s="348"/>
      <c r="D260" s="348"/>
      <c r="E260" s="348"/>
      <c r="F260" s="348"/>
      <c r="G260" s="348"/>
      <c r="H260" s="348"/>
      <c r="I260" s="348"/>
      <c r="J260" s="348"/>
      <c r="K260" s="348"/>
      <c r="L260" s="333"/>
      <c r="M260" s="333"/>
      <c r="N260" s="333"/>
      <c r="O260" s="333"/>
      <c r="P260" s="333"/>
      <c r="Q260" s="333"/>
      <c r="R260" s="333"/>
      <c r="S260" s="333"/>
      <c r="T260" s="333"/>
      <c r="U260" s="333"/>
      <c r="V260" s="333"/>
      <c r="W260" s="333"/>
      <c r="X260" s="333"/>
      <c r="Y260" s="333"/>
      <c r="Z260" s="333"/>
    </row>
    <row r="261" spans="1:26" ht="15.6">
      <c r="A261" s="333"/>
      <c r="B261" s="348"/>
      <c r="C261" s="348"/>
      <c r="D261" s="348"/>
      <c r="E261" s="348"/>
      <c r="F261" s="348"/>
      <c r="G261" s="348"/>
      <c r="H261" s="348"/>
      <c r="I261" s="348"/>
      <c r="J261" s="348"/>
      <c r="K261" s="348"/>
      <c r="L261" s="333"/>
      <c r="M261" s="333"/>
      <c r="N261" s="333"/>
      <c r="O261" s="333"/>
      <c r="P261" s="333"/>
      <c r="Q261" s="333"/>
      <c r="R261" s="333"/>
      <c r="S261" s="333"/>
      <c r="T261" s="333"/>
      <c r="U261" s="333"/>
      <c r="V261" s="333"/>
      <c r="W261" s="333"/>
      <c r="X261" s="333"/>
      <c r="Y261" s="333"/>
      <c r="Z261" s="333"/>
    </row>
    <row r="262" spans="1:26" ht="15.6">
      <c r="A262" s="333"/>
      <c r="B262" s="348"/>
      <c r="C262" s="348"/>
      <c r="D262" s="348"/>
      <c r="E262" s="348"/>
      <c r="F262" s="348"/>
      <c r="G262" s="348"/>
      <c r="H262" s="348"/>
      <c r="I262" s="348"/>
      <c r="J262" s="348"/>
      <c r="K262" s="348"/>
      <c r="L262" s="333"/>
      <c r="M262" s="333"/>
      <c r="N262" s="333"/>
      <c r="O262" s="333"/>
      <c r="P262" s="333"/>
      <c r="Q262" s="333"/>
      <c r="R262" s="333"/>
      <c r="S262" s="333"/>
      <c r="T262" s="333"/>
      <c r="U262" s="333"/>
      <c r="V262" s="333"/>
      <c r="W262" s="333"/>
      <c r="X262" s="333"/>
      <c r="Y262" s="333"/>
      <c r="Z262" s="333"/>
    </row>
    <row r="263" spans="1:26" ht="15.6">
      <c r="A263" s="333"/>
      <c r="B263" s="348"/>
      <c r="C263" s="348"/>
      <c r="D263" s="348"/>
      <c r="E263" s="348"/>
      <c r="F263" s="348"/>
      <c r="G263" s="348"/>
      <c r="H263" s="348"/>
      <c r="I263" s="348"/>
      <c r="J263" s="348"/>
      <c r="K263" s="348"/>
      <c r="L263" s="333"/>
      <c r="M263" s="333"/>
      <c r="N263" s="333"/>
      <c r="O263" s="333"/>
      <c r="P263" s="333"/>
      <c r="Q263" s="333"/>
      <c r="R263" s="333"/>
      <c r="S263" s="333"/>
      <c r="T263" s="333"/>
      <c r="U263" s="333"/>
      <c r="V263" s="333"/>
      <c r="W263" s="333"/>
      <c r="X263" s="333"/>
      <c r="Y263" s="333"/>
      <c r="Z263" s="333"/>
    </row>
    <row r="264" spans="1:26" ht="15.6">
      <c r="A264" s="333"/>
      <c r="B264" s="348"/>
      <c r="C264" s="348"/>
      <c r="D264" s="348"/>
      <c r="E264" s="348"/>
      <c r="F264" s="348"/>
      <c r="G264" s="348"/>
      <c r="H264" s="348"/>
      <c r="I264" s="348"/>
      <c r="J264" s="348"/>
      <c r="K264" s="348"/>
      <c r="L264" s="333"/>
      <c r="M264" s="333"/>
      <c r="N264" s="333"/>
      <c r="O264" s="333"/>
      <c r="P264" s="333"/>
      <c r="Q264" s="333"/>
      <c r="R264" s="333"/>
      <c r="S264" s="333"/>
      <c r="T264" s="333"/>
      <c r="U264" s="333"/>
      <c r="V264" s="333"/>
      <c r="W264" s="333"/>
      <c r="X264" s="333"/>
      <c r="Y264" s="333"/>
      <c r="Z264" s="333"/>
    </row>
    <row r="265" spans="1:26" ht="15.6">
      <c r="A265" s="333"/>
      <c r="B265" s="348"/>
      <c r="C265" s="348"/>
      <c r="D265" s="348"/>
      <c r="E265" s="348"/>
      <c r="F265" s="348"/>
      <c r="G265" s="348"/>
      <c r="H265" s="348"/>
      <c r="I265" s="348"/>
      <c r="J265" s="348"/>
      <c r="K265" s="348"/>
      <c r="L265" s="333"/>
      <c r="M265" s="333"/>
      <c r="N265" s="333"/>
      <c r="O265" s="333"/>
      <c r="P265" s="333"/>
      <c r="Q265" s="333"/>
      <c r="R265" s="333"/>
      <c r="S265" s="333"/>
      <c r="T265" s="333"/>
      <c r="U265" s="333"/>
      <c r="V265" s="333"/>
      <c r="W265" s="333"/>
      <c r="X265" s="333"/>
      <c r="Y265" s="333"/>
      <c r="Z265" s="333"/>
    </row>
    <row r="266" spans="1:26" ht="15.6">
      <c r="A266" s="333"/>
      <c r="B266" s="348"/>
      <c r="C266" s="348"/>
      <c r="D266" s="348"/>
      <c r="E266" s="348"/>
      <c r="F266" s="348"/>
      <c r="G266" s="348"/>
      <c r="H266" s="348"/>
      <c r="I266" s="348"/>
      <c r="J266" s="348"/>
      <c r="K266" s="348"/>
      <c r="L266" s="333"/>
      <c r="M266" s="333"/>
      <c r="N266" s="333"/>
      <c r="O266" s="333"/>
      <c r="P266" s="333"/>
      <c r="Q266" s="333"/>
      <c r="R266" s="333"/>
      <c r="S266" s="333"/>
      <c r="T266" s="333"/>
      <c r="U266" s="333"/>
      <c r="V266" s="333"/>
      <c r="W266" s="333"/>
      <c r="X266" s="333"/>
      <c r="Y266" s="333"/>
      <c r="Z266" s="333"/>
    </row>
    <row r="267" spans="1:26" ht="15.6">
      <c r="A267" s="333"/>
      <c r="B267" s="348"/>
      <c r="C267" s="348"/>
      <c r="D267" s="348"/>
      <c r="E267" s="348"/>
      <c r="F267" s="348"/>
      <c r="G267" s="348"/>
      <c r="H267" s="348"/>
      <c r="I267" s="348"/>
      <c r="J267" s="348"/>
      <c r="K267" s="348"/>
      <c r="L267" s="333"/>
      <c r="M267" s="333"/>
      <c r="N267" s="333"/>
      <c r="O267" s="333"/>
      <c r="P267" s="333"/>
      <c r="Q267" s="333"/>
      <c r="R267" s="333"/>
      <c r="S267" s="333"/>
      <c r="T267" s="333"/>
      <c r="U267" s="333"/>
      <c r="V267" s="333"/>
      <c r="W267" s="333"/>
      <c r="X267" s="333"/>
      <c r="Y267" s="333"/>
      <c r="Z267" s="333"/>
    </row>
    <row r="268" spans="1:26" ht="15.6">
      <c r="A268" s="333"/>
      <c r="B268" s="348"/>
      <c r="C268" s="348"/>
      <c r="D268" s="348"/>
      <c r="E268" s="348"/>
      <c r="F268" s="348"/>
      <c r="G268" s="348"/>
      <c r="H268" s="348"/>
      <c r="I268" s="348"/>
      <c r="J268" s="348"/>
      <c r="K268" s="348"/>
      <c r="L268" s="333"/>
      <c r="M268" s="333"/>
      <c r="N268" s="333"/>
      <c r="O268" s="333"/>
      <c r="P268" s="333"/>
      <c r="Q268" s="333"/>
      <c r="R268" s="333"/>
      <c r="S268" s="333"/>
      <c r="T268" s="333"/>
      <c r="U268" s="333"/>
      <c r="V268" s="333"/>
      <c r="W268" s="333"/>
      <c r="X268" s="333"/>
      <c r="Y268" s="333"/>
      <c r="Z268" s="333"/>
    </row>
    <row r="269" spans="1:26" ht="15.6">
      <c r="A269" s="333"/>
      <c r="B269" s="348"/>
      <c r="C269" s="348"/>
      <c r="D269" s="348"/>
      <c r="E269" s="348"/>
      <c r="F269" s="348"/>
      <c r="G269" s="348"/>
      <c r="H269" s="348"/>
      <c r="I269" s="348"/>
      <c r="J269" s="348"/>
      <c r="K269" s="348"/>
      <c r="L269" s="333"/>
      <c r="M269" s="333"/>
      <c r="N269" s="333"/>
      <c r="O269" s="333"/>
      <c r="P269" s="333"/>
      <c r="Q269" s="333"/>
      <c r="R269" s="333"/>
      <c r="S269" s="333"/>
      <c r="T269" s="333"/>
      <c r="U269" s="333"/>
      <c r="V269" s="333"/>
      <c r="W269" s="333"/>
      <c r="X269" s="333"/>
      <c r="Y269" s="333"/>
      <c r="Z269" s="333"/>
    </row>
    <row r="270" spans="1:26" ht="15.6">
      <c r="A270" s="333"/>
      <c r="B270" s="348"/>
      <c r="C270" s="348"/>
      <c r="D270" s="348"/>
      <c r="E270" s="348"/>
      <c r="F270" s="348"/>
      <c r="G270" s="348"/>
      <c r="H270" s="348"/>
      <c r="I270" s="348"/>
      <c r="J270" s="348"/>
      <c r="K270" s="348"/>
      <c r="L270" s="333"/>
      <c r="M270" s="333"/>
      <c r="N270" s="333"/>
      <c r="O270" s="333"/>
      <c r="P270" s="333"/>
      <c r="Q270" s="333"/>
      <c r="R270" s="333"/>
      <c r="S270" s="333"/>
      <c r="T270" s="333"/>
      <c r="U270" s="333"/>
      <c r="V270" s="333"/>
      <c r="W270" s="333"/>
      <c r="X270" s="333"/>
      <c r="Y270" s="333"/>
      <c r="Z270" s="333"/>
    </row>
    <row r="271" spans="1:26" ht="15.6">
      <c r="A271" s="333"/>
      <c r="B271" s="348"/>
      <c r="C271" s="348"/>
      <c r="D271" s="348"/>
      <c r="E271" s="348"/>
      <c r="F271" s="348"/>
      <c r="G271" s="348"/>
      <c r="H271" s="348"/>
      <c r="I271" s="348"/>
      <c r="J271" s="348"/>
      <c r="K271" s="348"/>
      <c r="L271" s="333"/>
      <c r="M271" s="333"/>
      <c r="N271" s="333"/>
      <c r="O271" s="333"/>
      <c r="P271" s="333"/>
      <c r="Q271" s="333"/>
      <c r="R271" s="333"/>
      <c r="S271" s="333"/>
      <c r="T271" s="333"/>
      <c r="U271" s="333"/>
      <c r="V271" s="333"/>
      <c r="W271" s="333"/>
      <c r="X271" s="333"/>
      <c r="Y271" s="333"/>
      <c r="Z271" s="333"/>
    </row>
    <row r="272" spans="1:26" ht="15.6">
      <c r="A272" s="333"/>
      <c r="B272" s="348"/>
      <c r="C272" s="348"/>
      <c r="D272" s="348"/>
      <c r="E272" s="348"/>
      <c r="F272" s="348"/>
      <c r="G272" s="348"/>
      <c r="H272" s="348"/>
      <c r="I272" s="348"/>
      <c r="J272" s="348"/>
      <c r="K272" s="348"/>
      <c r="L272" s="333"/>
      <c r="M272" s="333"/>
      <c r="N272" s="333"/>
      <c r="O272" s="333"/>
      <c r="P272" s="333"/>
      <c r="Q272" s="333"/>
      <c r="R272" s="333"/>
      <c r="S272" s="333"/>
      <c r="T272" s="333"/>
      <c r="U272" s="333"/>
      <c r="V272" s="333"/>
      <c r="W272" s="333"/>
      <c r="X272" s="333"/>
      <c r="Y272" s="333"/>
      <c r="Z272" s="333"/>
    </row>
    <row r="273" spans="1:26" ht="15.6">
      <c r="A273" s="333"/>
      <c r="B273" s="348"/>
      <c r="C273" s="348"/>
      <c r="D273" s="348"/>
      <c r="E273" s="348"/>
      <c r="F273" s="348"/>
      <c r="G273" s="348"/>
      <c r="H273" s="348"/>
      <c r="I273" s="348"/>
      <c r="J273" s="348"/>
      <c r="K273" s="348"/>
      <c r="L273" s="333"/>
      <c r="M273" s="333"/>
      <c r="N273" s="333"/>
      <c r="O273" s="333"/>
      <c r="P273" s="333"/>
      <c r="Q273" s="333"/>
      <c r="R273" s="333"/>
      <c r="S273" s="333"/>
      <c r="T273" s="333"/>
      <c r="U273" s="333"/>
      <c r="V273" s="333"/>
      <c r="W273" s="333"/>
      <c r="X273" s="333"/>
      <c r="Y273" s="333"/>
      <c r="Z273" s="333"/>
    </row>
    <row r="274" spans="1:26" ht="15.6">
      <c r="A274" s="333"/>
      <c r="B274" s="348"/>
      <c r="C274" s="348"/>
      <c r="D274" s="348"/>
      <c r="E274" s="348"/>
      <c r="F274" s="348"/>
      <c r="G274" s="348"/>
      <c r="H274" s="348"/>
      <c r="I274" s="348"/>
      <c r="J274" s="348"/>
      <c r="K274" s="348"/>
      <c r="L274" s="333"/>
      <c r="M274" s="333"/>
      <c r="N274" s="333"/>
      <c r="O274" s="333"/>
      <c r="P274" s="333"/>
      <c r="Q274" s="333"/>
      <c r="R274" s="333"/>
      <c r="S274" s="333"/>
      <c r="T274" s="333"/>
      <c r="U274" s="333"/>
      <c r="V274" s="333"/>
      <c r="W274" s="333"/>
      <c r="X274" s="333"/>
      <c r="Y274" s="333"/>
      <c r="Z274" s="333"/>
    </row>
    <row r="275" spans="1:26" ht="15.6">
      <c r="A275" s="333"/>
      <c r="B275" s="348"/>
      <c r="C275" s="348"/>
      <c r="D275" s="348"/>
      <c r="E275" s="348"/>
      <c r="F275" s="348"/>
      <c r="G275" s="348"/>
      <c r="H275" s="348"/>
      <c r="I275" s="348"/>
      <c r="J275" s="348"/>
      <c r="K275" s="348"/>
      <c r="L275" s="333"/>
      <c r="M275" s="333"/>
      <c r="N275" s="333"/>
      <c r="O275" s="333"/>
      <c r="P275" s="333"/>
      <c r="Q275" s="333"/>
      <c r="R275" s="333"/>
      <c r="S275" s="333"/>
      <c r="T275" s="333"/>
      <c r="U275" s="333"/>
      <c r="V275" s="333"/>
      <c r="W275" s="333"/>
      <c r="X275" s="333"/>
      <c r="Y275" s="333"/>
      <c r="Z275" s="333"/>
    </row>
    <row r="276" spans="1:26" ht="15.6">
      <c r="A276" s="333"/>
      <c r="B276" s="348"/>
      <c r="C276" s="348"/>
      <c r="D276" s="348"/>
      <c r="E276" s="348"/>
      <c r="F276" s="348"/>
      <c r="G276" s="348"/>
      <c r="H276" s="348"/>
      <c r="I276" s="348"/>
      <c r="J276" s="348"/>
      <c r="K276" s="348"/>
      <c r="L276" s="333"/>
      <c r="M276" s="333"/>
      <c r="N276" s="333"/>
      <c r="O276" s="333"/>
      <c r="P276" s="333"/>
      <c r="Q276" s="333"/>
      <c r="R276" s="333"/>
      <c r="S276" s="333"/>
      <c r="T276" s="333"/>
      <c r="U276" s="333"/>
      <c r="V276" s="333"/>
      <c r="W276" s="333"/>
      <c r="X276" s="333"/>
      <c r="Y276" s="333"/>
      <c r="Z276" s="333"/>
    </row>
    <row r="277" spans="1:26" ht="15.6">
      <c r="A277" s="333"/>
      <c r="B277" s="348"/>
      <c r="C277" s="348"/>
      <c r="D277" s="348"/>
      <c r="E277" s="348"/>
      <c r="F277" s="348"/>
      <c r="G277" s="348"/>
      <c r="H277" s="348"/>
      <c r="I277" s="348"/>
      <c r="J277" s="348"/>
      <c r="K277" s="348"/>
      <c r="L277" s="333"/>
      <c r="M277" s="333"/>
      <c r="N277" s="333"/>
      <c r="O277" s="333"/>
      <c r="P277" s="333"/>
      <c r="Q277" s="333"/>
      <c r="R277" s="333"/>
      <c r="S277" s="333"/>
      <c r="T277" s="333"/>
      <c r="U277" s="333"/>
      <c r="V277" s="333"/>
      <c r="W277" s="333"/>
      <c r="X277" s="333"/>
      <c r="Y277" s="333"/>
      <c r="Z277" s="333"/>
    </row>
    <row r="278" spans="1:26" ht="15.6">
      <c r="A278" s="333"/>
      <c r="B278" s="348"/>
      <c r="C278" s="348"/>
      <c r="D278" s="348"/>
      <c r="E278" s="348"/>
      <c r="F278" s="348"/>
      <c r="G278" s="348"/>
      <c r="H278" s="348"/>
      <c r="I278" s="348"/>
      <c r="J278" s="348"/>
      <c r="K278" s="348"/>
      <c r="L278" s="333"/>
      <c r="M278" s="333"/>
      <c r="N278" s="333"/>
      <c r="O278" s="333"/>
      <c r="P278" s="333"/>
      <c r="Q278" s="333"/>
      <c r="R278" s="333"/>
      <c r="S278" s="333"/>
      <c r="T278" s="333"/>
      <c r="U278" s="333"/>
      <c r="V278" s="333"/>
      <c r="W278" s="333"/>
      <c r="X278" s="333"/>
      <c r="Y278" s="333"/>
      <c r="Z278" s="333"/>
    </row>
    <row r="279" spans="1:26" ht="15.6">
      <c r="A279" s="333"/>
      <c r="B279" s="348"/>
      <c r="C279" s="348"/>
      <c r="D279" s="348"/>
      <c r="E279" s="348"/>
      <c r="F279" s="348"/>
      <c r="G279" s="348"/>
      <c r="H279" s="348"/>
      <c r="I279" s="348"/>
      <c r="J279" s="348"/>
      <c r="K279" s="348"/>
      <c r="L279" s="333"/>
      <c r="M279" s="333"/>
      <c r="N279" s="333"/>
      <c r="O279" s="333"/>
      <c r="P279" s="333"/>
      <c r="Q279" s="333"/>
      <c r="R279" s="333"/>
      <c r="S279" s="333"/>
      <c r="T279" s="333"/>
      <c r="U279" s="333"/>
      <c r="V279" s="333"/>
      <c r="W279" s="333"/>
      <c r="X279" s="333"/>
      <c r="Y279" s="333"/>
      <c r="Z279" s="333"/>
    </row>
    <row r="280" spans="1:26" ht="15.6">
      <c r="A280" s="333"/>
      <c r="B280" s="348"/>
      <c r="C280" s="348"/>
      <c r="D280" s="348"/>
      <c r="E280" s="348"/>
      <c r="F280" s="348"/>
      <c r="G280" s="348"/>
      <c r="H280" s="348"/>
      <c r="I280" s="348"/>
      <c r="J280" s="348"/>
      <c r="K280" s="348"/>
      <c r="L280" s="333"/>
      <c r="M280" s="333"/>
      <c r="N280" s="333"/>
      <c r="O280" s="333"/>
      <c r="P280" s="333"/>
      <c r="Q280" s="333"/>
      <c r="R280" s="333"/>
      <c r="S280" s="333"/>
      <c r="T280" s="333"/>
      <c r="U280" s="333"/>
      <c r="V280" s="333"/>
      <c r="W280" s="333"/>
      <c r="X280" s="333"/>
      <c r="Y280" s="333"/>
      <c r="Z280" s="333"/>
    </row>
    <row r="281" spans="1:26" ht="15.6">
      <c r="A281" s="333"/>
      <c r="B281" s="348"/>
      <c r="C281" s="348"/>
      <c r="D281" s="348"/>
      <c r="E281" s="348"/>
      <c r="F281" s="348"/>
      <c r="G281" s="348"/>
      <c r="H281" s="348"/>
      <c r="I281" s="348"/>
      <c r="J281" s="348"/>
      <c r="K281" s="348"/>
      <c r="L281" s="333"/>
      <c r="M281" s="333"/>
      <c r="N281" s="333"/>
      <c r="O281" s="333"/>
      <c r="P281" s="333"/>
      <c r="Q281" s="333"/>
      <c r="R281" s="333"/>
      <c r="S281" s="333"/>
      <c r="T281" s="333"/>
      <c r="U281" s="333"/>
      <c r="V281" s="333"/>
      <c r="W281" s="333"/>
      <c r="X281" s="333"/>
      <c r="Y281" s="333"/>
      <c r="Z281" s="333"/>
    </row>
    <row r="282" spans="1:26" ht="15.6">
      <c r="A282" s="333"/>
      <c r="B282" s="348"/>
      <c r="C282" s="348"/>
      <c r="D282" s="348"/>
      <c r="E282" s="348"/>
      <c r="F282" s="348"/>
      <c r="G282" s="348"/>
      <c r="H282" s="348"/>
      <c r="I282" s="348"/>
      <c r="J282" s="348"/>
      <c r="K282" s="348"/>
      <c r="L282" s="333"/>
      <c r="M282" s="333"/>
      <c r="N282" s="333"/>
      <c r="O282" s="333"/>
      <c r="P282" s="333"/>
      <c r="Q282" s="333"/>
      <c r="R282" s="333"/>
      <c r="S282" s="333"/>
      <c r="T282" s="333"/>
      <c r="U282" s="333"/>
      <c r="V282" s="333"/>
      <c r="W282" s="333"/>
      <c r="X282" s="333"/>
      <c r="Y282" s="333"/>
      <c r="Z282" s="333"/>
    </row>
    <row r="283" spans="1:26" ht="15.6">
      <c r="A283" s="333"/>
      <c r="B283" s="348"/>
      <c r="C283" s="348"/>
      <c r="D283" s="348"/>
      <c r="E283" s="348"/>
      <c r="F283" s="348"/>
      <c r="G283" s="348"/>
      <c r="H283" s="348"/>
      <c r="I283" s="348"/>
      <c r="J283" s="348"/>
      <c r="K283" s="348"/>
      <c r="L283" s="333"/>
      <c r="M283" s="333"/>
      <c r="N283" s="333"/>
      <c r="O283" s="333"/>
      <c r="P283" s="333"/>
      <c r="Q283" s="333"/>
      <c r="R283" s="333"/>
      <c r="S283" s="333"/>
      <c r="T283" s="333"/>
      <c r="U283" s="333"/>
      <c r="V283" s="333"/>
      <c r="W283" s="333"/>
      <c r="X283" s="333"/>
      <c r="Y283" s="333"/>
      <c r="Z283" s="333"/>
    </row>
    <row r="284" spans="1:26" ht="15.6">
      <c r="A284" s="333"/>
      <c r="B284" s="348"/>
      <c r="C284" s="348"/>
      <c r="D284" s="348"/>
      <c r="E284" s="348"/>
      <c r="F284" s="348"/>
      <c r="G284" s="348"/>
      <c r="H284" s="348"/>
      <c r="I284" s="348"/>
      <c r="J284" s="348"/>
      <c r="K284" s="348"/>
      <c r="L284" s="333"/>
      <c r="M284" s="333"/>
      <c r="N284" s="333"/>
      <c r="O284" s="333"/>
      <c r="P284" s="333"/>
      <c r="Q284" s="333"/>
      <c r="R284" s="333"/>
      <c r="S284" s="333"/>
      <c r="T284" s="333"/>
      <c r="U284" s="333"/>
      <c r="V284" s="333"/>
      <c r="W284" s="333"/>
      <c r="X284" s="333"/>
      <c r="Y284" s="333"/>
      <c r="Z284" s="333"/>
    </row>
    <row r="285" spans="1:26" ht="15.6">
      <c r="A285" s="333"/>
      <c r="B285" s="348"/>
      <c r="C285" s="348"/>
      <c r="D285" s="348"/>
      <c r="E285" s="348"/>
      <c r="F285" s="348"/>
      <c r="G285" s="348"/>
      <c r="H285" s="348"/>
      <c r="I285" s="348"/>
      <c r="J285" s="348"/>
      <c r="K285" s="348"/>
      <c r="L285" s="333"/>
      <c r="M285" s="333"/>
      <c r="N285" s="333"/>
      <c r="O285" s="333"/>
      <c r="P285" s="333"/>
      <c r="Q285" s="333"/>
      <c r="R285" s="333"/>
      <c r="S285" s="333"/>
      <c r="T285" s="333"/>
      <c r="U285" s="333"/>
      <c r="V285" s="333"/>
      <c r="W285" s="333"/>
      <c r="X285" s="333"/>
      <c r="Y285" s="333"/>
      <c r="Z285" s="333"/>
    </row>
    <row r="286" spans="1:26" ht="15.6">
      <c r="A286" s="333"/>
      <c r="B286" s="348"/>
      <c r="C286" s="348"/>
      <c r="D286" s="348"/>
      <c r="E286" s="348"/>
      <c r="F286" s="348"/>
      <c r="G286" s="348"/>
      <c r="H286" s="348"/>
      <c r="I286" s="348"/>
      <c r="J286" s="348"/>
      <c r="K286" s="348"/>
      <c r="L286" s="333"/>
      <c r="M286" s="333"/>
      <c r="N286" s="333"/>
      <c r="O286" s="333"/>
      <c r="P286" s="333"/>
      <c r="Q286" s="333"/>
      <c r="R286" s="333"/>
      <c r="S286" s="333"/>
      <c r="T286" s="333"/>
      <c r="U286" s="333"/>
      <c r="V286" s="333"/>
      <c r="W286" s="333"/>
      <c r="X286" s="333"/>
      <c r="Y286" s="333"/>
      <c r="Z286" s="333"/>
    </row>
    <row r="287" spans="1:26" ht="15.6">
      <c r="A287" s="333"/>
      <c r="B287" s="348"/>
      <c r="C287" s="348"/>
      <c r="D287" s="348"/>
      <c r="E287" s="348"/>
      <c r="F287" s="348"/>
      <c r="G287" s="348"/>
      <c r="H287" s="348"/>
      <c r="I287" s="348"/>
      <c r="J287" s="348"/>
      <c r="K287" s="348"/>
      <c r="L287" s="333"/>
      <c r="M287" s="333"/>
      <c r="N287" s="333"/>
      <c r="O287" s="333"/>
      <c r="P287" s="333"/>
      <c r="Q287" s="333"/>
      <c r="R287" s="333"/>
      <c r="S287" s="333"/>
      <c r="T287" s="333"/>
      <c r="U287" s="333"/>
      <c r="V287" s="333"/>
      <c r="W287" s="333"/>
      <c r="X287" s="333"/>
      <c r="Y287" s="333"/>
      <c r="Z287" s="333"/>
    </row>
    <row r="288" spans="1:26" ht="15.6">
      <c r="A288" s="333"/>
      <c r="B288" s="348"/>
      <c r="C288" s="348"/>
      <c r="D288" s="348"/>
      <c r="E288" s="348"/>
      <c r="F288" s="348"/>
      <c r="G288" s="348"/>
      <c r="H288" s="348"/>
      <c r="I288" s="348"/>
      <c r="J288" s="348"/>
      <c r="K288" s="348"/>
      <c r="L288" s="333"/>
      <c r="M288" s="333"/>
      <c r="N288" s="333"/>
      <c r="O288" s="333"/>
      <c r="P288" s="333"/>
      <c r="Q288" s="333"/>
      <c r="R288" s="333"/>
      <c r="S288" s="333"/>
      <c r="T288" s="333"/>
      <c r="U288" s="333"/>
      <c r="V288" s="333"/>
      <c r="W288" s="333"/>
      <c r="X288" s="333"/>
      <c r="Y288" s="333"/>
      <c r="Z288" s="333"/>
    </row>
    <row r="289" spans="1:26" ht="15.6">
      <c r="A289" s="333"/>
      <c r="B289" s="348"/>
      <c r="C289" s="348"/>
      <c r="D289" s="348"/>
      <c r="E289" s="348"/>
      <c r="F289" s="348"/>
      <c r="G289" s="348"/>
      <c r="H289" s="348"/>
      <c r="I289" s="348"/>
      <c r="J289" s="348"/>
      <c r="K289" s="348"/>
      <c r="L289" s="333"/>
      <c r="M289" s="333"/>
      <c r="N289" s="333"/>
      <c r="O289" s="333"/>
      <c r="P289" s="333"/>
      <c r="Q289" s="333"/>
      <c r="R289" s="333"/>
      <c r="S289" s="333"/>
      <c r="T289" s="333"/>
      <c r="U289" s="333"/>
      <c r="V289" s="333"/>
      <c r="W289" s="333"/>
      <c r="X289" s="333"/>
      <c r="Y289" s="333"/>
      <c r="Z289" s="333"/>
    </row>
    <row r="290" spans="1:26" ht="15.6">
      <c r="A290" s="333"/>
      <c r="B290" s="348"/>
      <c r="C290" s="348"/>
      <c r="D290" s="348"/>
      <c r="E290" s="348"/>
      <c r="F290" s="348"/>
      <c r="G290" s="348"/>
      <c r="H290" s="348"/>
      <c r="I290" s="348"/>
      <c r="J290" s="348"/>
      <c r="K290" s="348"/>
      <c r="L290" s="333"/>
      <c r="M290" s="333"/>
      <c r="N290" s="333"/>
      <c r="O290" s="333"/>
      <c r="P290" s="333"/>
      <c r="Q290" s="333"/>
      <c r="R290" s="333"/>
      <c r="S290" s="333"/>
      <c r="T290" s="333"/>
      <c r="U290" s="333"/>
      <c r="V290" s="333"/>
      <c r="W290" s="333"/>
      <c r="X290" s="333"/>
      <c r="Y290" s="333"/>
      <c r="Z290" s="333"/>
    </row>
    <row r="291" spans="1:26" ht="15.6">
      <c r="A291" s="333"/>
      <c r="B291" s="348"/>
      <c r="C291" s="348"/>
      <c r="D291" s="348"/>
      <c r="E291" s="348"/>
      <c r="F291" s="348"/>
      <c r="G291" s="348"/>
      <c r="H291" s="348"/>
      <c r="I291" s="348"/>
      <c r="J291" s="348"/>
      <c r="K291" s="348"/>
      <c r="L291" s="333"/>
      <c r="M291" s="333"/>
      <c r="N291" s="333"/>
      <c r="O291" s="333"/>
      <c r="P291" s="333"/>
      <c r="Q291" s="333"/>
      <c r="R291" s="333"/>
      <c r="S291" s="333"/>
      <c r="T291" s="333"/>
      <c r="U291" s="333"/>
      <c r="V291" s="333"/>
      <c r="W291" s="333"/>
      <c r="X291" s="333"/>
      <c r="Y291" s="333"/>
      <c r="Z291" s="333"/>
    </row>
    <row r="292" spans="1:26" ht="15.6">
      <c r="A292" s="333"/>
      <c r="B292" s="348"/>
      <c r="C292" s="348"/>
      <c r="D292" s="348"/>
      <c r="E292" s="348"/>
      <c r="F292" s="348"/>
      <c r="G292" s="348"/>
      <c r="H292" s="348"/>
      <c r="I292" s="348"/>
      <c r="J292" s="348"/>
      <c r="K292" s="348"/>
      <c r="L292" s="333"/>
      <c r="M292" s="333"/>
      <c r="N292" s="333"/>
      <c r="O292" s="333"/>
      <c r="P292" s="333"/>
      <c r="Q292" s="333"/>
      <c r="R292" s="333"/>
      <c r="S292" s="333"/>
      <c r="T292" s="333"/>
      <c r="U292" s="333"/>
      <c r="V292" s="333"/>
      <c r="W292" s="333"/>
      <c r="X292" s="333"/>
      <c r="Y292" s="333"/>
      <c r="Z292" s="333"/>
    </row>
    <row r="293" spans="1:26" ht="15.6">
      <c r="A293" s="333"/>
      <c r="B293" s="348"/>
      <c r="C293" s="348"/>
      <c r="D293" s="348"/>
      <c r="E293" s="348"/>
      <c r="F293" s="348"/>
      <c r="G293" s="348"/>
      <c r="H293" s="348"/>
      <c r="I293" s="348"/>
      <c r="J293" s="348"/>
      <c r="K293" s="348"/>
      <c r="L293" s="333"/>
      <c r="M293" s="333"/>
      <c r="N293" s="333"/>
      <c r="O293" s="333"/>
      <c r="P293" s="333"/>
      <c r="Q293" s="333"/>
      <c r="R293" s="333"/>
      <c r="S293" s="333"/>
      <c r="T293" s="333"/>
      <c r="U293" s="333"/>
      <c r="V293" s="333"/>
      <c r="W293" s="333"/>
      <c r="X293" s="333"/>
      <c r="Y293" s="333"/>
      <c r="Z293" s="333"/>
    </row>
    <row r="294" spans="1:26" ht="15.6">
      <c r="A294" s="333"/>
      <c r="B294" s="348"/>
      <c r="C294" s="348"/>
      <c r="D294" s="348"/>
      <c r="E294" s="348"/>
      <c r="F294" s="348"/>
      <c r="G294" s="348"/>
      <c r="H294" s="348"/>
      <c r="I294" s="348"/>
      <c r="J294" s="348"/>
      <c r="K294" s="348"/>
      <c r="L294" s="333"/>
      <c r="M294" s="333"/>
      <c r="N294" s="333"/>
      <c r="O294" s="333"/>
      <c r="P294" s="333"/>
      <c r="Q294" s="333"/>
      <c r="R294" s="333"/>
      <c r="S294" s="333"/>
      <c r="T294" s="333"/>
      <c r="U294" s="333"/>
      <c r="V294" s="333"/>
      <c r="W294" s="333"/>
      <c r="X294" s="333"/>
      <c r="Y294" s="333"/>
      <c r="Z294" s="333"/>
    </row>
    <row r="295" spans="1:26" ht="15.6">
      <c r="A295" s="333"/>
      <c r="B295" s="348"/>
      <c r="C295" s="348"/>
      <c r="D295" s="348"/>
      <c r="E295" s="348"/>
      <c r="F295" s="348"/>
      <c r="G295" s="348"/>
      <c r="H295" s="348"/>
      <c r="I295" s="348"/>
      <c r="J295" s="348"/>
      <c r="K295" s="348"/>
      <c r="L295" s="333"/>
      <c r="M295" s="333"/>
      <c r="N295" s="333"/>
      <c r="O295" s="333"/>
      <c r="P295" s="333"/>
      <c r="Q295" s="333"/>
      <c r="R295" s="333"/>
      <c r="S295" s="333"/>
      <c r="T295" s="333"/>
      <c r="U295" s="333"/>
      <c r="V295" s="333"/>
      <c r="W295" s="333"/>
      <c r="X295" s="333"/>
      <c r="Y295" s="333"/>
      <c r="Z295" s="333"/>
    </row>
    <row r="296" spans="1:26" ht="15.6">
      <c r="A296" s="333"/>
      <c r="B296" s="348"/>
      <c r="C296" s="348"/>
      <c r="D296" s="348"/>
      <c r="E296" s="348"/>
      <c r="F296" s="348"/>
      <c r="G296" s="348"/>
      <c r="H296" s="348"/>
      <c r="I296" s="348"/>
      <c r="J296" s="348"/>
      <c r="K296" s="348"/>
      <c r="L296" s="333"/>
      <c r="M296" s="333"/>
      <c r="N296" s="333"/>
      <c r="O296" s="333"/>
      <c r="P296" s="333"/>
      <c r="Q296" s="333"/>
      <c r="R296" s="333"/>
      <c r="S296" s="333"/>
      <c r="T296" s="333"/>
      <c r="U296" s="333"/>
      <c r="V296" s="333"/>
      <c r="W296" s="333"/>
      <c r="X296" s="333"/>
      <c r="Y296" s="333"/>
      <c r="Z296" s="333"/>
    </row>
    <row r="297" spans="1:26" ht="15.6">
      <c r="A297" s="333"/>
      <c r="B297" s="348"/>
      <c r="C297" s="348"/>
      <c r="D297" s="348"/>
      <c r="E297" s="348"/>
      <c r="F297" s="348"/>
      <c r="G297" s="348"/>
      <c r="H297" s="348"/>
      <c r="I297" s="348"/>
      <c r="J297" s="348"/>
      <c r="K297" s="348"/>
      <c r="L297" s="333"/>
      <c r="M297" s="333"/>
      <c r="N297" s="333"/>
      <c r="O297" s="333"/>
      <c r="P297" s="333"/>
      <c r="Q297" s="333"/>
      <c r="R297" s="333"/>
      <c r="S297" s="333"/>
      <c r="T297" s="333"/>
      <c r="U297" s="333"/>
      <c r="V297" s="333"/>
      <c r="W297" s="333"/>
      <c r="X297" s="333"/>
      <c r="Y297" s="333"/>
      <c r="Z297" s="333"/>
    </row>
    <row r="298" spans="1:26" ht="15.6">
      <c r="A298" s="333"/>
      <c r="B298" s="348"/>
      <c r="C298" s="348"/>
      <c r="D298" s="348"/>
      <c r="E298" s="348"/>
      <c r="F298" s="348"/>
      <c r="G298" s="348"/>
      <c r="H298" s="348"/>
      <c r="I298" s="348"/>
      <c r="J298" s="348"/>
      <c r="K298" s="348"/>
      <c r="L298" s="333"/>
      <c r="M298" s="333"/>
      <c r="N298" s="333"/>
      <c r="O298" s="333"/>
      <c r="P298" s="333"/>
      <c r="Q298" s="333"/>
      <c r="R298" s="333"/>
      <c r="S298" s="333"/>
      <c r="T298" s="333"/>
      <c r="U298" s="333"/>
      <c r="V298" s="333"/>
      <c r="W298" s="333"/>
      <c r="X298" s="333"/>
      <c r="Y298" s="333"/>
      <c r="Z298" s="333"/>
    </row>
    <row r="299" spans="1:26" ht="15.6">
      <c r="A299" s="333"/>
      <c r="B299" s="348"/>
      <c r="C299" s="348"/>
      <c r="D299" s="348"/>
      <c r="E299" s="348"/>
      <c r="F299" s="348"/>
      <c r="G299" s="348"/>
      <c r="H299" s="348"/>
      <c r="I299" s="348"/>
      <c r="J299" s="348"/>
      <c r="K299" s="348"/>
      <c r="L299" s="333"/>
      <c r="M299" s="333"/>
      <c r="N299" s="333"/>
      <c r="O299" s="333"/>
      <c r="P299" s="333"/>
      <c r="Q299" s="333"/>
      <c r="R299" s="333"/>
      <c r="S299" s="333"/>
      <c r="T299" s="333"/>
      <c r="U299" s="333"/>
      <c r="V299" s="333"/>
      <c r="W299" s="333"/>
      <c r="X299" s="333"/>
      <c r="Y299" s="333"/>
      <c r="Z299" s="333"/>
    </row>
    <row r="300" spans="1:26" ht="15.6">
      <c r="A300" s="333"/>
      <c r="B300" s="348"/>
      <c r="C300" s="348"/>
      <c r="D300" s="348"/>
      <c r="E300" s="348"/>
      <c r="F300" s="348"/>
      <c r="G300" s="348"/>
      <c r="H300" s="348"/>
      <c r="I300" s="348"/>
      <c r="J300" s="348"/>
      <c r="K300" s="348"/>
      <c r="L300" s="333"/>
      <c r="M300" s="333"/>
      <c r="N300" s="333"/>
      <c r="O300" s="333"/>
      <c r="P300" s="333"/>
      <c r="Q300" s="333"/>
      <c r="R300" s="333"/>
      <c r="S300" s="333"/>
      <c r="T300" s="333"/>
      <c r="U300" s="333"/>
      <c r="V300" s="333"/>
      <c r="W300" s="333"/>
      <c r="X300" s="333"/>
      <c r="Y300" s="333"/>
      <c r="Z300" s="333"/>
    </row>
    <row r="301" spans="1:26" ht="15.6">
      <c r="A301" s="333"/>
      <c r="B301" s="348"/>
      <c r="C301" s="348"/>
      <c r="D301" s="348"/>
      <c r="E301" s="348"/>
      <c r="F301" s="348"/>
      <c r="G301" s="348"/>
      <c r="H301" s="348"/>
      <c r="I301" s="348"/>
      <c r="J301" s="348"/>
      <c r="K301" s="348"/>
      <c r="L301" s="333"/>
      <c r="M301" s="333"/>
      <c r="N301" s="333"/>
      <c r="O301" s="333"/>
      <c r="P301" s="333"/>
      <c r="Q301" s="333"/>
      <c r="R301" s="333"/>
      <c r="S301" s="333"/>
      <c r="T301" s="333"/>
      <c r="U301" s="333"/>
      <c r="V301" s="333"/>
      <c r="W301" s="333"/>
      <c r="X301" s="333"/>
      <c r="Y301" s="333"/>
      <c r="Z301" s="333"/>
    </row>
    <row r="302" spans="1:26" ht="15.6">
      <c r="A302" s="333"/>
      <c r="B302" s="348"/>
      <c r="C302" s="348"/>
      <c r="D302" s="348"/>
      <c r="E302" s="348"/>
      <c r="F302" s="348"/>
      <c r="G302" s="348"/>
      <c r="H302" s="348"/>
      <c r="I302" s="348"/>
      <c r="J302" s="348"/>
      <c r="K302" s="348"/>
      <c r="L302" s="333"/>
      <c r="M302" s="333"/>
      <c r="N302" s="333"/>
      <c r="O302" s="333"/>
      <c r="P302" s="333"/>
      <c r="Q302" s="333"/>
      <c r="R302" s="333"/>
      <c r="S302" s="333"/>
      <c r="T302" s="333"/>
      <c r="U302" s="333"/>
      <c r="V302" s="333"/>
      <c r="W302" s="333"/>
      <c r="X302" s="333"/>
      <c r="Y302" s="333"/>
      <c r="Z302" s="333"/>
    </row>
    <row r="303" spans="1:26" ht="15.6">
      <c r="A303" s="333"/>
      <c r="B303" s="348"/>
      <c r="C303" s="348"/>
      <c r="D303" s="348"/>
      <c r="E303" s="348"/>
      <c r="F303" s="348"/>
      <c r="G303" s="348"/>
      <c r="H303" s="348"/>
      <c r="I303" s="348"/>
      <c r="J303" s="348"/>
      <c r="K303" s="348"/>
      <c r="L303" s="333"/>
      <c r="M303" s="333"/>
      <c r="N303" s="333"/>
      <c r="O303" s="333"/>
      <c r="P303" s="333"/>
      <c r="Q303" s="333"/>
      <c r="R303" s="333"/>
      <c r="S303" s="333"/>
      <c r="T303" s="333"/>
      <c r="U303" s="333"/>
      <c r="V303" s="333"/>
      <c r="W303" s="333"/>
      <c r="X303" s="333"/>
      <c r="Y303" s="333"/>
      <c r="Z303" s="333"/>
    </row>
    <row r="304" spans="1:26" ht="15.6">
      <c r="A304" s="333"/>
      <c r="B304" s="348"/>
      <c r="C304" s="348"/>
      <c r="D304" s="348"/>
      <c r="E304" s="348"/>
      <c r="F304" s="348"/>
      <c r="G304" s="348"/>
      <c r="H304" s="348"/>
      <c r="I304" s="348"/>
      <c r="J304" s="348"/>
      <c r="K304" s="348"/>
      <c r="L304" s="333"/>
      <c r="M304" s="333"/>
      <c r="N304" s="333"/>
      <c r="O304" s="333"/>
      <c r="P304" s="333"/>
      <c r="Q304" s="333"/>
      <c r="R304" s="333"/>
      <c r="S304" s="333"/>
      <c r="T304" s="333"/>
      <c r="U304" s="333"/>
      <c r="V304" s="333"/>
      <c r="W304" s="333"/>
      <c r="X304" s="333"/>
      <c r="Y304" s="333"/>
      <c r="Z304" s="333"/>
    </row>
    <row r="305" spans="1:26" ht="15.6">
      <c r="A305" s="333"/>
      <c r="B305" s="348"/>
      <c r="C305" s="348"/>
      <c r="D305" s="348"/>
      <c r="E305" s="348"/>
      <c r="F305" s="348"/>
      <c r="G305" s="348"/>
      <c r="H305" s="348"/>
      <c r="I305" s="348"/>
      <c r="J305" s="348"/>
      <c r="K305" s="348"/>
      <c r="L305" s="333"/>
      <c r="M305" s="333"/>
      <c r="N305" s="333"/>
      <c r="O305" s="333"/>
      <c r="P305" s="333"/>
      <c r="Q305" s="333"/>
      <c r="R305" s="333"/>
      <c r="S305" s="333"/>
      <c r="T305" s="333"/>
      <c r="U305" s="333"/>
      <c r="V305" s="333"/>
      <c r="W305" s="333"/>
      <c r="X305" s="333"/>
      <c r="Y305" s="333"/>
      <c r="Z305" s="333"/>
    </row>
    <row r="306" spans="1:26" ht="15.6">
      <c r="A306" s="333"/>
      <c r="B306" s="348"/>
      <c r="C306" s="348"/>
      <c r="D306" s="348"/>
      <c r="E306" s="348"/>
      <c r="F306" s="348"/>
      <c r="G306" s="348"/>
      <c r="H306" s="348"/>
      <c r="I306" s="348"/>
      <c r="J306" s="348"/>
      <c r="K306" s="348"/>
      <c r="L306" s="333"/>
      <c r="M306" s="333"/>
      <c r="N306" s="333"/>
      <c r="O306" s="333"/>
      <c r="P306" s="333"/>
      <c r="Q306" s="333"/>
      <c r="R306" s="333"/>
      <c r="S306" s="333"/>
      <c r="T306" s="333"/>
      <c r="U306" s="333"/>
      <c r="V306" s="333"/>
      <c r="W306" s="333"/>
      <c r="X306" s="333"/>
      <c r="Y306" s="333"/>
      <c r="Z306" s="333"/>
    </row>
    <row r="307" spans="1:26" ht="15.6">
      <c r="A307" s="333"/>
      <c r="B307" s="348"/>
      <c r="C307" s="348"/>
      <c r="D307" s="348"/>
      <c r="E307" s="348"/>
      <c r="F307" s="348"/>
      <c r="G307" s="348"/>
      <c r="H307" s="348"/>
      <c r="I307" s="348"/>
      <c r="J307" s="348"/>
      <c r="K307" s="348"/>
      <c r="L307" s="333"/>
      <c r="M307" s="333"/>
      <c r="N307" s="333"/>
      <c r="O307" s="333"/>
      <c r="P307" s="333"/>
      <c r="Q307" s="333"/>
      <c r="R307" s="333"/>
      <c r="S307" s="333"/>
      <c r="T307" s="333"/>
      <c r="U307" s="333"/>
      <c r="V307" s="333"/>
      <c r="W307" s="333"/>
      <c r="X307" s="333"/>
      <c r="Y307" s="333"/>
      <c r="Z307" s="333"/>
    </row>
    <row r="308" spans="1:26" ht="15.6">
      <c r="A308" s="333"/>
      <c r="B308" s="348"/>
      <c r="C308" s="348"/>
      <c r="D308" s="348"/>
      <c r="E308" s="348"/>
      <c r="F308" s="348"/>
      <c r="G308" s="348"/>
      <c r="H308" s="348"/>
      <c r="I308" s="348"/>
      <c r="J308" s="348"/>
      <c r="K308" s="348"/>
      <c r="L308" s="333"/>
      <c r="M308" s="333"/>
      <c r="N308" s="333"/>
      <c r="O308" s="333"/>
      <c r="P308" s="333"/>
      <c r="Q308" s="333"/>
      <c r="R308" s="333"/>
      <c r="S308" s="333"/>
      <c r="T308" s="333"/>
      <c r="U308" s="333"/>
      <c r="V308" s="333"/>
      <c r="W308" s="333"/>
      <c r="X308" s="333"/>
      <c r="Y308" s="333"/>
      <c r="Z308" s="333"/>
    </row>
    <row r="309" spans="1:26" ht="15.6">
      <c r="A309" s="333"/>
      <c r="B309" s="348"/>
      <c r="C309" s="348"/>
      <c r="D309" s="348"/>
      <c r="E309" s="348"/>
      <c r="F309" s="348"/>
      <c r="G309" s="348"/>
      <c r="H309" s="348"/>
      <c r="I309" s="348"/>
      <c r="J309" s="348"/>
      <c r="K309" s="348"/>
      <c r="L309" s="333"/>
      <c r="M309" s="333"/>
      <c r="N309" s="333"/>
      <c r="O309" s="333"/>
      <c r="P309" s="333"/>
      <c r="Q309" s="333"/>
      <c r="R309" s="333"/>
      <c r="S309" s="333"/>
      <c r="T309" s="333"/>
      <c r="U309" s="333"/>
      <c r="V309" s="333"/>
      <c r="W309" s="333"/>
      <c r="X309" s="333"/>
      <c r="Y309" s="333"/>
      <c r="Z309" s="333"/>
    </row>
    <row r="310" spans="1:26" ht="15.6">
      <c r="A310" s="333"/>
      <c r="B310" s="348"/>
      <c r="C310" s="348"/>
      <c r="D310" s="348"/>
      <c r="E310" s="348"/>
      <c r="F310" s="348"/>
      <c r="G310" s="348"/>
      <c r="H310" s="348"/>
      <c r="I310" s="348"/>
      <c r="J310" s="348"/>
      <c r="K310" s="348"/>
      <c r="L310" s="333"/>
      <c r="M310" s="333"/>
      <c r="N310" s="333"/>
      <c r="O310" s="333"/>
      <c r="P310" s="333"/>
      <c r="Q310" s="333"/>
      <c r="R310" s="333"/>
      <c r="S310" s="333"/>
      <c r="T310" s="333"/>
      <c r="U310" s="333"/>
      <c r="V310" s="333"/>
      <c r="W310" s="333"/>
      <c r="X310" s="333"/>
      <c r="Y310" s="333"/>
      <c r="Z310" s="333"/>
    </row>
    <row r="311" spans="1:26" ht="15.6">
      <c r="A311" s="333"/>
      <c r="B311" s="348"/>
      <c r="C311" s="348"/>
      <c r="D311" s="348"/>
      <c r="E311" s="348"/>
      <c r="F311" s="348"/>
      <c r="G311" s="348"/>
      <c r="H311" s="348"/>
      <c r="I311" s="348"/>
      <c r="J311" s="348"/>
      <c r="K311" s="348"/>
      <c r="L311" s="333"/>
      <c r="M311" s="333"/>
      <c r="N311" s="333"/>
      <c r="O311" s="333"/>
      <c r="P311" s="333"/>
      <c r="Q311" s="333"/>
      <c r="R311" s="333"/>
      <c r="S311" s="333"/>
      <c r="T311" s="333"/>
      <c r="U311" s="333"/>
      <c r="V311" s="333"/>
      <c r="W311" s="333"/>
      <c r="X311" s="333"/>
      <c r="Y311" s="333"/>
      <c r="Z311" s="333"/>
    </row>
    <row r="312" spans="1:26" ht="15.6">
      <c r="A312" s="333"/>
      <c r="B312" s="348"/>
      <c r="C312" s="348"/>
      <c r="D312" s="348"/>
      <c r="E312" s="348"/>
      <c r="F312" s="348"/>
      <c r="G312" s="348"/>
      <c r="H312" s="348"/>
      <c r="I312" s="348"/>
      <c r="J312" s="348"/>
      <c r="K312" s="348"/>
      <c r="L312" s="333"/>
      <c r="M312" s="333"/>
      <c r="N312" s="333"/>
      <c r="O312" s="333"/>
      <c r="P312" s="333"/>
      <c r="Q312" s="333"/>
      <c r="R312" s="333"/>
      <c r="S312" s="333"/>
      <c r="T312" s="333"/>
      <c r="U312" s="333"/>
      <c r="V312" s="333"/>
      <c r="W312" s="333"/>
      <c r="X312" s="333"/>
      <c r="Y312" s="333"/>
      <c r="Z312" s="333"/>
    </row>
    <row r="313" spans="1:26" ht="15.6">
      <c r="A313" s="333"/>
      <c r="B313" s="348"/>
      <c r="C313" s="348"/>
      <c r="D313" s="348"/>
      <c r="E313" s="348"/>
      <c r="F313" s="348"/>
      <c r="G313" s="348"/>
      <c r="H313" s="348"/>
      <c r="I313" s="348"/>
      <c r="J313" s="348"/>
      <c r="K313" s="348"/>
      <c r="L313" s="333"/>
      <c r="M313" s="333"/>
      <c r="N313" s="333"/>
      <c r="O313" s="333"/>
      <c r="P313" s="333"/>
      <c r="Q313" s="333"/>
      <c r="R313" s="333"/>
      <c r="S313" s="333"/>
      <c r="T313" s="333"/>
      <c r="U313" s="333"/>
      <c r="V313" s="333"/>
      <c r="W313" s="333"/>
      <c r="X313" s="333"/>
      <c r="Y313" s="333"/>
      <c r="Z313" s="333"/>
    </row>
    <row r="314" spans="1:26" ht="15.6">
      <c r="A314" s="333"/>
      <c r="B314" s="348"/>
      <c r="C314" s="348"/>
      <c r="D314" s="348"/>
      <c r="E314" s="348"/>
      <c r="F314" s="348"/>
      <c r="G314" s="348"/>
      <c r="H314" s="348"/>
      <c r="I314" s="348"/>
      <c r="J314" s="348"/>
      <c r="K314" s="348"/>
      <c r="L314" s="333"/>
      <c r="M314" s="333"/>
      <c r="N314" s="333"/>
      <c r="O314" s="333"/>
      <c r="P314" s="333"/>
      <c r="Q314" s="333"/>
      <c r="R314" s="333"/>
      <c r="S314" s="333"/>
      <c r="T314" s="333"/>
      <c r="U314" s="333"/>
      <c r="V314" s="333"/>
      <c r="W314" s="333"/>
      <c r="X314" s="333"/>
      <c r="Y314" s="333"/>
      <c r="Z314" s="333"/>
    </row>
    <row r="315" spans="1:26" ht="15.6">
      <c r="A315" s="333"/>
      <c r="B315" s="348"/>
      <c r="C315" s="348"/>
      <c r="D315" s="348"/>
      <c r="E315" s="348"/>
      <c r="F315" s="348"/>
      <c r="G315" s="348"/>
      <c r="H315" s="348"/>
      <c r="I315" s="348"/>
      <c r="J315" s="348"/>
      <c r="K315" s="348"/>
      <c r="L315" s="333"/>
      <c r="M315" s="333"/>
      <c r="N315" s="333"/>
      <c r="O315" s="333"/>
      <c r="P315" s="333"/>
      <c r="Q315" s="333"/>
      <c r="R315" s="333"/>
      <c r="S315" s="333"/>
      <c r="T315" s="333"/>
      <c r="U315" s="333"/>
      <c r="V315" s="333"/>
      <c r="W315" s="333"/>
      <c r="X315" s="333"/>
      <c r="Y315" s="333"/>
      <c r="Z315" s="333"/>
    </row>
    <row r="316" spans="1:26" ht="15.6">
      <c r="A316" s="333"/>
      <c r="B316" s="348"/>
      <c r="C316" s="348"/>
      <c r="D316" s="348"/>
      <c r="E316" s="348"/>
      <c r="F316" s="348"/>
      <c r="G316" s="348"/>
      <c r="H316" s="348"/>
      <c r="I316" s="348"/>
      <c r="J316" s="348"/>
      <c r="K316" s="348"/>
      <c r="L316" s="333"/>
      <c r="M316" s="333"/>
      <c r="N316" s="333"/>
      <c r="O316" s="333"/>
      <c r="P316" s="333"/>
      <c r="Q316" s="333"/>
      <c r="R316" s="333"/>
      <c r="S316" s="333"/>
      <c r="T316" s="333"/>
      <c r="U316" s="333"/>
      <c r="V316" s="333"/>
      <c r="W316" s="333"/>
      <c r="X316" s="333"/>
      <c r="Y316" s="333"/>
      <c r="Z316" s="333"/>
    </row>
    <row r="317" spans="1:26" ht="15.6">
      <c r="A317" s="333"/>
      <c r="B317" s="348"/>
      <c r="C317" s="348"/>
      <c r="D317" s="348"/>
      <c r="E317" s="348"/>
      <c r="F317" s="348"/>
      <c r="G317" s="348"/>
      <c r="H317" s="348"/>
      <c r="I317" s="348"/>
      <c r="J317" s="348"/>
      <c r="K317" s="348"/>
      <c r="L317" s="333"/>
      <c r="M317" s="333"/>
      <c r="N317" s="333"/>
      <c r="O317" s="333"/>
      <c r="P317" s="333"/>
      <c r="Q317" s="333"/>
      <c r="R317" s="333"/>
      <c r="S317" s="333"/>
      <c r="T317" s="333"/>
      <c r="U317" s="333"/>
      <c r="V317" s="333"/>
      <c r="W317" s="333"/>
      <c r="X317" s="333"/>
      <c r="Y317" s="333"/>
      <c r="Z317" s="333"/>
    </row>
    <row r="318" spans="1:26" ht="15.6">
      <c r="A318" s="333"/>
      <c r="B318" s="348"/>
      <c r="C318" s="348"/>
      <c r="D318" s="348"/>
      <c r="E318" s="348"/>
      <c r="F318" s="348"/>
      <c r="G318" s="348"/>
      <c r="H318" s="348"/>
      <c r="I318" s="348"/>
      <c r="J318" s="348"/>
      <c r="K318" s="348"/>
      <c r="L318" s="333"/>
      <c r="M318" s="333"/>
      <c r="N318" s="333"/>
      <c r="O318" s="333"/>
      <c r="P318" s="333"/>
      <c r="Q318" s="333"/>
      <c r="R318" s="333"/>
      <c r="S318" s="333"/>
      <c r="T318" s="333"/>
      <c r="U318" s="333"/>
      <c r="V318" s="333"/>
      <c r="W318" s="333"/>
      <c r="X318" s="333"/>
      <c r="Y318" s="333"/>
      <c r="Z318" s="333"/>
    </row>
    <row r="319" spans="1:26" ht="15.6">
      <c r="A319" s="333"/>
      <c r="B319" s="348"/>
      <c r="C319" s="348"/>
      <c r="D319" s="348"/>
      <c r="E319" s="348"/>
      <c r="F319" s="348"/>
      <c r="G319" s="348"/>
      <c r="H319" s="348"/>
      <c r="I319" s="348"/>
      <c r="J319" s="348"/>
      <c r="K319" s="348"/>
      <c r="L319" s="333"/>
      <c r="M319" s="333"/>
      <c r="N319" s="333"/>
      <c r="O319" s="333"/>
      <c r="P319" s="333"/>
      <c r="Q319" s="333"/>
      <c r="R319" s="333"/>
      <c r="S319" s="333"/>
      <c r="T319" s="333"/>
      <c r="U319" s="333"/>
      <c r="V319" s="333"/>
      <c r="W319" s="333"/>
      <c r="X319" s="333"/>
      <c r="Y319" s="333"/>
      <c r="Z319" s="333"/>
    </row>
    <row r="320" spans="1:26" ht="15.6">
      <c r="A320" s="333"/>
      <c r="B320" s="348"/>
      <c r="C320" s="348"/>
      <c r="D320" s="348"/>
      <c r="E320" s="348"/>
      <c r="F320" s="348"/>
      <c r="G320" s="348"/>
      <c r="H320" s="348"/>
      <c r="I320" s="348"/>
      <c r="J320" s="348"/>
      <c r="K320" s="348"/>
      <c r="L320" s="333"/>
      <c r="M320" s="333"/>
      <c r="N320" s="333"/>
      <c r="O320" s="333"/>
      <c r="P320" s="333"/>
      <c r="Q320" s="333"/>
      <c r="R320" s="333"/>
      <c r="S320" s="333"/>
      <c r="T320" s="333"/>
      <c r="U320" s="333"/>
      <c r="V320" s="333"/>
      <c r="W320" s="333"/>
      <c r="X320" s="333"/>
      <c r="Y320" s="333"/>
      <c r="Z320" s="333"/>
    </row>
    <row r="321" spans="1:26" ht="15.6">
      <c r="A321" s="333"/>
      <c r="B321" s="348"/>
      <c r="C321" s="348"/>
      <c r="D321" s="348"/>
      <c r="E321" s="348"/>
      <c r="F321" s="348"/>
      <c r="G321" s="348"/>
      <c r="H321" s="348"/>
      <c r="I321" s="348"/>
      <c r="J321" s="348"/>
      <c r="K321" s="348"/>
      <c r="L321" s="333"/>
      <c r="M321" s="333"/>
      <c r="N321" s="333"/>
      <c r="O321" s="333"/>
      <c r="P321" s="333"/>
      <c r="Q321" s="333"/>
      <c r="R321" s="333"/>
      <c r="S321" s="333"/>
      <c r="T321" s="333"/>
      <c r="U321" s="333"/>
      <c r="V321" s="333"/>
      <c r="W321" s="333"/>
      <c r="X321" s="333"/>
      <c r="Y321" s="333"/>
      <c r="Z321" s="333"/>
    </row>
    <row r="322" spans="1:26" ht="15.6">
      <c r="A322" s="333"/>
      <c r="B322" s="348"/>
      <c r="C322" s="348"/>
      <c r="D322" s="348"/>
      <c r="E322" s="348"/>
      <c r="F322" s="348"/>
      <c r="G322" s="348"/>
      <c r="H322" s="348"/>
      <c r="I322" s="348"/>
      <c r="J322" s="348"/>
      <c r="K322" s="348"/>
      <c r="L322" s="333"/>
      <c r="M322" s="333"/>
      <c r="N322" s="333"/>
      <c r="O322" s="333"/>
      <c r="P322" s="333"/>
      <c r="Q322" s="333"/>
      <c r="R322" s="333"/>
      <c r="S322" s="333"/>
      <c r="T322" s="333"/>
      <c r="U322" s="333"/>
      <c r="V322" s="333"/>
      <c r="W322" s="333"/>
      <c r="X322" s="333"/>
      <c r="Y322" s="333"/>
      <c r="Z322" s="333"/>
    </row>
    <row r="323" spans="1:26" ht="15.6">
      <c r="A323" s="333"/>
      <c r="B323" s="348"/>
      <c r="C323" s="348"/>
      <c r="D323" s="348"/>
      <c r="E323" s="348"/>
      <c r="F323" s="348"/>
      <c r="G323" s="348"/>
      <c r="H323" s="348"/>
      <c r="I323" s="348"/>
      <c r="J323" s="348"/>
      <c r="K323" s="348"/>
      <c r="L323" s="333"/>
      <c r="M323" s="333"/>
      <c r="N323" s="333"/>
      <c r="O323" s="333"/>
      <c r="P323" s="333"/>
      <c r="Q323" s="333"/>
      <c r="R323" s="333"/>
      <c r="S323" s="333"/>
      <c r="T323" s="333"/>
      <c r="U323" s="333"/>
      <c r="V323" s="333"/>
      <c r="W323" s="333"/>
      <c r="X323" s="333"/>
      <c r="Y323" s="333"/>
      <c r="Z323" s="333"/>
    </row>
    <row r="324" spans="1:26" ht="15.6">
      <c r="A324" s="333"/>
      <c r="B324" s="348"/>
      <c r="C324" s="348"/>
      <c r="D324" s="348"/>
      <c r="E324" s="348"/>
      <c r="F324" s="348"/>
      <c r="G324" s="348"/>
      <c r="H324" s="348"/>
      <c r="I324" s="348"/>
      <c r="J324" s="348"/>
      <c r="K324" s="348"/>
      <c r="L324" s="333"/>
      <c r="M324" s="333"/>
      <c r="N324" s="333"/>
      <c r="O324" s="333"/>
      <c r="P324" s="333"/>
      <c r="Q324" s="333"/>
      <c r="R324" s="333"/>
      <c r="S324" s="333"/>
      <c r="T324" s="333"/>
      <c r="U324" s="333"/>
      <c r="V324" s="333"/>
      <c r="W324" s="333"/>
      <c r="X324" s="333"/>
      <c r="Y324" s="333"/>
      <c r="Z324" s="333"/>
    </row>
    <row r="325" spans="1:26" ht="15.6">
      <c r="A325" s="333"/>
      <c r="B325" s="348"/>
      <c r="C325" s="348"/>
      <c r="D325" s="348"/>
      <c r="E325" s="348"/>
      <c r="F325" s="348"/>
      <c r="G325" s="348"/>
      <c r="H325" s="348"/>
      <c r="I325" s="348"/>
      <c r="J325" s="348"/>
      <c r="K325" s="348"/>
      <c r="L325" s="333"/>
      <c r="M325" s="333"/>
      <c r="N325" s="333"/>
      <c r="O325" s="333"/>
      <c r="P325" s="333"/>
      <c r="Q325" s="333"/>
      <c r="R325" s="333"/>
      <c r="S325" s="333"/>
      <c r="T325" s="333"/>
      <c r="U325" s="333"/>
      <c r="V325" s="333"/>
      <c r="W325" s="333"/>
      <c r="X325" s="333"/>
      <c r="Y325" s="333"/>
      <c r="Z325" s="333"/>
    </row>
    <row r="326" spans="1:26" ht="15.6">
      <c r="A326" s="333"/>
      <c r="B326" s="348"/>
      <c r="C326" s="348"/>
      <c r="D326" s="348"/>
      <c r="E326" s="348"/>
      <c r="F326" s="348"/>
      <c r="G326" s="348"/>
      <c r="H326" s="348"/>
      <c r="I326" s="348"/>
      <c r="J326" s="348"/>
      <c r="K326" s="348"/>
      <c r="L326" s="333"/>
      <c r="M326" s="333"/>
      <c r="N326" s="333"/>
      <c r="O326" s="333"/>
      <c r="P326" s="333"/>
      <c r="Q326" s="333"/>
      <c r="R326" s="333"/>
      <c r="S326" s="333"/>
      <c r="T326" s="333"/>
      <c r="U326" s="333"/>
      <c r="V326" s="333"/>
      <c r="W326" s="333"/>
      <c r="X326" s="333"/>
      <c r="Y326" s="333"/>
      <c r="Z326" s="333"/>
    </row>
    <row r="327" spans="1:26" ht="15.6">
      <c r="A327" s="333"/>
      <c r="B327" s="348"/>
      <c r="C327" s="348"/>
      <c r="D327" s="348"/>
      <c r="E327" s="348"/>
      <c r="F327" s="348"/>
      <c r="G327" s="348"/>
      <c r="H327" s="348"/>
      <c r="I327" s="348"/>
      <c r="J327" s="348"/>
      <c r="K327" s="348"/>
      <c r="L327" s="333"/>
      <c r="M327" s="333"/>
      <c r="N327" s="333"/>
      <c r="O327" s="333"/>
      <c r="P327" s="333"/>
      <c r="Q327" s="333"/>
      <c r="R327" s="333"/>
      <c r="S327" s="333"/>
      <c r="T327" s="333"/>
      <c r="U327" s="333"/>
      <c r="V327" s="333"/>
      <c r="W327" s="333"/>
      <c r="X327" s="333"/>
      <c r="Y327" s="333"/>
      <c r="Z327" s="333"/>
    </row>
    <row r="328" spans="1:26" ht="15.6">
      <c r="A328" s="333"/>
      <c r="B328" s="348"/>
      <c r="C328" s="348"/>
      <c r="D328" s="348"/>
      <c r="E328" s="348"/>
      <c r="F328" s="348"/>
      <c r="G328" s="348"/>
      <c r="H328" s="348"/>
      <c r="I328" s="348"/>
      <c r="J328" s="348"/>
      <c r="K328" s="348"/>
      <c r="L328" s="333"/>
      <c r="M328" s="333"/>
      <c r="N328" s="333"/>
      <c r="O328" s="333"/>
      <c r="P328" s="333"/>
      <c r="Q328" s="333"/>
      <c r="R328" s="333"/>
      <c r="S328" s="333"/>
      <c r="T328" s="333"/>
      <c r="U328" s="333"/>
      <c r="V328" s="333"/>
      <c r="W328" s="333"/>
      <c r="X328" s="333"/>
      <c r="Y328" s="333"/>
      <c r="Z328" s="333"/>
    </row>
    <row r="329" spans="1:26" ht="15.6">
      <c r="A329" s="333"/>
      <c r="B329" s="348"/>
      <c r="C329" s="348"/>
      <c r="D329" s="348"/>
      <c r="E329" s="348"/>
      <c r="F329" s="348"/>
      <c r="G329" s="348"/>
      <c r="H329" s="348"/>
      <c r="I329" s="348"/>
      <c r="J329" s="348"/>
      <c r="K329" s="348"/>
      <c r="L329" s="333"/>
      <c r="M329" s="333"/>
      <c r="N329" s="333"/>
      <c r="O329" s="333"/>
      <c r="P329" s="333"/>
      <c r="Q329" s="333"/>
      <c r="R329" s="333"/>
      <c r="S329" s="333"/>
      <c r="T329" s="333"/>
      <c r="U329" s="333"/>
      <c r="V329" s="333"/>
      <c r="W329" s="333"/>
      <c r="X329" s="333"/>
      <c r="Y329" s="333"/>
      <c r="Z329" s="333"/>
    </row>
    <row r="330" spans="1:26" ht="15.6">
      <c r="A330" s="333"/>
      <c r="B330" s="348"/>
      <c r="C330" s="348"/>
      <c r="D330" s="348"/>
      <c r="E330" s="348"/>
      <c r="F330" s="348"/>
      <c r="G330" s="348"/>
      <c r="H330" s="348"/>
      <c r="I330" s="348"/>
      <c r="J330" s="348"/>
      <c r="K330" s="348"/>
      <c r="L330" s="333"/>
      <c r="M330" s="333"/>
      <c r="N330" s="333"/>
      <c r="O330" s="333"/>
      <c r="P330" s="333"/>
      <c r="Q330" s="333"/>
      <c r="R330" s="333"/>
      <c r="S330" s="333"/>
      <c r="T330" s="333"/>
      <c r="U330" s="333"/>
      <c r="V330" s="333"/>
      <c r="W330" s="333"/>
      <c r="X330" s="333"/>
      <c r="Y330" s="333"/>
      <c r="Z330" s="333"/>
    </row>
    <row r="331" spans="1:26" ht="15.6">
      <c r="A331" s="333"/>
      <c r="B331" s="348"/>
      <c r="C331" s="348"/>
      <c r="D331" s="348"/>
      <c r="E331" s="348"/>
      <c r="F331" s="348"/>
      <c r="G331" s="348"/>
      <c r="H331" s="348"/>
      <c r="I331" s="348"/>
      <c r="J331" s="348"/>
      <c r="K331" s="348"/>
      <c r="L331" s="333"/>
      <c r="M331" s="333"/>
      <c r="N331" s="333"/>
      <c r="O331" s="333"/>
      <c r="P331" s="333"/>
      <c r="Q331" s="333"/>
      <c r="R331" s="333"/>
      <c r="S331" s="333"/>
      <c r="T331" s="333"/>
      <c r="U331" s="333"/>
      <c r="V331" s="333"/>
      <c r="W331" s="333"/>
      <c r="X331" s="333"/>
      <c r="Y331" s="333"/>
      <c r="Z331" s="333"/>
    </row>
    <row r="332" spans="1:26" ht="15.6">
      <c r="A332" s="333"/>
      <c r="B332" s="348"/>
      <c r="C332" s="348"/>
      <c r="D332" s="348"/>
      <c r="E332" s="348"/>
      <c r="F332" s="348"/>
      <c r="G332" s="348"/>
      <c r="H332" s="348"/>
      <c r="I332" s="348"/>
      <c r="J332" s="348"/>
      <c r="K332" s="348"/>
      <c r="L332" s="333"/>
      <c r="M332" s="333"/>
      <c r="N332" s="333"/>
      <c r="O332" s="333"/>
      <c r="P332" s="333"/>
      <c r="Q332" s="333"/>
      <c r="R332" s="333"/>
      <c r="S332" s="333"/>
      <c r="T332" s="333"/>
      <c r="U332" s="333"/>
      <c r="V332" s="333"/>
      <c r="W332" s="333"/>
      <c r="X332" s="333"/>
      <c r="Y332" s="333"/>
      <c r="Z332" s="333"/>
    </row>
    <row r="333" spans="1:26" ht="15.6">
      <c r="A333" s="333"/>
      <c r="B333" s="348"/>
      <c r="C333" s="348"/>
      <c r="D333" s="348"/>
      <c r="E333" s="348"/>
      <c r="F333" s="348"/>
      <c r="G333" s="348"/>
      <c r="H333" s="348"/>
      <c r="I333" s="348"/>
      <c r="J333" s="348"/>
      <c r="K333" s="348"/>
      <c r="L333" s="333"/>
      <c r="M333" s="333"/>
      <c r="N333" s="333"/>
      <c r="O333" s="333"/>
      <c r="P333" s="333"/>
      <c r="Q333" s="333"/>
      <c r="R333" s="333"/>
      <c r="S333" s="333"/>
      <c r="T333" s="333"/>
      <c r="U333" s="333"/>
      <c r="V333" s="333"/>
      <c r="W333" s="333"/>
      <c r="X333" s="333"/>
      <c r="Y333" s="333"/>
      <c r="Z333" s="333"/>
    </row>
    <row r="334" spans="1:26" ht="15.6">
      <c r="A334" s="333"/>
      <c r="B334" s="348"/>
      <c r="C334" s="348"/>
      <c r="D334" s="348"/>
      <c r="E334" s="348"/>
      <c r="F334" s="348"/>
      <c r="G334" s="348"/>
      <c r="H334" s="348"/>
      <c r="I334" s="348"/>
      <c r="J334" s="348"/>
      <c r="K334" s="348"/>
      <c r="L334" s="333"/>
      <c r="M334" s="333"/>
      <c r="N334" s="333"/>
      <c r="O334" s="333"/>
      <c r="P334" s="333"/>
      <c r="Q334" s="333"/>
      <c r="R334" s="333"/>
      <c r="S334" s="333"/>
      <c r="T334" s="333"/>
      <c r="U334" s="333"/>
      <c r="V334" s="333"/>
      <c r="W334" s="333"/>
      <c r="X334" s="333"/>
      <c r="Y334" s="333"/>
      <c r="Z334" s="333"/>
    </row>
    <row r="335" spans="1:26" ht="15.6">
      <c r="A335" s="333"/>
      <c r="B335" s="348"/>
      <c r="C335" s="348"/>
      <c r="D335" s="348"/>
      <c r="E335" s="348"/>
      <c r="F335" s="348"/>
      <c r="G335" s="348"/>
      <c r="H335" s="348"/>
      <c r="I335" s="348"/>
      <c r="J335" s="348"/>
      <c r="K335" s="348"/>
      <c r="L335" s="333"/>
      <c r="M335" s="333"/>
      <c r="N335" s="333"/>
      <c r="O335" s="333"/>
      <c r="P335" s="333"/>
      <c r="Q335" s="333"/>
      <c r="R335" s="333"/>
      <c r="S335" s="333"/>
      <c r="T335" s="333"/>
      <c r="U335" s="333"/>
      <c r="V335" s="333"/>
      <c r="W335" s="333"/>
      <c r="X335" s="333"/>
      <c r="Y335" s="333"/>
      <c r="Z335" s="333"/>
    </row>
    <row r="336" spans="1:26" ht="15.6">
      <c r="A336" s="333"/>
      <c r="B336" s="348"/>
      <c r="C336" s="348"/>
      <c r="D336" s="348"/>
      <c r="E336" s="348"/>
      <c r="F336" s="348"/>
      <c r="G336" s="348"/>
      <c r="H336" s="348"/>
      <c r="I336" s="348"/>
      <c r="J336" s="348"/>
      <c r="K336" s="348"/>
      <c r="L336" s="333"/>
      <c r="M336" s="333"/>
      <c r="N336" s="333"/>
      <c r="O336" s="333"/>
      <c r="P336" s="333"/>
      <c r="Q336" s="333"/>
      <c r="R336" s="333"/>
      <c r="S336" s="333"/>
      <c r="T336" s="333"/>
      <c r="U336" s="333"/>
      <c r="V336" s="333"/>
      <c r="W336" s="333"/>
      <c r="X336" s="333"/>
      <c r="Y336" s="333"/>
      <c r="Z336" s="333"/>
    </row>
    <row r="337" spans="1:26" ht="15.6">
      <c r="A337" s="333"/>
      <c r="B337" s="348"/>
      <c r="C337" s="348"/>
      <c r="D337" s="348"/>
      <c r="E337" s="348"/>
      <c r="F337" s="348"/>
      <c r="G337" s="348"/>
      <c r="H337" s="348"/>
      <c r="I337" s="348"/>
      <c r="J337" s="348"/>
      <c r="K337" s="348"/>
      <c r="L337" s="333"/>
      <c r="M337" s="333"/>
      <c r="N337" s="333"/>
      <c r="O337" s="333"/>
      <c r="P337" s="333"/>
      <c r="Q337" s="333"/>
      <c r="R337" s="333"/>
      <c r="S337" s="333"/>
      <c r="T337" s="333"/>
      <c r="U337" s="333"/>
      <c r="V337" s="333"/>
      <c r="W337" s="333"/>
      <c r="X337" s="333"/>
      <c r="Y337" s="333"/>
      <c r="Z337" s="333"/>
    </row>
    <row r="338" spans="1:26" ht="15.6">
      <c r="A338" s="333"/>
      <c r="B338" s="348"/>
      <c r="C338" s="348"/>
      <c r="D338" s="348"/>
      <c r="E338" s="348"/>
      <c r="F338" s="348"/>
      <c r="G338" s="348"/>
      <c r="H338" s="348"/>
      <c r="I338" s="348"/>
      <c r="J338" s="348"/>
      <c r="K338" s="348"/>
      <c r="L338" s="333"/>
      <c r="M338" s="333"/>
      <c r="N338" s="333"/>
      <c r="O338" s="333"/>
      <c r="P338" s="333"/>
      <c r="Q338" s="333"/>
      <c r="R338" s="333"/>
      <c r="S338" s="333"/>
      <c r="T338" s="333"/>
      <c r="U338" s="333"/>
      <c r="V338" s="333"/>
      <c r="W338" s="333"/>
      <c r="X338" s="333"/>
      <c r="Y338" s="333"/>
      <c r="Z338" s="333"/>
    </row>
    <row r="339" spans="1:26" ht="15.6">
      <c r="A339" s="333"/>
      <c r="B339" s="348"/>
      <c r="C339" s="348"/>
      <c r="D339" s="348"/>
      <c r="E339" s="348"/>
      <c r="F339" s="348"/>
      <c r="G339" s="348"/>
      <c r="H339" s="348"/>
      <c r="I339" s="348"/>
      <c r="J339" s="348"/>
      <c r="K339" s="348"/>
      <c r="L339" s="333"/>
      <c r="M339" s="333"/>
      <c r="N339" s="333"/>
      <c r="O339" s="333"/>
      <c r="P339" s="333"/>
      <c r="Q339" s="333"/>
      <c r="R339" s="333"/>
      <c r="S339" s="333"/>
      <c r="T339" s="333"/>
      <c r="U339" s="333"/>
      <c r="V339" s="333"/>
      <c r="W339" s="333"/>
      <c r="X339" s="333"/>
      <c r="Y339" s="333"/>
      <c r="Z339" s="333"/>
    </row>
    <row r="340" spans="1:26" ht="15.6">
      <c r="A340" s="333"/>
      <c r="B340" s="348"/>
      <c r="C340" s="348"/>
      <c r="D340" s="348"/>
      <c r="E340" s="348"/>
      <c r="F340" s="348"/>
      <c r="G340" s="348"/>
      <c r="H340" s="348"/>
      <c r="I340" s="348"/>
      <c r="J340" s="348"/>
      <c r="K340" s="348"/>
      <c r="L340" s="333"/>
      <c r="M340" s="333"/>
      <c r="N340" s="333"/>
      <c r="O340" s="333"/>
      <c r="P340" s="333"/>
      <c r="Q340" s="333"/>
      <c r="R340" s="333"/>
      <c r="S340" s="333"/>
      <c r="T340" s="333"/>
      <c r="U340" s="333"/>
      <c r="V340" s="333"/>
      <c r="W340" s="333"/>
      <c r="X340" s="333"/>
      <c r="Y340" s="333"/>
      <c r="Z340" s="333"/>
    </row>
    <row r="341" spans="1:26" ht="15.6">
      <c r="A341" s="333"/>
      <c r="B341" s="348"/>
      <c r="C341" s="348"/>
      <c r="D341" s="348"/>
      <c r="E341" s="348"/>
      <c r="F341" s="348"/>
      <c r="G341" s="348"/>
      <c r="H341" s="348"/>
      <c r="I341" s="348"/>
      <c r="J341" s="348"/>
      <c r="K341" s="348"/>
      <c r="L341" s="333"/>
      <c r="M341" s="333"/>
      <c r="N341" s="333"/>
      <c r="O341" s="333"/>
      <c r="P341" s="333"/>
      <c r="Q341" s="333"/>
      <c r="R341" s="333"/>
      <c r="S341" s="333"/>
      <c r="T341" s="333"/>
      <c r="U341" s="333"/>
      <c r="V341" s="333"/>
      <c r="W341" s="333"/>
      <c r="X341" s="333"/>
      <c r="Y341" s="333"/>
      <c r="Z341" s="333"/>
    </row>
    <row r="342" spans="1:26" ht="15.6">
      <c r="A342" s="333"/>
      <c r="B342" s="348"/>
      <c r="C342" s="348"/>
      <c r="D342" s="348"/>
      <c r="E342" s="348"/>
      <c r="F342" s="348"/>
      <c r="G342" s="348"/>
      <c r="H342" s="348"/>
      <c r="I342" s="348"/>
      <c r="J342" s="348"/>
      <c r="K342" s="348"/>
      <c r="L342" s="333"/>
      <c r="M342" s="333"/>
      <c r="N342" s="333"/>
      <c r="O342" s="333"/>
      <c r="P342" s="333"/>
      <c r="Q342" s="333"/>
      <c r="R342" s="333"/>
      <c r="S342" s="333"/>
      <c r="T342" s="333"/>
      <c r="U342" s="333"/>
      <c r="V342" s="333"/>
      <c r="W342" s="333"/>
      <c r="X342" s="333"/>
      <c r="Y342" s="333"/>
      <c r="Z342" s="333"/>
    </row>
    <row r="343" spans="1:26" ht="15.6">
      <c r="A343" s="333"/>
      <c r="B343" s="348"/>
      <c r="C343" s="348"/>
      <c r="D343" s="348"/>
      <c r="E343" s="348"/>
      <c r="F343" s="348"/>
      <c r="G343" s="348"/>
      <c r="H343" s="348"/>
      <c r="I343" s="348"/>
      <c r="J343" s="348"/>
      <c r="K343" s="348"/>
      <c r="L343" s="333"/>
      <c r="M343" s="333"/>
      <c r="N343" s="333"/>
      <c r="O343" s="333"/>
      <c r="P343" s="333"/>
      <c r="Q343" s="333"/>
      <c r="R343" s="333"/>
      <c r="S343" s="333"/>
      <c r="T343" s="333"/>
      <c r="U343" s="333"/>
      <c r="V343" s="333"/>
      <c r="W343" s="333"/>
      <c r="X343" s="333"/>
      <c r="Y343" s="333"/>
      <c r="Z343" s="333"/>
    </row>
    <row r="344" spans="1:26" ht="15.6">
      <c r="A344" s="333"/>
      <c r="B344" s="348"/>
      <c r="C344" s="348"/>
      <c r="D344" s="348"/>
      <c r="E344" s="348"/>
      <c r="F344" s="348"/>
      <c r="G344" s="348"/>
      <c r="H344" s="348"/>
      <c r="I344" s="348"/>
      <c r="J344" s="348"/>
      <c r="K344" s="348"/>
      <c r="L344" s="333"/>
      <c r="M344" s="333"/>
      <c r="N344" s="333"/>
      <c r="O344" s="333"/>
      <c r="P344" s="333"/>
      <c r="Q344" s="333"/>
      <c r="R344" s="333"/>
      <c r="S344" s="333"/>
      <c r="T344" s="333"/>
      <c r="U344" s="333"/>
      <c r="V344" s="333"/>
      <c r="W344" s="333"/>
      <c r="X344" s="333"/>
      <c r="Y344" s="333"/>
      <c r="Z344" s="333"/>
    </row>
    <row r="345" spans="1:26" ht="15.6">
      <c r="A345" s="333"/>
      <c r="B345" s="348"/>
      <c r="C345" s="348"/>
      <c r="D345" s="348"/>
      <c r="E345" s="348"/>
      <c r="F345" s="348"/>
      <c r="G345" s="348"/>
      <c r="H345" s="348"/>
      <c r="I345" s="348"/>
      <c r="J345" s="348"/>
      <c r="K345" s="348"/>
      <c r="L345" s="333"/>
      <c r="M345" s="333"/>
      <c r="N345" s="333"/>
      <c r="O345" s="333"/>
      <c r="P345" s="333"/>
      <c r="Q345" s="333"/>
      <c r="R345" s="333"/>
      <c r="S345" s="333"/>
      <c r="T345" s="333"/>
      <c r="U345" s="333"/>
      <c r="V345" s="333"/>
      <c r="W345" s="333"/>
      <c r="X345" s="333"/>
      <c r="Y345" s="333"/>
      <c r="Z345" s="333"/>
    </row>
    <row r="346" spans="1:26" ht="15.6">
      <c r="A346" s="333"/>
      <c r="B346" s="348"/>
      <c r="C346" s="348"/>
      <c r="D346" s="348"/>
      <c r="E346" s="348"/>
      <c r="F346" s="348"/>
      <c r="G346" s="348"/>
      <c r="H346" s="348"/>
      <c r="I346" s="348"/>
      <c r="J346" s="348"/>
      <c r="K346" s="348"/>
      <c r="L346" s="333"/>
      <c r="M346" s="333"/>
      <c r="N346" s="333"/>
      <c r="O346" s="333"/>
      <c r="P346" s="333"/>
      <c r="Q346" s="333"/>
      <c r="R346" s="333"/>
      <c r="S346" s="333"/>
      <c r="T346" s="333"/>
      <c r="U346" s="333"/>
      <c r="V346" s="333"/>
      <c r="W346" s="333"/>
      <c r="X346" s="333"/>
      <c r="Y346" s="333"/>
      <c r="Z346" s="333"/>
    </row>
    <row r="347" spans="1:26" ht="15.6">
      <c r="A347" s="333"/>
      <c r="B347" s="348"/>
      <c r="C347" s="348"/>
      <c r="D347" s="348"/>
      <c r="E347" s="348"/>
      <c r="F347" s="348"/>
      <c r="G347" s="348"/>
      <c r="H347" s="348"/>
      <c r="I347" s="348"/>
      <c r="J347" s="348"/>
      <c r="K347" s="348"/>
      <c r="L347" s="333"/>
      <c r="M347" s="333"/>
      <c r="N347" s="333"/>
      <c r="O347" s="333"/>
      <c r="P347" s="333"/>
      <c r="Q347" s="333"/>
      <c r="R347" s="333"/>
      <c r="S347" s="333"/>
      <c r="T347" s="333"/>
      <c r="U347" s="333"/>
      <c r="V347" s="333"/>
      <c r="W347" s="333"/>
      <c r="X347" s="333"/>
      <c r="Y347" s="333"/>
      <c r="Z347" s="333"/>
    </row>
    <row r="348" spans="1:26" ht="15.6">
      <c r="A348" s="333"/>
      <c r="B348" s="348"/>
      <c r="C348" s="348"/>
      <c r="D348" s="348"/>
      <c r="E348" s="348"/>
      <c r="F348" s="348"/>
      <c r="G348" s="348"/>
      <c r="H348" s="348"/>
      <c r="I348" s="348"/>
      <c r="J348" s="348"/>
      <c r="K348" s="348"/>
      <c r="L348" s="333"/>
      <c r="M348" s="333"/>
      <c r="N348" s="333"/>
      <c r="O348" s="333"/>
      <c r="P348" s="333"/>
      <c r="Q348" s="333"/>
      <c r="R348" s="333"/>
      <c r="S348" s="333"/>
      <c r="T348" s="333"/>
      <c r="U348" s="333"/>
      <c r="V348" s="333"/>
      <c r="W348" s="333"/>
      <c r="X348" s="333"/>
      <c r="Y348" s="333"/>
      <c r="Z348" s="333"/>
    </row>
    <row r="349" spans="1:26" ht="15.6">
      <c r="A349" s="333"/>
      <c r="B349" s="348"/>
      <c r="C349" s="348"/>
      <c r="D349" s="348"/>
      <c r="E349" s="348"/>
      <c r="F349" s="348"/>
      <c r="G349" s="348"/>
      <c r="H349" s="348"/>
      <c r="I349" s="348"/>
      <c r="J349" s="348"/>
      <c r="K349" s="348"/>
      <c r="L349" s="333"/>
      <c r="M349" s="333"/>
      <c r="N349" s="333"/>
      <c r="O349" s="333"/>
      <c r="P349" s="333"/>
      <c r="Q349" s="333"/>
      <c r="R349" s="333"/>
      <c r="S349" s="333"/>
      <c r="T349" s="333"/>
      <c r="U349" s="333"/>
      <c r="V349" s="333"/>
      <c r="W349" s="333"/>
      <c r="X349" s="333"/>
      <c r="Y349" s="333"/>
      <c r="Z349" s="333"/>
    </row>
    <row r="350" spans="1:26" ht="15.6">
      <c r="A350" s="333"/>
      <c r="B350" s="348"/>
      <c r="C350" s="348"/>
      <c r="D350" s="348"/>
      <c r="E350" s="348"/>
      <c r="F350" s="348"/>
      <c r="G350" s="348"/>
      <c r="H350" s="348"/>
      <c r="I350" s="348"/>
      <c r="J350" s="348"/>
      <c r="K350" s="348"/>
      <c r="L350" s="333"/>
      <c r="M350" s="333"/>
      <c r="N350" s="333"/>
      <c r="O350" s="333"/>
      <c r="P350" s="333"/>
      <c r="Q350" s="333"/>
      <c r="R350" s="333"/>
      <c r="S350" s="333"/>
      <c r="T350" s="333"/>
      <c r="U350" s="333"/>
      <c r="V350" s="333"/>
      <c r="W350" s="333"/>
      <c r="X350" s="333"/>
      <c r="Y350" s="333"/>
      <c r="Z350" s="333"/>
    </row>
    <row r="351" spans="1:26" ht="15.6">
      <c r="A351" s="333"/>
      <c r="B351" s="348"/>
      <c r="C351" s="348"/>
      <c r="D351" s="348"/>
      <c r="E351" s="348"/>
      <c r="F351" s="348"/>
      <c r="G351" s="348"/>
      <c r="H351" s="348"/>
      <c r="I351" s="348"/>
      <c r="J351" s="348"/>
      <c r="K351" s="348"/>
      <c r="L351" s="333"/>
      <c r="M351" s="333"/>
      <c r="N351" s="333"/>
      <c r="O351" s="333"/>
      <c r="P351" s="333"/>
      <c r="Q351" s="333"/>
      <c r="R351" s="333"/>
      <c r="S351" s="333"/>
      <c r="T351" s="333"/>
      <c r="U351" s="333"/>
      <c r="V351" s="333"/>
      <c r="W351" s="333"/>
      <c r="X351" s="333"/>
      <c r="Y351" s="333"/>
      <c r="Z351" s="333"/>
    </row>
    <row r="352" spans="1:26" ht="15.6">
      <c r="A352" s="333"/>
      <c r="B352" s="348"/>
      <c r="C352" s="348"/>
      <c r="D352" s="348"/>
      <c r="E352" s="348"/>
      <c r="F352" s="348"/>
      <c r="G352" s="348"/>
      <c r="H352" s="348"/>
      <c r="I352" s="348"/>
      <c r="J352" s="348"/>
      <c r="K352" s="348"/>
      <c r="L352" s="333"/>
      <c r="M352" s="333"/>
      <c r="N352" s="333"/>
      <c r="O352" s="333"/>
      <c r="P352" s="333"/>
      <c r="Q352" s="333"/>
      <c r="R352" s="333"/>
      <c r="S352" s="333"/>
      <c r="T352" s="333"/>
      <c r="U352" s="333"/>
      <c r="V352" s="333"/>
      <c r="W352" s="333"/>
      <c r="X352" s="333"/>
      <c r="Y352" s="333"/>
      <c r="Z352" s="333"/>
    </row>
    <row r="353" spans="1:26" ht="15.6">
      <c r="A353" s="333"/>
      <c r="B353" s="348"/>
      <c r="C353" s="348"/>
      <c r="D353" s="348"/>
      <c r="E353" s="348"/>
      <c r="F353" s="348"/>
      <c r="G353" s="348"/>
      <c r="H353" s="348"/>
      <c r="I353" s="348"/>
      <c r="J353" s="348"/>
      <c r="K353" s="348"/>
      <c r="L353" s="333"/>
      <c r="M353" s="333"/>
      <c r="N353" s="333"/>
      <c r="O353" s="333"/>
      <c r="P353" s="333"/>
      <c r="Q353" s="333"/>
      <c r="R353" s="333"/>
      <c r="S353" s="333"/>
      <c r="T353" s="333"/>
      <c r="U353" s="333"/>
      <c r="V353" s="333"/>
      <c r="W353" s="333"/>
      <c r="X353" s="333"/>
      <c r="Y353" s="333"/>
      <c r="Z353" s="333"/>
    </row>
    <row r="354" spans="1:26" ht="15.6">
      <c r="A354" s="333"/>
      <c r="B354" s="348"/>
      <c r="C354" s="348"/>
      <c r="D354" s="348"/>
      <c r="E354" s="348"/>
      <c r="F354" s="348"/>
      <c r="G354" s="348"/>
      <c r="H354" s="348"/>
      <c r="I354" s="348"/>
      <c r="J354" s="348"/>
      <c r="K354" s="348"/>
      <c r="L354" s="333"/>
      <c r="M354" s="333"/>
      <c r="N354" s="333"/>
      <c r="O354" s="333"/>
      <c r="P354" s="333"/>
      <c r="Q354" s="333"/>
      <c r="R354" s="333"/>
      <c r="S354" s="333"/>
      <c r="T354" s="333"/>
      <c r="U354" s="333"/>
      <c r="V354" s="333"/>
      <c r="W354" s="333"/>
      <c r="X354" s="333"/>
      <c r="Y354" s="333"/>
      <c r="Z354" s="333"/>
    </row>
    <row r="355" spans="1:26" ht="15.6">
      <c r="A355" s="333"/>
      <c r="B355" s="348"/>
      <c r="C355" s="348"/>
      <c r="D355" s="348"/>
      <c r="E355" s="348"/>
      <c r="F355" s="348"/>
      <c r="G355" s="348"/>
      <c r="H355" s="348"/>
      <c r="I355" s="348"/>
      <c r="J355" s="348"/>
      <c r="K355" s="348"/>
      <c r="L355" s="333"/>
      <c r="M355" s="333"/>
      <c r="N355" s="333"/>
      <c r="O355" s="333"/>
      <c r="P355" s="333"/>
      <c r="Q355" s="333"/>
      <c r="R355" s="333"/>
      <c r="S355" s="333"/>
      <c r="T355" s="333"/>
      <c r="U355" s="333"/>
      <c r="V355" s="333"/>
      <c r="W355" s="333"/>
      <c r="X355" s="333"/>
      <c r="Y355" s="333"/>
      <c r="Z355" s="333"/>
    </row>
    <row r="356" spans="1:26" ht="15.6">
      <c r="A356" s="333"/>
      <c r="B356" s="348"/>
      <c r="C356" s="348"/>
      <c r="D356" s="348"/>
      <c r="E356" s="348"/>
      <c r="F356" s="348"/>
      <c r="G356" s="348"/>
      <c r="H356" s="348"/>
      <c r="I356" s="348"/>
      <c r="J356" s="348"/>
      <c r="K356" s="348"/>
      <c r="L356" s="333"/>
      <c r="M356" s="333"/>
      <c r="N356" s="333"/>
      <c r="O356" s="333"/>
      <c r="P356" s="333"/>
      <c r="Q356" s="333"/>
      <c r="R356" s="333"/>
      <c r="S356" s="333"/>
      <c r="T356" s="333"/>
      <c r="U356" s="333"/>
      <c r="V356" s="333"/>
      <c r="W356" s="333"/>
      <c r="X356" s="333"/>
      <c r="Y356" s="333"/>
      <c r="Z356" s="333"/>
    </row>
    <row r="357" spans="1:26" ht="15.6">
      <c r="A357" s="333"/>
      <c r="B357" s="348"/>
      <c r="C357" s="348"/>
      <c r="D357" s="348"/>
      <c r="E357" s="348"/>
      <c r="F357" s="348"/>
      <c r="G357" s="348"/>
      <c r="H357" s="348"/>
      <c r="I357" s="348"/>
      <c r="J357" s="348"/>
      <c r="K357" s="348"/>
      <c r="L357" s="333"/>
      <c r="M357" s="333"/>
      <c r="N357" s="333"/>
      <c r="O357" s="333"/>
      <c r="P357" s="333"/>
      <c r="Q357" s="333"/>
      <c r="R357" s="333"/>
      <c r="S357" s="333"/>
      <c r="T357" s="333"/>
      <c r="U357" s="333"/>
      <c r="V357" s="333"/>
      <c r="W357" s="333"/>
      <c r="X357" s="333"/>
      <c r="Y357" s="333"/>
      <c r="Z357" s="333"/>
    </row>
    <row r="358" spans="1:26" ht="15.6">
      <c r="A358" s="333"/>
      <c r="B358" s="348"/>
      <c r="C358" s="348"/>
      <c r="D358" s="348"/>
      <c r="E358" s="348"/>
      <c r="F358" s="348"/>
      <c r="G358" s="348"/>
      <c r="H358" s="348"/>
      <c r="I358" s="348"/>
      <c r="J358" s="348"/>
      <c r="K358" s="348"/>
      <c r="L358" s="333"/>
      <c r="M358" s="333"/>
      <c r="N358" s="333"/>
      <c r="O358" s="333"/>
      <c r="P358" s="333"/>
      <c r="Q358" s="333"/>
      <c r="R358" s="333"/>
      <c r="S358" s="333"/>
      <c r="T358" s="333"/>
      <c r="U358" s="333"/>
      <c r="V358" s="333"/>
      <c r="W358" s="333"/>
      <c r="X358" s="333"/>
      <c r="Y358" s="333"/>
      <c r="Z358" s="333"/>
    </row>
    <row r="359" spans="1:26" ht="15.6">
      <c r="A359" s="333"/>
      <c r="B359" s="348"/>
      <c r="C359" s="348"/>
      <c r="D359" s="348"/>
      <c r="E359" s="348"/>
      <c r="F359" s="348"/>
      <c r="G359" s="348"/>
      <c r="H359" s="348"/>
      <c r="I359" s="348"/>
      <c r="J359" s="348"/>
      <c r="K359" s="348"/>
      <c r="L359" s="333"/>
      <c r="M359" s="333"/>
      <c r="N359" s="333"/>
      <c r="O359" s="333"/>
      <c r="P359" s="333"/>
      <c r="Q359" s="333"/>
      <c r="R359" s="333"/>
      <c r="S359" s="333"/>
      <c r="T359" s="333"/>
      <c r="U359" s="333"/>
      <c r="V359" s="333"/>
      <c r="W359" s="333"/>
      <c r="X359" s="333"/>
      <c r="Y359" s="333"/>
      <c r="Z359" s="333"/>
    </row>
    <row r="360" spans="1:26" ht="15.6">
      <c r="A360" s="333"/>
      <c r="B360" s="348"/>
      <c r="C360" s="348"/>
      <c r="D360" s="348"/>
      <c r="E360" s="348"/>
      <c r="F360" s="348"/>
      <c r="G360" s="348"/>
      <c r="H360" s="348"/>
      <c r="I360" s="348"/>
      <c r="J360" s="348"/>
      <c r="K360" s="348"/>
      <c r="L360" s="333"/>
      <c r="M360" s="333"/>
      <c r="N360" s="333"/>
      <c r="O360" s="333"/>
      <c r="P360" s="333"/>
      <c r="Q360" s="333"/>
      <c r="R360" s="333"/>
      <c r="S360" s="333"/>
      <c r="T360" s="333"/>
      <c r="U360" s="333"/>
      <c r="V360" s="333"/>
      <c r="W360" s="333"/>
      <c r="X360" s="333"/>
      <c r="Y360" s="333"/>
      <c r="Z360" s="333"/>
    </row>
    <row r="361" spans="1:26" ht="15.6">
      <c r="A361" s="333"/>
      <c r="B361" s="348"/>
      <c r="C361" s="348"/>
      <c r="D361" s="348"/>
      <c r="E361" s="348"/>
      <c r="F361" s="348"/>
      <c r="G361" s="348"/>
      <c r="H361" s="348"/>
      <c r="I361" s="348"/>
      <c r="J361" s="348"/>
      <c r="K361" s="348"/>
      <c r="L361" s="333"/>
      <c r="M361" s="333"/>
      <c r="N361" s="333"/>
      <c r="O361" s="333"/>
      <c r="P361" s="333"/>
      <c r="Q361" s="333"/>
      <c r="R361" s="333"/>
      <c r="S361" s="333"/>
      <c r="T361" s="333"/>
      <c r="U361" s="333"/>
      <c r="V361" s="333"/>
      <c r="W361" s="333"/>
      <c r="X361" s="333"/>
      <c r="Y361" s="333"/>
      <c r="Z361" s="333"/>
    </row>
    <row r="362" spans="1:26" ht="15.6">
      <c r="A362" s="333"/>
      <c r="B362" s="348"/>
      <c r="C362" s="348"/>
      <c r="D362" s="348"/>
      <c r="E362" s="348"/>
      <c r="F362" s="348"/>
      <c r="G362" s="348"/>
      <c r="H362" s="348"/>
      <c r="I362" s="348"/>
      <c r="J362" s="348"/>
      <c r="K362" s="348"/>
      <c r="L362" s="333"/>
      <c r="M362" s="333"/>
      <c r="N362" s="333"/>
      <c r="O362" s="333"/>
      <c r="P362" s="333"/>
      <c r="Q362" s="333"/>
      <c r="R362" s="333"/>
      <c r="S362" s="333"/>
      <c r="T362" s="333"/>
      <c r="U362" s="333"/>
      <c r="V362" s="333"/>
      <c r="W362" s="333"/>
      <c r="X362" s="333"/>
      <c r="Y362" s="333"/>
      <c r="Z362" s="333"/>
    </row>
    <row r="363" spans="1:26" ht="15.6">
      <c r="A363" s="333"/>
      <c r="B363" s="348"/>
      <c r="C363" s="348"/>
      <c r="D363" s="348"/>
      <c r="E363" s="348"/>
      <c r="F363" s="348"/>
      <c r="G363" s="348"/>
      <c r="H363" s="348"/>
      <c r="I363" s="348"/>
      <c r="J363" s="348"/>
      <c r="K363" s="348"/>
      <c r="L363" s="333"/>
      <c r="M363" s="333"/>
      <c r="N363" s="333"/>
      <c r="O363" s="333"/>
      <c r="P363" s="333"/>
      <c r="Q363" s="333"/>
      <c r="R363" s="333"/>
      <c r="S363" s="333"/>
      <c r="T363" s="333"/>
      <c r="U363" s="333"/>
      <c r="V363" s="333"/>
      <c r="W363" s="333"/>
      <c r="X363" s="333"/>
      <c r="Y363" s="333"/>
      <c r="Z363" s="333"/>
    </row>
    <row r="364" spans="1:26" ht="15.6">
      <c r="A364" s="333"/>
      <c r="B364" s="348"/>
      <c r="C364" s="348"/>
      <c r="D364" s="348"/>
      <c r="E364" s="348"/>
      <c r="F364" s="348"/>
      <c r="G364" s="348"/>
      <c r="H364" s="348"/>
      <c r="I364" s="348"/>
      <c r="J364" s="348"/>
      <c r="K364" s="348"/>
      <c r="L364" s="333"/>
      <c r="M364" s="333"/>
      <c r="N364" s="333"/>
      <c r="O364" s="333"/>
      <c r="P364" s="333"/>
      <c r="Q364" s="333"/>
      <c r="R364" s="333"/>
      <c r="S364" s="333"/>
      <c r="T364" s="333"/>
      <c r="U364" s="333"/>
      <c r="V364" s="333"/>
      <c r="W364" s="333"/>
      <c r="X364" s="333"/>
      <c r="Y364" s="333"/>
      <c r="Z364" s="333"/>
    </row>
    <row r="365" spans="1:26" ht="15.6">
      <c r="A365" s="333"/>
      <c r="B365" s="348"/>
      <c r="C365" s="348"/>
      <c r="D365" s="348"/>
      <c r="E365" s="348"/>
      <c r="F365" s="348"/>
      <c r="G365" s="348"/>
      <c r="H365" s="348"/>
      <c r="I365" s="348"/>
      <c r="J365" s="348"/>
      <c r="K365" s="348"/>
      <c r="L365" s="333"/>
      <c r="M365" s="333"/>
      <c r="N365" s="333"/>
      <c r="O365" s="333"/>
      <c r="P365" s="333"/>
      <c r="Q365" s="333"/>
      <c r="R365" s="333"/>
      <c r="S365" s="333"/>
      <c r="T365" s="333"/>
      <c r="U365" s="333"/>
      <c r="V365" s="333"/>
      <c r="W365" s="333"/>
      <c r="X365" s="333"/>
      <c r="Y365" s="333"/>
      <c r="Z365" s="333"/>
    </row>
    <row r="366" spans="1:26" ht="15.6">
      <c r="A366" s="333"/>
      <c r="B366" s="348"/>
      <c r="C366" s="348"/>
      <c r="D366" s="348"/>
      <c r="E366" s="348"/>
      <c r="F366" s="348"/>
      <c r="G366" s="348"/>
      <c r="H366" s="348"/>
      <c r="I366" s="348"/>
      <c r="J366" s="348"/>
      <c r="K366" s="348"/>
      <c r="L366" s="333"/>
      <c r="M366" s="333"/>
      <c r="N366" s="333"/>
      <c r="O366" s="333"/>
      <c r="P366" s="333"/>
      <c r="Q366" s="333"/>
      <c r="R366" s="333"/>
      <c r="S366" s="333"/>
      <c r="T366" s="333"/>
      <c r="U366" s="333"/>
      <c r="V366" s="333"/>
      <c r="W366" s="333"/>
      <c r="X366" s="333"/>
      <c r="Y366" s="333"/>
      <c r="Z366" s="333"/>
    </row>
    <row r="367" spans="1:26" ht="15.6">
      <c r="A367" s="333"/>
      <c r="B367" s="348"/>
      <c r="C367" s="348"/>
      <c r="D367" s="348"/>
      <c r="E367" s="348"/>
      <c r="F367" s="348"/>
      <c r="G367" s="348"/>
      <c r="H367" s="348"/>
      <c r="I367" s="348"/>
      <c r="J367" s="348"/>
      <c r="K367" s="348"/>
      <c r="L367" s="333"/>
      <c r="M367" s="333"/>
      <c r="N367" s="333"/>
      <c r="O367" s="333"/>
      <c r="P367" s="333"/>
      <c r="Q367" s="333"/>
      <c r="R367" s="333"/>
      <c r="S367" s="333"/>
      <c r="T367" s="333"/>
      <c r="U367" s="333"/>
      <c r="V367" s="333"/>
      <c r="W367" s="333"/>
      <c r="X367" s="333"/>
      <c r="Y367" s="333"/>
      <c r="Z367" s="333"/>
    </row>
    <row r="368" spans="1:26" ht="15.6">
      <c r="A368" s="333"/>
      <c r="B368" s="348"/>
      <c r="C368" s="348"/>
      <c r="D368" s="348"/>
      <c r="E368" s="348"/>
      <c r="F368" s="348"/>
      <c r="G368" s="348"/>
      <c r="H368" s="348"/>
      <c r="I368" s="348"/>
      <c r="J368" s="348"/>
      <c r="K368" s="348"/>
      <c r="L368" s="333"/>
      <c r="M368" s="333"/>
      <c r="N368" s="333"/>
      <c r="O368" s="333"/>
      <c r="P368" s="333"/>
      <c r="Q368" s="333"/>
      <c r="R368" s="333"/>
      <c r="S368" s="333"/>
      <c r="T368" s="333"/>
      <c r="U368" s="333"/>
      <c r="V368" s="333"/>
      <c r="W368" s="333"/>
      <c r="X368" s="333"/>
      <c r="Y368" s="333"/>
      <c r="Z368" s="333"/>
    </row>
    <row r="369" spans="1:26" ht="15.6">
      <c r="A369" s="333"/>
      <c r="B369" s="348"/>
      <c r="C369" s="348"/>
      <c r="D369" s="348"/>
      <c r="E369" s="348"/>
      <c r="F369" s="348"/>
      <c r="G369" s="348"/>
      <c r="H369" s="348"/>
      <c r="I369" s="348"/>
      <c r="J369" s="348"/>
      <c r="K369" s="348"/>
      <c r="L369" s="333"/>
      <c r="M369" s="333"/>
      <c r="N369" s="333"/>
      <c r="O369" s="333"/>
      <c r="P369" s="333"/>
      <c r="Q369" s="333"/>
      <c r="R369" s="333"/>
      <c r="S369" s="333"/>
      <c r="T369" s="333"/>
      <c r="U369" s="333"/>
      <c r="V369" s="333"/>
      <c r="W369" s="333"/>
      <c r="X369" s="333"/>
      <c r="Y369" s="333"/>
      <c r="Z369" s="333"/>
    </row>
    <row r="370" spans="1:26" ht="15.6">
      <c r="A370" s="333"/>
      <c r="B370" s="348"/>
      <c r="C370" s="348"/>
      <c r="D370" s="348"/>
      <c r="E370" s="348"/>
      <c r="F370" s="348"/>
      <c r="G370" s="348"/>
      <c r="H370" s="348"/>
      <c r="I370" s="348"/>
      <c r="J370" s="348"/>
      <c r="K370" s="348"/>
      <c r="L370" s="333"/>
      <c r="M370" s="333"/>
      <c r="N370" s="333"/>
      <c r="O370" s="333"/>
      <c r="P370" s="333"/>
      <c r="Q370" s="333"/>
      <c r="R370" s="333"/>
      <c r="S370" s="333"/>
      <c r="T370" s="333"/>
      <c r="U370" s="333"/>
      <c r="V370" s="333"/>
      <c r="W370" s="333"/>
      <c r="X370" s="333"/>
      <c r="Y370" s="333"/>
      <c r="Z370" s="333"/>
    </row>
    <row r="371" spans="1:26" ht="15.6">
      <c r="A371" s="333"/>
      <c r="B371" s="348"/>
      <c r="C371" s="348"/>
      <c r="D371" s="348"/>
      <c r="E371" s="348"/>
      <c r="F371" s="348"/>
      <c r="G371" s="348"/>
      <c r="H371" s="348"/>
      <c r="I371" s="348"/>
      <c r="J371" s="348"/>
      <c r="K371" s="348"/>
      <c r="L371" s="333"/>
      <c r="M371" s="333"/>
      <c r="N371" s="333"/>
      <c r="O371" s="333"/>
      <c r="P371" s="333"/>
      <c r="Q371" s="333"/>
      <c r="R371" s="333"/>
      <c r="S371" s="333"/>
      <c r="T371" s="333"/>
      <c r="U371" s="333"/>
      <c r="V371" s="333"/>
      <c r="W371" s="333"/>
      <c r="X371" s="333"/>
      <c r="Y371" s="333"/>
      <c r="Z371" s="333"/>
    </row>
    <row r="372" spans="1:26" ht="15.6">
      <c r="A372" s="333"/>
      <c r="B372" s="348"/>
      <c r="C372" s="348"/>
      <c r="D372" s="348"/>
      <c r="E372" s="348"/>
      <c r="F372" s="348"/>
      <c r="G372" s="348"/>
      <c r="H372" s="348"/>
      <c r="I372" s="348"/>
      <c r="J372" s="348"/>
      <c r="K372" s="348"/>
      <c r="L372" s="333"/>
      <c r="M372" s="333"/>
      <c r="N372" s="333"/>
      <c r="O372" s="333"/>
      <c r="P372" s="333"/>
      <c r="Q372" s="333"/>
      <c r="R372" s="333"/>
      <c r="S372" s="333"/>
      <c r="T372" s="333"/>
      <c r="U372" s="333"/>
      <c r="V372" s="333"/>
      <c r="W372" s="333"/>
      <c r="X372" s="333"/>
      <c r="Y372" s="333"/>
      <c r="Z372" s="333"/>
    </row>
    <row r="373" spans="1:26" ht="15.6">
      <c r="A373" s="333"/>
      <c r="B373" s="348"/>
      <c r="C373" s="348"/>
      <c r="D373" s="348"/>
      <c r="E373" s="348"/>
      <c r="F373" s="348"/>
      <c r="G373" s="348"/>
      <c r="H373" s="348"/>
      <c r="I373" s="348"/>
      <c r="J373" s="348"/>
      <c r="K373" s="348"/>
      <c r="L373" s="333"/>
      <c r="M373" s="333"/>
      <c r="N373" s="333"/>
      <c r="O373" s="333"/>
      <c r="P373" s="333"/>
      <c r="Q373" s="333"/>
      <c r="R373" s="333"/>
      <c r="S373" s="333"/>
      <c r="T373" s="333"/>
      <c r="U373" s="333"/>
      <c r="V373" s="333"/>
      <c r="W373" s="333"/>
      <c r="X373" s="333"/>
      <c r="Y373" s="333"/>
      <c r="Z373" s="333"/>
    </row>
    <row r="374" spans="1:26" ht="15.6">
      <c r="A374" s="333"/>
      <c r="B374" s="348"/>
      <c r="C374" s="348"/>
      <c r="D374" s="348"/>
      <c r="E374" s="348"/>
      <c r="F374" s="348"/>
      <c r="G374" s="348"/>
      <c r="H374" s="348"/>
      <c r="I374" s="348"/>
      <c r="J374" s="348"/>
      <c r="K374" s="348"/>
      <c r="L374" s="333"/>
      <c r="M374" s="333"/>
      <c r="N374" s="333"/>
      <c r="O374" s="333"/>
      <c r="P374" s="333"/>
      <c r="Q374" s="333"/>
      <c r="R374" s="333"/>
      <c r="S374" s="333"/>
      <c r="T374" s="333"/>
      <c r="U374" s="333"/>
      <c r="V374" s="333"/>
      <c r="W374" s="333"/>
      <c r="X374" s="333"/>
      <c r="Y374" s="333"/>
      <c r="Z374" s="333"/>
    </row>
    <row r="375" spans="1:26" ht="15.6">
      <c r="A375" s="333"/>
      <c r="B375" s="348"/>
      <c r="C375" s="348"/>
      <c r="D375" s="348"/>
      <c r="E375" s="348"/>
      <c r="F375" s="348"/>
      <c r="G375" s="348"/>
      <c r="H375" s="348"/>
      <c r="I375" s="348"/>
      <c r="J375" s="348"/>
      <c r="K375" s="348"/>
      <c r="L375" s="333"/>
      <c r="M375" s="333"/>
      <c r="N375" s="333"/>
      <c r="O375" s="333"/>
      <c r="P375" s="333"/>
      <c r="Q375" s="333"/>
      <c r="R375" s="333"/>
      <c r="S375" s="333"/>
      <c r="T375" s="333"/>
      <c r="U375" s="333"/>
      <c r="V375" s="333"/>
      <c r="W375" s="333"/>
      <c r="X375" s="333"/>
      <c r="Y375" s="333"/>
      <c r="Z375" s="333"/>
    </row>
    <row r="376" spans="1:26" ht="15.6">
      <c r="A376" s="333"/>
      <c r="B376" s="348"/>
      <c r="C376" s="348"/>
      <c r="D376" s="348"/>
      <c r="E376" s="348"/>
      <c r="F376" s="348"/>
      <c r="G376" s="348"/>
      <c r="H376" s="348"/>
      <c r="I376" s="348"/>
      <c r="J376" s="348"/>
      <c r="K376" s="348"/>
      <c r="L376" s="333"/>
      <c r="M376" s="333"/>
      <c r="N376" s="333"/>
      <c r="O376" s="333"/>
      <c r="P376" s="333"/>
      <c r="Q376" s="333"/>
      <c r="R376" s="333"/>
      <c r="S376" s="333"/>
      <c r="T376" s="333"/>
      <c r="U376" s="333"/>
      <c r="V376" s="333"/>
      <c r="W376" s="333"/>
      <c r="X376" s="333"/>
      <c r="Y376" s="333"/>
      <c r="Z376" s="333"/>
    </row>
    <row r="377" spans="1:26" ht="15.6">
      <c r="A377" s="333"/>
      <c r="B377" s="348"/>
      <c r="C377" s="348"/>
      <c r="D377" s="348"/>
      <c r="E377" s="348"/>
      <c r="F377" s="348"/>
      <c r="G377" s="348"/>
      <c r="H377" s="348"/>
      <c r="I377" s="348"/>
      <c r="J377" s="348"/>
      <c r="K377" s="348"/>
      <c r="L377" s="333"/>
      <c r="M377" s="333"/>
      <c r="N377" s="333"/>
      <c r="O377" s="333"/>
      <c r="P377" s="333"/>
      <c r="Q377" s="333"/>
      <c r="R377" s="333"/>
      <c r="S377" s="333"/>
      <c r="T377" s="333"/>
      <c r="U377" s="333"/>
      <c r="V377" s="333"/>
      <c r="W377" s="333"/>
      <c r="X377" s="333"/>
      <c r="Y377" s="333"/>
      <c r="Z377" s="333"/>
    </row>
    <row r="378" spans="1:26" ht="15.6">
      <c r="A378" s="333"/>
      <c r="B378" s="348"/>
      <c r="C378" s="348"/>
      <c r="D378" s="348"/>
      <c r="E378" s="348"/>
      <c r="F378" s="348"/>
      <c r="G378" s="348"/>
      <c r="H378" s="348"/>
      <c r="I378" s="348"/>
      <c r="J378" s="348"/>
      <c r="K378" s="348"/>
      <c r="L378" s="333"/>
      <c r="M378" s="333"/>
      <c r="N378" s="333"/>
      <c r="O378" s="333"/>
      <c r="P378" s="333"/>
      <c r="Q378" s="333"/>
      <c r="R378" s="333"/>
      <c r="S378" s="333"/>
      <c r="T378" s="333"/>
      <c r="U378" s="333"/>
      <c r="V378" s="333"/>
      <c r="W378" s="333"/>
      <c r="X378" s="333"/>
      <c r="Y378" s="333"/>
      <c r="Z378" s="333"/>
    </row>
    <row r="379" spans="1:26" ht="15.6">
      <c r="A379" s="333"/>
      <c r="B379" s="348"/>
      <c r="C379" s="348"/>
      <c r="D379" s="348"/>
      <c r="E379" s="348"/>
      <c r="F379" s="348"/>
      <c r="G379" s="348"/>
      <c r="H379" s="348"/>
      <c r="I379" s="348"/>
      <c r="J379" s="348"/>
      <c r="K379" s="348"/>
      <c r="L379" s="333"/>
      <c r="M379" s="333"/>
      <c r="N379" s="333"/>
      <c r="O379" s="333"/>
      <c r="P379" s="333"/>
      <c r="Q379" s="333"/>
      <c r="R379" s="333"/>
      <c r="S379" s="333"/>
      <c r="T379" s="333"/>
      <c r="U379" s="333"/>
      <c r="V379" s="333"/>
      <c r="W379" s="333"/>
      <c r="X379" s="333"/>
      <c r="Y379" s="333"/>
      <c r="Z379" s="333"/>
    </row>
    <row r="380" spans="1:26" ht="15.6">
      <c r="A380" s="333"/>
      <c r="B380" s="348"/>
      <c r="C380" s="348"/>
      <c r="D380" s="348"/>
      <c r="E380" s="348"/>
      <c r="F380" s="348"/>
      <c r="G380" s="348"/>
      <c r="H380" s="348"/>
      <c r="I380" s="348"/>
      <c r="J380" s="348"/>
      <c r="K380" s="348"/>
      <c r="L380" s="333"/>
      <c r="M380" s="333"/>
      <c r="N380" s="333"/>
      <c r="O380" s="333"/>
      <c r="P380" s="333"/>
      <c r="Q380" s="333"/>
      <c r="R380" s="333"/>
      <c r="S380" s="333"/>
      <c r="T380" s="333"/>
      <c r="U380" s="333"/>
      <c r="V380" s="333"/>
      <c r="W380" s="333"/>
      <c r="X380" s="333"/>
      <c r="Y380" s="333"/>
      <c r="Z380" s="333"/>
    </row>
    <row r="381" spans="1:26" ht="15.6">
      <c r="A381" s="333"/>
      <c r="B381" s="348"/>
      <c r="C381" s="348"/>
      <c r="D381" s="348"/>
      <c r="E381" s="348"/>
      <c r="F381" s="348"/>
      <c r="G381" s="348"/>
      <c r="H381" s="348"/>
      <c r="I381" s="348"/>
      <c r="J381" s="348"/>
      <c r="K381" s="348"/>
      <c r="L381" s="333"/>
      <c r="M381" s="333"/>
      <c r="N381" s="333"/>
      <c r="O381" s="333"/>
      <c r="P381" s="333"/>
      <c r="Q381" s="333"/>
      <c r="R381" s="333"/>
      <c r="S381" s="333"/>
      <c r="T381" s="333"/>
      <c r="U381" s="333"/>
      <c r="V381" s="333"/>
      <c r="W381" s="333"/>
      <c r="X381" s="333"/>
      <c r="Y381" s="333"/>
      <c r="Z381" s="333"/>
    </row>
    <row r="382" spans="1:26" ht="15.6">
      <c r="A382" s="333"/>
      <c r="B382" s="348"/>
      <c r="C382" s="348"/>
      <c r="D382" s="348"/>
      <c r="E382" s="348"/>
      <c r="F382" s="348"/>
      <c r="G382" s="348"/>
      <c r="H382" s="348"/>
      <c r="I382" s="348"/>
      <c r="J382" s="348"/>
      <c r="K382" s="348"/>
      <c r="L382" s="333"/>
      <c r="M382" s="333"/>
      <c r="N382" s="333"/>
      <c r="O382" s="333"/>
      <c r="P382" s="333"/>
      <c r="Q382" s="333"/>
      <c r="R382" s="333"/>
      <c r="S382" s="333"/>
      <c r="T382" s="333"/>
      <c r="U382" s="333"/>
      <c r="V382" s="333"/>
      <c r="W382" s="333"/>
      <c r="X382" s="333"/>
      <c r="Y382" s="333"/>
      <c r="Z382" s="333"/>
    </row>
    <row r="383" spans="1:26" ht="15.6">
      <c r="A383" s="333"/>
      <c r="B383" s="348"/>
      <c r="C383" s="348"/>
      <c r="D383" s="348"/>
      <c r="E383" s="348"/>
      <c r="F383" s="348"/>
      <c r="G383" s="348"/>
      <c r="H383" s="348"/>
      <c r="I383" s="348"/>
      <c r="J383" s="348"/>
      <c r="K383" s="348"/>
      <c r="L383" s="333"/>
      <c r="M383" s="333"/>
      <c r="N383" s="333"/>
      <c r="O383" s="333"/>
      <c r="P383" s="333"/>
      <c r="Q383" s="333"/>
      <c r="R383" s="333"/>
      <c r="S383" s="333"/>
      <c r="T383" s="333"/>
      <c r="U383" s="333"/>
      <c r="V383" s="333"/>
      <c r="W383" s="333"/>
      <c r="X383" s="333"/>
      <c r="Y383" s="333"/>
      <c r="Z383" s="333"/>
    </row>
    <row r="384" spans="1:26" ht="15.6">
      <c r="A384" s="333"/>
      <c r="B384" s="348"/>
      <c r="C384" s="348"/>
      <c r="D384" s="348"/>
      <c r="E384" s="348"/>
      <c r="F384" s="348"/>
      <c r="G384" s="348"/>
      <c r="H384" s="348"/>
      <c r="I384" s="348"/>
      <c r="J384" s="348"/>
      <c r="K384" s="348"/>
      <c r="L384" s="333"/>
      <c r="M384" s="333"/>
      <c r="N384" s="333"/>
      <c r="O384" s="333"/>
      <c r="P384" s="333"/>
      <c r="Q384" s="333"/>
      <c r="R384" s="333"/>
      <c r="S384" s="333"/>
      <c r="T384" s="333"/>
      <c r="U384" s="333"/>
      <c r="V384" s="333"/>
      <c r="W384" s="333"/>
      <c r="X384" s="333"/>
      <c r="Y384" s="333"/>
      <c r="Z384" s="333"/>
    </row>
    <row r="385" spans="1:26" ht="15.6">
      <c r="A385" s="333"/>
      <c r="B385" s="348"/>
      <c r="C385" s="348"/>
      <c r="D385" s="348"/>
      <c r="E385" s="348"/>
      <c r="F385" s="348"/>
      <c r="G385" s="348"/>
      <c r="H385" s="348"/>
      <c r="I385" s="348"/>
      <c r="J385" s="348"/>
      <c r="K385" s="348"/>
      <c r="L385" s="333"/>
      <c r="M385" s="333"/>
      <c r="N385" s="333"/>
      <c r="O385" s="333"/>
      <c r="P385" s="333"/>
      <c r="Q385" s="333"/>
      <c r="R385" s="333"/>
      <c r="S385" s="333"/>
      <c r="T385" s="333"/>
      <c r="U385" s="333"/>
      <c r="V385" s="333"/>
      <c r="W385" s="333"/>
      <c r="X385" s="333"/>
      <c r="Y385" s="333"/>
      <c r="Z385" s="333"/>
    </row>
    <row r="386" spans="1:26" ht="15.6">
      <c r="A386" s="333"/>
      <c r="B386" s="348"/>
      <c r="C386" s="348"/>
      <c r="D386" s="348"/>
      <c r="E386" s="348"/>
      <c r="F386" s="348"/>
      <c r="G386" s="348"/>
      <c r="H386" s="348"/>
      <c r="I386" s="348"/>
      <c r="J386" s="348"/>
      <c r="K386" s="348"/>
      <c r="L386" s="333"/>
      <c r="M386" s="333"/>
      <c r="N386" s="333"/>
      <c r="O386" s="333"/>
      <c r="P386" s="333"/>
      <c r="Q386" s="333"/>
      <c r="R386" s="333"/>
      <c r="S386" s="333"/>
      <c r="T386" s="333"/>
      <c r="U386" s="333"/>
      <c r="V386" s="333"/>
      <c r="W386" s="333"/>
      <c r="X386" s="333"/>
      <c r="Y386" s="333"/>
      <c r="Z386" s="333"/>
    </row>
    <row r="387" spans="1:26" ht="15.6">
      <c r="A387" s="333"/>
      <c r="B387" s="348"/>
      <c r="C387" s="348"/>
      <c r="D387" s="348"/>
      <c r="E387" s="348"/>
      <c r="F387" s="348"/>
      <c r="G387" s="348"/>
      <c r="H387" s="348"/>
      <c r="I387" s="348"/>
      <c r="J387" s="348"/>
      <c r="K387" s="348"/>
      <c r="L387" s="333"/>
      <c r="M387" s="333"/>
      <c r="N387" s="333"/>
      <c r="O387" s="333"/>
      <c r="P387" s="333"/>
      <c r="Q387" s="333"/>
      <c r="R387" s="333"/>
      <c r="S387" s="333"/>
      <c r="T387" s="333"/>
      <c r="U387" s="333"/>
      <c r="V387" s="333"/>
      <c r="W387" s="333"/>
      <c r="X387" s="333"/>
      <c r="Y387" s="333"/>
      <c r="Z387" s="333"/>
    </row>
    <row r="388" spans="1:26" ht="15.6">
      <c r="A388" s="333"/>
      <c r="B388" s="348"/>
      <c r="C388" s="348"/>
      <c r="D388" s="348"/>
      <c r="E388" s="348"/>
      <c r="F388" s="348"/>
      <c r="G388" s="348"/>
      <c r="H388" s="348"/>
      <c r="I388" s="348"/>
      <c r="J388" s="348"/>
      <c r="K388" s="348"/>
      <c r="L388" s="333"/>
      <c r="M388" s="333"/>
      <c r="N388" s="333"/>
      <c r="O388" s="333"/>
      <c r="P388" s="333"/>
      <c r="Q388" s="333"/>
      <c r="R388" s="333"/>
      <c r="S388" s="333"/>
      <c r="T388" s="333"/>
      <c r="U388" s="333"/>
      <c r="V388" s="333"/>
      <c r="W388" s="333"/>
      <c r="X388" s="333"/>
      <c r="Y388" s="333"/>
      <c r="Z388" s="333"/>
    </row>
    <row r="389" spans="1:26" ht="15.6">
      <c r="A389" s="333"/>
      <c r="B389" s="348"/>
      <c r="C389" s="348"/>
      <c r="D389" s="348"/>
      <c r="E389" s="348"/>
      <c r="F389" s="348"/>
      <c r="G389" s="348"/>
      <c r="H389" s="348"/>
      <c r="I389" s="348"/>
      <c r="J389" s="348"/>
      <c r="K389" s="348"/>
      <c r="L389" s="333"/>
      <c r="M389" s="333"/>
      <c r="N389" s="333"/>
      <c r="O389" s="333"/>
      <c r="P389" s="333"/>
      <c r="Q389" s="333"/>
      <c r="R389" s="333"/>
      <c r="S389" s="333"/>
      <c r="T389" s="333"/>
      <c r="U389" s="333"/>
      <c r="V389" s="333"/>
      <c r="W389" s="333"/>
      <c r="X389" s="333"/>
      <c r="Y389" s="333"/>
      <c r="Z389" s="333"/>
    </row>
    <row r="390" spans="1:26" ht="15.6">
      <c r="A390" s="333"/>
      <c r="B390" s="348"/>
      <c r="C390" s="348"/>
      <c r="D390" s="348"/>
      <c r="E390" s="348"/>
      <c r="F390" s="348"/>
      <c r="G390" s="348"/>
      <c r="H390" s="348"/>
      <c r="I390" s="348"/>
      <c r="J390" s="348"/>
      <c r="K390" s="348"/>
      <c r="L390" s="333"/>
      <c r="M390" s="333"/>
      <c r="N390" s="333"/>
      <c r="O390" s="333"/>
      <c r="P390" s="333"/>
      <c r="Q390" s="333"/>
      <c r="R390" s="333"/>
      <c r="S390" s="333"/>
      <c r="T390" s="333"/>
      <c r="U390" s="333"/>
      <c r="V390" s="333"/>
      <c r="W390" s="333"/>
      <c r="X390" s="333"/>
      <c r="Y390" s="333"/>
      <c r="Z390" s="333"/>
    </row>
    <row r="391" spans="1:26" ht="15.6">
      <c r="A391" s="333"/>
      <c r="B391" s="348"/>
      <c r="C391" s="348"/>
      <c r="D391" s="348"/>
      <c r="E391" s="348"/>
      <c r="F391" s="348"/>
      <c r="G391" s="348"/>
      <c r="H391" s="348"/>
      <c r="I391" s="348"/>
      <c r="J391" s="348"/>
      <c r="K391" s="348"/>
      <c r="L391" s="333"/>
      <c r="M391" s="333"/>
      <c r="N391" s="333"/>
      <c r="O391" s="333"/>
      <c r="P391" s="333"/>
      <c r="Q391" s="333"/>
      <c r="R391" s="333"/>
      <c r="S391" s="333"/>
      <c r="T391" s="333"/>
      <c r="U391" s="333"/>
      <c r="V391" s="333"/>
      <c r="W391" s="333"/>
      <c r="X391" s="333"/>
      <c r="Y391" s="333"/>
      <c r="Z391" s="333"/>
    </row>
    <row r="392" spans="1:26" ht="15.6">
      <c r="A392" s="333"/>
      <c r="B392" s="348"/>
      <c r="C392" s="348"/>
      <c r="D392" s="348"/>
      <c r="E392" s="348"/>
      <c r="F392" s="348"/>
      <c r="G392" s="348"/>
      <c r="H392" s="348"/>
      <c r="I392" s="348"/>
      <c r="J392" s="348"/>
      <c r="K392" s="348"/>
      <c r="L392" s="333"/>
      <c r="M392" s="333"/>
      <c r="N392" s="333"/>
      <c r="O392" s="333"/>
      <c r="P392" s="333"/>
      <c r="Q392" s="333"/>
      <c r="R392" s="333"/>
      <c r="S392" s="333"/>
      <c r="T392" s="333"/>
      <c r="U392" s="333"/>
      <c r="V392" s="333"/>
      <c r="W392" s="333"/>
      <c r="X392" s="333"/>
      <c r="Y392" s="333"/>
      <c r="Z392" s="333"/>
    </row>
    <row r="393" spans="1:26" ht="15.6">
      <c r="A393" s="333"/>
      <c r="B393" s="348"/>
      <c r="C393" s="348"/>
      <c r="D393" s="348"/>
      <c r="E393" s="348"/>
      <c r="F393" s="348"/>
      <c r="G393" s="348"/>
      <c r="H393" s="348"/>
      <c r="I393" s="348"/>
      <c r="J393" s="348"/>
      <c r="K393" s="348"/>
      <c r="L393" s="333"/>
      <c r="M393" s="333"/>
      <c r="N393" s="333"/>
      <c r="O393" s="333"/>
      <c r="P393" s="333"/>
      <c r="Q393" s="333"/>
      <c r="R393" s="333"/>
      <c r="S393" s="333"/>
      <c r="T393" s="333"/>
      <c r="U393" s="333"/>
      <c r="V393" s="333"/>
      <c r="W393" s="333"/>
      <c r="X393" s="333"/>
      <c r="Y393" s="333"/>
      <c r="Z393" s="333"/>
    </row>
    <row r="394" spans="1:26" ht="15.6">
      <c r="A394" s="333"/>
      <c r="B394" s="348"/>
      <c r="C394" s="348"/>
      <c r="D394" s="348"/>
      <c r="E394" s="348"/>
      <c r="F394" s="348"/>
      <c r="G394" s="348"/>
      <c r="H394" s="348"/>
      <c r="I394" s="348"/>
      <c r="J394" s="348"/>
      <c r="K394" s="348"/>
      <c r="L394" s="333"/>
      <c r="M394" s="333"/>
      <c r="N394" s="333"/>
      <c r="O394" s="333"/>
      <c r="P394" s="333"/>
      <c r="Q394" s="333"/>
      <c r="R394" s="333"/>
      <c r="S394" s="333"/>
      <c r="T394" s="333"/>
      <c r="U394" s="333"/>
      <c r="V394" s="333"/>
      <c r="W394" s="333"/>
      <c r="X394" s="333"/>
      <c r="Y394" s="333"/>
      <c r="Z394" s="333"/>
    </row>
    <row r="395" spans="1:26" ht="15.6">
      <c r="A395" s="333"/>
      <c r="B395" s="348"/>
      <c r="C395" s="348"/>
      <c r="D395" s="348"/>
      <c r="E395" s="348"/>
      <c r="F395" s="348"/>
      <c r="G395" s="348"/>
      <c r="H395" s="348"/>
      <c r="I395" s="348"/>
      <c r="J395" s="348"/>
      <c r="K395" s="348"/>
      <c r="L395" s="333"/>
      <c r="M395" s="333"/>
      <c r="N395" s="333"/>
      <c r="O395" s="333"/>
      <c r="P395" s="333"/>
      <c r="Q395" s="333"/>
      <c r="R395" s="333"/>
      <c r="S395" s="333"/>
      <c r="T395" s="333"/>
      <c r="U395" s="333"/>
      <c r="V395" s="333"/>
      <c r="W395" s="333"/>
      <c r="X395" s="333"/>
      <c r="Y395" s="333"/>
      <c r="Z395" s="333"/>
    </row>
    <row r="396" spans="1:26" ht="15.6">
      <c r="A396" s="333"/>
      <c r="B396" s="348"/>
      <c r="C396" s="348"/>
      <c r="D396" s="348"/>
      <c r="E396" s="348"/>
      <c r="F396" s="348"/>
      <c r="G396" s="348"/>
      <c r="H396" s="348"/>
      <c r="I396" s="348"/>
      <c r="J396" s="348"/>
      <c r="K396" s="348"/>
      <c r="L396" s="333"/>
      <c r="M396" s="333"/>
      <c r="N396" s="333"/>
      <c r="O396" s="333"/>
      <c r="P396" s="333"/>
      <c r="Q396" s="333"/>
      <c r="R396" s="333"/>
      <c r="S396" s="333"/>
      <c r="T396" s="333"/>
      <c r="U396" s="333"/>
      <c r="V396" s="333"/>
      <c r="W396" s="333"/>
      <c r="X396" s="333"/>
      <c r="Y396" s="333"/>
      <c r="Z396" s="333"/>
    </row>
    <row r="397" spans="1:26" ht="15.6">
      <c r="A397" s="333"/>
      <c r="B397" s="348"/>
      <c r="C397" s="348"/>
      <c r="D397" s="348"/>
      <c r="E397" s="348"/>
      <c r="F397" s="348"/>
      <c r="G397" s="348"/>
      <c r="H397" s="348"/>
      <c r="I397" s="348"/>
      <c r="J397" s="348"/>
      <c r="K397" s="348"/>
      <c r="L397" s="333"/>
      <c r="M397" s="333"/>
      <c r="N397" s="333"/>
      <c r="O397" s="333"/>
      <c r="P397" s="333"/>
      <c r="Q397" s="333"/>
      <c r="R397" s="333"/>
      <c r="S397" s="333"/>
      <c r="T397" s="333"/>
      <c r="U397" s="333"/>
      <c r="V397" s="333"/>
      <c r="W397" s="333"/>
      <c r="X397" s="333"/>
      <c r="Y397" s="333"/>
      <c r="Z397" s="333"/>
    </row>
    <row r="398" spans="1:26" ht="15.6">
      <c r="A398" s="333"/>
      <c r="B398" s="348"/>
      <c r="C398" s="348"/>
      <c r="D398" s="348"/>
      <c r="E398" s="348"/>
      <c r="F398" s="348"/>
      <c r="G398" s="348"/>
      <c r="H398" s="348"/>
      <c r="I398" s="348"/>
      <c r="J398" s="348"/>
      <c r="K398" s="348"/>
      <c r="L398" s="333"/>
      <c r="M398" s="333"/>
      <c r="N398" s="333"/>
      <c r="O398" s="333"/>
      <c r="P398" s="333"/>
      <c r="Q398" s="333"/>
      <c r="R398" s="333"/>
      <c r="S398" s="333"/>
      <c r="T398" s="333"/>
      <c r="U398" s="333"/>
      <c r="V398" s="333"/>
      <c r="W398" s="333"/>
      <c r="X398" s="333"/>
      <c r="Y398" s="333"/>
      <c r="Z398" s="333"/>
    </row>
    <row r="399" spans="1:26" ht="15.6">
      <c r="A399" s="333"/>
      <c r="B399" s="348"/>
      <c r="C399" s="348"/>
      <c r="D399" s="348"/>
      <c r="E399" s="348"/>
      <c r="F399" s="348"/>
      <c r="G399" s="348"/>
      <c r="H399" s="348"/>
      <c r="I399" s="348"/>
      <c r="J399" s="348"/>
      <c r="K399" s="348"/>
      <c r="L399" s="333"/>
      <c r="M399" s="333"/>
      <c r="N399" s="333"/>
      <c r="O399" s="333"/>
      <c r="P399" s="333"/>
      <c r="Q399" s="333"/>
      <c r="R399" s="333"/>
      <c r="S399" s="333"/>
      <c r="T399" s="333"/>
      <c r="U399" s="333"/>
      <c r="V399" s="333"/>
      <c r="W399" s="333"/>
      <c r="X399" s="333"/>
      <c r="Y399" s="333"/>
      <c r="Z399" s="333"/>
    </row>
    <row r="400" spans="1:26" ht="15.6">
      <c r="A400" s="333"/>
      <c r="B400" s="348"/>
      <c r="C400" s="348"/>
      <c r="D400" s="348"/>
      <c r="E400" s="348"/>
      <c r="F400" s="348"/>
      <c r="G400" s="348"/>
      <c r="H400" s="348"/>
      <c r="I400" s="348"/>
      <c r="J400" s="348"/>
      <c r="K400" s="348"/>
      <c r="L400" s="333"/>
      <c r="M400" s="333"/>
      <c r="N400" s="333"/>
      <c r="O400" s="333"/>
      <c r="P400" s="333"/>
      <c r="Q400" s="333"/>
      <c r="R400" s="333"/>
      <c r="S400" s="333"/>
      <c r="T400" s="333"/>
      <c r="U400" s="333"/>
      <c r="V400" s="333"/>
      <c r="W400" s="333"/>
      <c r="X400" s="333"/>
      <c r="Y400" s="333"/>
      <c r="Z400" s="333"/>
    </row>
    <row r="401" spans="1:26" ht="15.6">
      <c r="A401" s="333"/>
      <c r="B401" s="348"/>
      <c r="C401" s="348"/>
      <c r="D401" s="348"/>
      <c r="E401" s="348"/>
      <c r="F401" s="348"/>
      <c r="G401" s="348"/>
      <c r="H401" s="348"/>
      <c r="I401" s="348"/>
      <c r="J401" s="348"/>
      <c r="K401" s="348"/>
      <c r="L401" s="333"/>
      <c r="M401" s="333"/>
      <c r="N401" s="333"/>
      <c r="O401" s="333"/>
      <c r="P401" s="333"/>
      <c r="Q401" s="333"/>
      <c r="R401" s="333"/>
      <c r="S401" s="333"/>
      <c r="T401" s="333"/>
      <c r="U401" s="333"/>
      <c r="V401" s="333"/>
      <c r="W401" s="333"/>
      <c r="X401" s="333"/>
      <c r="Y401" s="333"/>
      <c r="Z401" s="333"/>
    </row>
    <row r="402" spans="1:26" ht="15.6">
      <c r="A402" s="333"/>
      <c r="B402" s="348"/>
      <c r="C402" s="348"/>
      <c r="D402" s="348"/>
      <c r="E402" s="348"/>
      <c r="F402" s="348"/>
      <c r="G402" s="348"/>
      <c r="H402" s="348"/>
      <c r="I402" s="348"/>
      <c r="J402" s="348"/>
      <c r="K402" s="348"/>
      <c r="L402" s="333"/>
      <c r="M402" s="333"/>
      <c r="N402" s="333"/>
      <c r="O402" s="333"/>
      <c r="P402" s="333"/>
      <c r="Q402" s="333"/>
      <c r="R402" s="333"/>
      <c r="S402" s="333"/>
      <c r="T402" s="333"/>
      <c r="U402" s="333"/>
      <c r="V402" s="333"/>
      <c r="W402" s="333"/>
      <c r="X402" s="333"/>
      <c r="Y402" s="333"/>
      <c r="Z402" s="333"/>
    </row>
    <row r="403" spans="1:26" ht="15.6">
      <c r="A403" s="333"/>
      <c r="B403" s="348"/>
      <c r="C403" s="348"/>
      <c r="D403" s="348"/>
      <c r="E403" s="348"/>
      <c r="F403" s="348"/>
      <c r="G403" s="348"/>
      <c r="H403" s="348"/>
      <c r="I403" s="348"/>
      <c r="J403" s="348"/>
      <c r="K403" s="348"/>
      <c r="L403" s="333"/>
      <c r="M403" s="333"/>
      <c r="N403" s="333"/>
      <c r="O403" s="333"/>
      <c r="P403" s="333"/>
      <c r="Q403" s="333"/>
      <c r="R403" s="333"/>
      <c r="S403" s="333"/>
      <c r="T403" s="333"/>
      <c r="U403" s="333"/>
      <c r="V403" s="333"/>
      <c r="W403" s="333"/>
      <c r="X403" s="333"/>
      <c r="Y403" s="333"/>
      <c r="Z403" s="333"/>
    </row>
    <row r="404" spans="1:26" ht="15.6">
      <c r="A404" s="333"/>
      <c r="B404" s="348"/>
      <c r="C404" s="348"/>
      <c r="D404" s="348"/>
      <c r="E404" s="348"/>
      <c r="F404" s="348"/>
      <c r="G404" s="348"/>
      <c r="H404" s="348"/>
      <c r="I404" s="348"/>
      <c r="J404" s="348"/>
      <c r="K404" s="348"/>
      <c r="L404" s="333"/>
      <c r="M404" s="333"/>
      <c r="N404" s="333"/>
      <c r="O404" s="333"/>
      <c r="P404" s="333"/>
      <c r="Q404" s="333"/>
      <c r="R404" s="333"/>
      <c r="S404" s="333"/>
      <c r="T404" s="333"/>
      <c r="U404" s="333"/>
      <c r="V404" s="333"/>
      <c r="W404" s="333"/>
      <c r="X404" s="333"/>
      <c r="Y404" s="333"/>
      <c r="Z404" s="333"/>
    </row>
    <row r="405" spans="1:26" ht="15.6">
      <c r="A405" s="333"/>
      <c r="B405" s="348"/>
      <c r="C405" s="348"/>
      <c r="D405" s="348"/>
      <c r="E405" s="348"/>
      <c r="F405" s="348"/>
      <c r="G405" s="348"/>
      <c r="H405" s="348"/>
      <c r="I405" s="348"/>
      <c r="J405" s="348"/>
      <c r="K405" s="348"/>
      <c r="L405" s="333"/>
      <c r="M405" s="333"/>
      <c r="N405" s="333"/>
      <c r="O405" s="333"/>
      <c r="P405" s="333"/>
      <c r="Q405" s="333"/>
      <c r="R405" s="333"/>
      <c r="S405" s="333"/>
      <c r="T405" s="333"/>
      <c r="U405" s="333"/>
      <c r="V405" s="333"/>
      <c r="W405" s="333"/>
      <c r="X405" s="333"/>
      <c r="Y405" s="333"/>
      <c r="Z405" s="333"/>
    </row>
    <row r="406" spans="1:26" ht="15.6">
      <c r="A406" s="333"/>
      <c r="B406" s="348"/>
      <c r="C406" s="348"/>
      <c r="D406" s="348"/>
      <c r="E406" s="348"/>
      <c r="F406" s="348"/>
      <c r="G406" s="348"/>
      <c r="H406" s="348"/>
      <c r="I406" s="348"/>
      <c r="J406" s="348"/>
      <c r="K406" s="348"/>
      <c r="L406" s="333"/>
      <c r="M406" s="333"/>
      <c r="N406" s="333"/>
      <c r="O406" s="333"/>
      <c r="P406" s="333"/>
      <c r="Q406" s="333"/>
      <c r="R406" s="333"/>
      <c r="S406" s="333"/>
      <c r="T406" s="333"/>
      <c r="U406" s="333"/>
      <c r="V406" s="333"/>
      <c r="W406" s="333"/>
      <c r="X406" s="333"/>
      <c r="Y406" s="333"/>
      <c r="Z406" s="333"/>
    </row>
    <row r="407" spans="1:26" ht="15.6">
      <c r="A407" s="333"/>
      <c r="B407" s="348"/>
      <c r="C407" s="348"/>
      <c r="D407" s="348"/>
      <c r="E407" s="348"/>
      <c r="F407" s="348"/>
      <c r="G407" s="348"/>
      <c r="H407" s="348"/>
      <c r="I407" s="348"/>
      <c r="J407" s="348"/>
      <c r="K407" s="348"/>
      <c r="L407" s="333"/>
      <c r="M407" s="333"/>
      <c r="N407" s="333"/>
      <c r="O407" s="333"/>
      <c r="P407" s="333"/>
      <c r="Q407" s="333"/>
      <c r="R407" s="333"/>
      <c r="S407" s="333"/>
      <c r="T407" s="333"/>
      <c r="U407" s="333"/>
      <c r="V407" s="333"/>
      <c r="W407" s="333"/>
      <c r="X407" s="333"/>
      <c r="Y407" s="333"/>
      <c r="Z407" s="333"/>
    </row>
    <row r="408" spans="1:26" ht="15.6">
      <c r="A408" s="333"/>
      <c r="B408" s="348"/>
      <c r="C408" s="348"/>
      <c r="D408" s="348"/>
      <c r="E408" s="348"/>
      <c r="F408" s="348"/>
      <c r="G408" s="348"/>
      <c r="H408" s="348"/>
      <c r="I408" s="348"/>
      <c r="J408" s="348"/>
      <c r="K408" s="348"/>
      <c r="L408" s="333"/>
      <c r="M408" s="333"/>
      <c r="N408" s="333"/>
      <c r="O408" s="333"/>
      <c r="P408" s="333"/>
      <c r="Q408" s="333"/>
      <c r="R408" s="333"/>
      <c r="S408" s="333"/>
      <c r="T408" s="333"/>
      <c r="U408" s="333"/>
      <c r="V408" s="333"/>
      <c r="W408" s="333"/>
      <c r="X408" s="333"/>
      <c r="Y408" s="333"/>
      <c r="Z408" s="333"/>
    </row>
    <row r="409" spans="1:26" ht="15.6">
      <c r="A409" s="333"/>
      <c r="B409" s="348"/>
      <c r="C409" s="348"/>
      <c r="D409" s="348"/>
      <c r="E409" s="348"/>
      <c r="F409" s="348"/>
      <c r="G409" s="348"/>
      <c r="H409" s="348"/>
      <c r="I409" s="348"/>
      <c r="J409" s="348"/>
      <c r="K409" s="348"/>
      <c r="L409" s="333"/>
      <c r="M409" s="333"/>
      <c r="N409" s="333"/>
      <c r="O409" s="333"/>
      <c r="P409" s="333"/>
      <c r="Q409" s="333"/>
      <c r="R409" s="333"/>
      <c r="S409" s="333"/>
      <c r="T409" s="333"/>
      <c r="U409" s="333"/>
      <c r="V409" s="333"/>
      <c r="W409" s="333"/>
      <c r="X409" s="333"/>
      <c r="Y409" s="333"/>
      <c r="Z409" s="333"/>
    </row>
    <row r="410" spans="1:26" ht="15.6">
      <c r="A410" s="333"/>
      <c r="B410" s="348"/>
      <c r="C410" s="348"/>
      <c r="D410" s="348"/>
      <c r="E410" s="348"/>
      <c r="F410" s="348"/>
      <c r="G410" s="348"/>
      <c r="H410" s="348"/>
      <c r="I410" s="348"/>
      <c r="J410" s="348"/>
      <c r="K410" s="348"/>
      <c r="L410" s="333"/>
      <c r="M410" s="333"/>
      <c r="N410" s="333"/>
      <c r="O410" s="333"/>
      <c r="P410" s="333"/>
      <c r="Q410" s="333"/>
      <c r="R410" s="333"/>
      <c r="S410" s="333"/>
      <c r="T410" s="333"/>
      <c r="U410" s="333"/>
      <c r="V410" s="333"/>
      <c r="W410" s="333"/>
      <c r="X410" s="333"/>
      <c r="Y410" s="333"/>
      <c r="Z410" s="333"/>
    </row>
    <row r="411" spans="1:26" ht="15.6">
      <c r="A411" s="333"/>
      <c r="B411" s="348"/>
      <c r="C411" s="348"/>
      <c r="D411" s="348"/>
      <c r="E411" s="348"/>
      <c r="F411" s="348"/>
      <c r="G411" s="348"/>
      <c r="H411" s="348"/>
      <c r="I411" s="348"/>
      <c r="J411" s="348"/>
      <c r="K411" s="348"/>
      <c r="L411" s="333"/>
      <c r="M411" s="333"/>
      <c r="N411" s="333"/>
      <c r="O411" s="333"/>
      <c r="P411" s="333"/>
      <c r="Q411" s="333"/>
      <c r="R411" s="333"/>
      <c r="S411" s="333"/>
      <c r="T411" s="333"/>
      <c r="U411" s="333"/>
      <c r="V411" s="333"/>
      <c r="W411" s="333"/>
      <c r="X411" s="333"/>
      <c r="Y411" s="333"/>
      <c r="Z411" s="333"/>
    </row>
    <row r="412" spans="1:26" ht="15.6">
      <c r="A412" s="333"/>
      <c r="B412" s="348"/>
      <c r="C412" s="348"/>
      <c r="D412" s="348"/>
      <c r="E412" s="348"/>
      <c r="F412" s="348"/>
      <c r="G412" s="348"/>
      <c r="H412" s="348"/>
      <c r="I412" s="348"/>
      <c r="J412" s="348"/>
      <c r="K412" s="348"/>
      <c r="L412" s="333"/>
      <c r="M412" s="333"/>
      <c r="N412" s="333"/>
      <c r="O412" s="333"/>
      <c r="P412" s="333"/>
      <c r="Q412" s="333"/>
      <c r="R412" s="333"/>
      <c r="S412" s="333"/>
      <c r="T412" s="333"/>
      <c r="U412" s="333"/>
      <c r="V412" s="333"/>
      <c r="W412" s="333"/>
      <c r="X412" s="333"/>
      <c r="Y412" s="333"/>
      <c r="Z412" s="333"/>
    </row>
    <row r="413" spans="1:26" ht="15.6">
      <c r="A413" s="333"/>
      <c r="B413" s="348"/>
      <c r="C413" s="348"/>
      <c r="D413" s="348"/>
      <c r="E413" s="348"/>
      <c r="F413" s="348"/>
      <c r="G413" s="348"/>
      <c r="H413" s="348"/>
      <c r="I413" s="348"/>
      <c r="J413" s="348"/>
      <c r="K413" s="348"/>
      <c r="L413" s="333"/>
      <c r="M413" s="333"/>
      <c r="N413" s="333"/>
      <c r="O413" s="333"/>
      <c r="P413" s="333"/>
      <c r="Q413" s="333"/>
      <c r="R413" s="333"/>
      <c r="S413" s="333"/>
      <c r="T413" s="333"/>
      <c r="U413" s="333"/>
      <c r="V413" s="333"/>
      <c r="W413" s="333"/>
      <c r="X413" s="333"/>
      <c r="Y413" s="333"/>
      <c r="Z413" s="333"/>
    </row>
    <row r="414" spans="1:26" ht="15.6">
      <c r="A414" s="333"/>
      <c r="B414" s="348"/>
      <c r="C414" s="348"/>
      <c r="D414" s="348"/>
      <c r="E414" s="348"/>
      <c r="F414" s="348"/>
      <c r="G414" s="348"/>
      <c r="H414" s="348"/>
      <c r="I414" s="348"/>
      <c r="J414" s="348"/>
      <c r="K414" s="348"/>
      <c r="L414" s="333"/>
      <c r="M414" s="333"/>
      <c r="N414" s="333"/>
      <c r="O414" s="333"/>
      <c r="P414" s="333"/>
      <c r="Q414" s="333"/>
      <c r="R414" s="333"/>
      <c r="S414" s="333"/>
      <c r="T414" s="333"/>
      <c r="U414" s="333"/>
      <c r="V414" s="333"/>
      <c r="W414" s="333"/>
      <c r="X414" s="333"/>
      <c r="Y414" s="333"/>
      <c r="Z414" s="333"/>
    </row>
    <row r="415" spans="1:26" ht="15.6">
      <c r="A415" s="333"/>
      <c r="B415" s="348"/>
      <c r="C415" s="348"/>
      <c r="D415" s="348"/>
      <c r="E415" s="348"/>
      <c r="F415" s="348"/>
      <c r="G415" s="348"/>
      <c r="H415" s="348"/>
      <c r="I415" s="348"/>
      <c r="J415" s="348"/>
      <c r="K415" s="348"/>
      <c r="L415" s="333"/>
      <c r="M415" s="333"/>
      <c r="N415" s="333"/>
      <c r="O415" s="333"/>
      <c r="P415" s="333"/>
      <c r="Q415" s="333"/>
      <c r="R415" s="333"/>
      <c r="S415" s="333"/>
      <c r="T415" s="333"/>
      <c r="U415" s="333"/>
      <c r="V415" s="333"/>
      <c r="W415" s="333"/>
      <c r="X415" s="333"/>
      <c r="Y415" s="333"/>
      <c r="Z415" s="333"/>
    </row>
    <row r="416" spans="1:26" ht="15.6">
      <c r="A416" s="333"/>
      <c r="B416" s="348"/>
      <c r="C416" s="348"/>
      <c r="D416" s="348"/>
      <c r="E416" s="348"/>
      <c r="F416" s="348"/>
      <c r="G416" s="348"/>
      <c r="H416" s="348"/>
      <c r="I416" s="348"/>
      <c r="J416" s="348"/>
      <c r="K416" s="348"/>
      <c r="L416" s="333"/>
      <c r="M416" s="333"/>
      <c r="N416" s="333"/>
      <c r="O416" s="333"/>
      <c r="P416" s="333"/>
      <c r="Q416" s="333"/>
      <c r="R416" s="333"/>
      <c r="S416" s="333"/>
      <c r="T416" s="333"/>
      <c r="U416" s="333"/>
      <c r="V416" s="333"/>
      <c r="W416" s="333"/>
      <c r="X416" s="333"/>
      <c r="Y416" s="333"/>
      <c r="Z416" s="333"/>
    </row>
    <row r="417" spans="1:26" ht="15.6">
      <c r="A417" s="333"/>
      <c r="B417" s="348"/>
      <c r="C417" s="348"/>
      <c r="D417" s="348"/>
      <c r="E417" s="348"/>
      <c r="F417" s="348"/>
      <c r="G417" s="348"/>
      <c r="H417" s="348"/>
      <c r="I417" s="348"/>
      <c r="J417" s="348"/>
      <c r="K417" s="348"/>
      <c r="L417" s="333"/>
      <c r="M417" s="333"/>
      <c r="N417" s="333"/>
      <c r="O417" s="333"/>
      <c r="P417" s="333"/>
      <c r="Q417" s="333"/>
      <c r="R417" s="333"/>
      <c r="S417" s="333"/>
      <c r="T417" s="333"/>
      <c r="U417" s="333"/>
      <c r="V417" s="333"/>
      <c r="W417" s="333"/>
      <c r="X417" s="333"/>
      <c r="Y417" s="333"/>
      <c r="Z417" s="333"/>
    </row>
    <row r="418" spans="1:26" ht="15.6">
      <c r="A418" s="333"/>
      <c r="B418" s="348"/>
      <c r="C418" s="348"/>
      <c r="D418" s="348"/>
      <c r="E418" s="348"/>
      <c r="F418" s="348"/>
      <c r="G418" s="348"/>
      <c r="H418" s="348"/>
      <c r="I418" s="348"/>
      <c r="J418" s="348"/>
      <c r="K418" s="348"/>
      <c r="L418" s="333"/>
      <c r="M418" s="333"/>
      <c r="N418" s="333"/>
      <c r="O418" s="333"/>
      <c r="P418" s="333"/>
      <c r="Q418" s="333"/>
      <c r="R418" s="333"/>
      <c r="S418" s="333"/>
      <c r="T418" s="333"/>
      <c r="U418" s="333"/>
      <c r="V418" s="333"/>
      <c r="W418" s="333"/>
      <c r="X418" s="333"/>
      <c r="Y418" s="333"/>
      <c r="Z418" s="333"/>
    </row>
    <row r="419" spans="1:26" ht="15.6">
      <c r="A419" s="333"/>
      <c r="B419" s="348"/>
      <c r="C419" s="348"/>
      <c r="D419" s="348"/>
      <c r="E419" s="348"/>
      <c r="F419" s="348"/>
      <c r="G419" s="348"/>
      <c r="H419" s="348"/>
      <c r="I419" s="348"/>
      <c r="J419" s="348"/>
      <c r="K419" s="348"/>
      <c r="L419" s="333"/>
      <c r="M419" s="333"/>
      <c r="N419" s="333"/>
      <c r="O419" s="333"/>
      <c r="P419" s="333"/>
      <c r="Q419" s="333"/>
      <c r="R419" s="333"/>
      <c r="S419" s="333"/>
      <c r="T419" s="333"/>
      <c r="U419" s="333"/>
      <c r="V419" s="333"/>
      <c r="W419" s="333"/>
      <c r="X419" s="333"/>
      <c r="Y419" s="333"/>
      <c r="Z419" s="333"/>
    </row>
    <row r="420" spans="1:26" ht="15.6">
      <c r="A420" s="333"/>
      <c r="B420" s="348"/>
      <c r="C420" s="348"/>
      <c r="D420" s="348"/>
      <c r="E420" s="348"/>
      <c r="F420" s="348"/>
      <c r="G420" s="348"/>
      <c r="H420" s="348"/>
      <c r="I420" s="348"/>
      <c r="J420" s="348"/>
      <c r="K420" s="348"/>
      <c r="L420" s="333"/>
      <c r="M420" s="333"/>
      <c r="N420" s="333"/>
      <c r="O420" s="333"/>
      <c r="P420" s="333"/>
      <c r="Q420" s="333"/>
      <c r="R420" s="333"/>
      <c r="S420" s="333"/>
      <c r="T420" s="333"/>
      <c r="U420" s="333"/>
      <c r="V420" s="333"/>
      <c r="W420" s="333"/>
      <c r="X420" s="333"/>
      <c r="Y420" s="333"/>
      <c r="Z420" s="333"/>
    </row>
    <row r="421" spans="1:26" ht="15.6">
      <c r="A421" s="333"/>
      <c r="B421" s="348"/>
      <c r="C421" s="348"/>
      <c r="D421" s="348"/>
      <c r="E421" s="348"/>
      <c r="F421" s="348"/>
      <c r="G421" s="348"/>
      <c r="H421" s="348"/>
      <c r="I421" s="348"/>
      <c r="J421" s="348"/>
      <c r="K421" s="348"/>
      <c r="L421" s="333"/>
      <c r="M421" s="333"/>
      <c r="N421" s="333"/>
      <c r="O421" s="333"/>
      <c r="P421" s="333"/>
      <c r="Q421" s="333"/>
      <c r="R421" s="333"/>
      <c r="S421" s="333"/>
      <c r="T421" s="333"/>
      <c r="U421" s="333"/>
      <c r="V421" s="333"/>
      <c r="W421" s="333"/>
      <c r="X421" s="333"/>
      <c r="Y421" s="333"/>
      <c r="Z421" s="333"/>
    </row>
    <row r="422" spans="1:26" ht="15.6">
      <c r="A422" s="333"/>
      <c r="B422" s="348"/>
      <c r="C422" s="348"/>
      <c r="D422" s="348"/>
      <c r="E422" s="348"/>
      <c r="F422" s="348"/>
      <c r="G422" s="348"/>
      <c r="H422" s="348"/>
      <c r="I422" s="348"/>
      <c r="J422" s="348"/>
      <c r="K422" s="348"/>
      <c r="L422" s="333"/>
      <c r="M422" s="333"/>
      <c r="N422" s="333"/>
      <c r="O422" s="333"/>
      <c r="P422" s="333"/>
      <c r="Q422" s="333"/>
      <c r="R422" s="333"/>
      <c r="S422" s="333"/>
      <c r="T422" s="333"/>
      <c r="U422" s="333"/>
      <c r="V422" s="333"/>
      <c r="W422" s="333"/>
      <c r="X422" s="333"/>
      <c r="Y422" s="333"/>
      <c r="Z422" s="333"/>
    </row>
    <row r="423" spans="1:26" ht="15.6">
      <c r="A423" s="333"/>
      <c r="B423" s="348"/>
      <c r="C423" s="348"/>
      <c r="D423" s="348"/>
      <c r="E423" s="348"/>
      <c r="F423" s="348"/>
      <c r="G423" s="348"/>
      <c r="H423" s="348"/>
      <c r="I423" s="348"/>
      <c r="J423" s="348"/>
      <c r="K423" s="348"/>
      <c r="L423" s="333"/>
      <c r="M423" s="333"/>
      <c r="N423" s="333"/>
      <c r="O423" s="333"/>
      <c r="P423" s="333"/>
      <c r="Q423" s="333"/>
      <c r="R423" s="333"/>
      <c r="S423" s="333"/>
      <c r="T423" s="333"/>
      <c r="U423" s="333"/>
      <c r="V423" s="333"/>
      <c r="W423" s="333"/>
      <c r="X423" s="333"/>
      <c r="Y423" s="333"/>
      <c r="Z423" s="333"/>
    </row>
    <row r="424" spans="1:26" ht="15.6">
      <c r="A424" s="333"/>
      <c r="B424" s="348"/>
      <c r="C424" s="348"/>
      <c r="D424" s="348"/>
      <c r="E424" s="348"/>
      <c r="F424" s="348"/>
      <c r="G424" s="348"/>
      <c r="H424" s="348"/>
      <c r="I424" s="348"/>
      <c r="J424" s="348"/>
      <c r="K424" s="348"/>
      <c r="L424" s="333"/>
      <c r="M424" s="333"/>
      <c r="N424" s="333"/>
      <c r="O424" s="333"/>
      <c r="P424" s="333"/>
      <c r="Q424" s="333"/>
      <c r="R424" s="333"/>
      <c r="S424" s="333"/>
      <c r="T424" s="333"/>
      <c r="U424" s="333"/>
      <c r="V424" s="333"/>
      <c r="W424" s="333"/>
      <c r="X424" s="333"/>
      <c r="Y424" s="333"/>
      <c r="Z424" s="333"/>
    </row>
    <row r="425" spans="1:26" ht="15.6">
      <c r="A425" s="333"/>
      <c r="B425" s="348"/>
      <c r="C425" s="348"/>
      <c r="D425" s="348"/>
      <c r="E425" s="348"/>
      <c r="F425" s="348"/>
      <c r="G425" s="348"/>
      <c r="H425" s="348"/>
      <c r="I425" s="348"/>
      <c r="J425" s="348"/>
      <c r="K425" s="348"/>
      <c r="L425" s="333"/>
      <c r="M425" s="333"/>
      <c r="N425" s="333"/>
      <c r="O425" s="333"/>
      <c r="P425" s="333"/>
      <c r="Q425" s="333"/>
      <c r="R425" s="333"/>
      <c r="S425" s="333"/>
      <c r="T425" s="333"/>
      <c r="U425" s="333"/>
      <c r="V425" s="333"/>
      <c r="W425" s="333"/>
      <c r="X425" s="333"/>
      <c r="Y425" s="333"/>
      <c r="Z425" s="333"/>
    </row>
    <row r="426" spans="1:26" ht="15.6">
      <c r="A426" s="333"/>
      <c r="B426" s="348"/>
      <c r="C426" s="348"/>
      <c r="D426" s="348"/>
      <c r="E426" s="348"/>
      <c r="F426" s="348"/>
      <c r="G426" s="348"/>
      <c r="H426" s="348"/>
      <c r="I426" s="348"/>
      <c r="J426" s="348"/>
      <c r="K426" s="348"/>
      <c r="L426" s="333"/>
      <c r="M426" s="333"/>
      <c r="N426" s="333"/>
      <c r="O426" s="333"/>
      <c r="P426" s="333"/>
      <c r="Q426" s="333"/>
      <c r="R426" s="333"/>
      <c r="S426" s="333"/>
      <c r="T426" s="333"/>
      <c r="U426" s="333"/>
      <c r="V426" s="333"/>
      <c r="W426" s="333"/>
      <c r="X426" s="333"/>
      <c r="Y426" s="333"/>
      <c r="Z426" s="333"/>
    </row>
    <row r="427" spans="1:26" ht="15.6">
      <c r="A427" s="333"/>
      <c r="B427" s="348"/>
      <c r="C427" s="348"/>
      <c r="D427" s="348"/>
      <c r="E427" s="348"/>
      <c r="F427" s="348"/>
      <c r="G427" s="348"/>
      <c r="H427" s="348"/>
      <c r="I427" s="348"/>
      <c r="J427" s="348"/>
      <c r="K427" s="348"/>
      <c r="L427" s="333"/>
      <c r="M427" s="333"/>
      <c r="N427" s="333"/>
      <c r="O427" s="333"/>
      <c r="P427" s="333"/>
      <c r="Q427" s="333"/>
      <c r="R427" s="333"/>
      <c r="S427" s="333"/>
      <c r="T427" s="333"/>
      <c r="U427" s="333"/>
      <c r="V427" s="333"/>
      <c r="W427" s="333"/>
      <c r="X427" s="333"/>
      <c r="Y427" s="333"/>
      <c r="Z427" s="333"/>
    </row>
    <row r="428" spans="1:26" ht="15.6">
      <c r="A428" s="333"/>
      <c r="B428" s="348"/>
      <c r="C428" s="348"/>
      <c r="D428" s="348"/>
      <c r="E428" s="348"/>
      <c r="F428" s="348"/>
      <c r="G428" s="348"/>
      <c r="H428" s="348"/>
      <c r="I428" s="348"/>
      <c r="J428" s="348"/>
      <c r="K428" s="348"/>
      <c r="L428" s="333"/>
      <c r="M428" s="333"/>
      <c r="N428" s="333"/>
      <c r="O428" s="333"/>
      <c r="P428" s="333"/>
      <c r="Q428" s="333"/>
      <c r="R428" s="333"/>
      <c r="S428" s="333"/>
      <c r="T428" s="333"/>
      <c r="U428" s="333"/>
      <c r="V428" s="333"/>
      <c r="W428" s="333"/>
      <c r="X428" s="333"/>
      <c r="Y428" s="333"/>
      <c r="Z428" s="333"/>
    </row>
    <row r="429" spans="1:26" ht="15.6">
      <c r="A429" s="333"/>
      <c r="B429" s="348"/>
      <c r="C429" s="348"/>
      <c r="D429" s="348"/>
      <c r="E429" s="348"/>
      <c r="F429" s="348"/>
      <c r="G429" s="348"/>
      <c r="H429" s="348"/>
      <c r="I429" s="348"/>
      <c r="J429" s="348"/>
      <c r="K429" s="348"/>
      <c r="L429" s="333"/>
      <c r="M429" s="333"/>
      <c r="N429" s="333"/>
      <c r="O429" s="333"/>
      <c r="P429" s="333"/>
      <c r="Q429" s="333"/>
      <c r="R429" s="333"/>
      <c r="S429" s="333"/>
      <c r="T429" s="333"/>
      <c r="U429" s="333"/>
      <c r="V429" s="333"/>
      <c r="W429" s="333"/>
      <c r="X429" s="333"/>
      <c r="Y429" s="333"/>
      <c r="Z429" s="333"/>
    </row>
    <row r="430" spans="1:26" ht="15.6">
      <c r="A430" s="333"/>
      <c r="B430" s="348"/>
      <c r="C430" s="348"/>
      <c r="D430" s="348"/>
      <c r="E430" s="348"/>
      <c r="F430" s="348"/>
      <c r="G430" s="348"/>
      <c r="H430" s="348"/>
      <c r="I430" s="348"/>
      <c r="J430" s="348"/>
      <c r="K430" s="348"/>
      <c r="L430" s="333"/>
      <c r="M430" s="333"/>
      <c r="N430" s="333"/>
      <c r="O430" s="333"/>
      <c r="P430" s="333"/>
      <c r="Q430" s="333"/>
      <c r="R430" s="333"/>
      <c r="S430" s="333"/>
      <c r="T430" s="333"/>
      <c r="U430" s="333"/>
      <c r="V430" s="333"/>
      <c r="W430" s="333"/>
      <c r="X430" s="333"/>
      <c r="Y430" s="333"/>
      <c r="Z430" s="333"/>
    </row>
    <row r="431" spans="1:26" ht="15.6">
      <c r="A431" s="333"/>
      <c r="B431" s="348"/>
      <c r="C431" s="348"/>
      <c r="D431" s="348"/>
      <c r="E431" s="348"/>
      <c r="F431" s="348"/>
      <c r="G431" s="348"/>
      <c r="H431" s="348"/>
      <c r="I431" s="348"/>
      <c r="J431" s="348"/>
      <c r="K431" s="348"/>
      <c r="L431" s="333"/>
      <c r="M431" s="333"/>
      <c r="N431" s="333"/>
      <c r="O431" s="333"/>
      <c r="P431" s="333"/>
      <c r="Q431" s="333"/>
      <c r="R431" s="333"/>
      <c r="S431" s="333"/>
      <c r="T431" s="333"/>
      <c r="U431" s="333"/>
      <c r="V431" s="333"/>
      <c r="W431" s="333"/>
      <c r="X431" s="333"/>
      <c r="Y431" s="333"/>
      <c r="Z431" s="333"/>
    </row>
    <row r="432" spans="1:26" ht="15.6">
      <c r="A432" s="333"/>
      <c r="B432" s="348"/>
      <c r="C432" s="348"/>
      <c r="D432" s="348"/>
      <c r="E432" s="348"/>
      <c r="F432" s="348"/>
      <c r="G432" s="348"/>
      <c r="H432" s="348"/>
      <c r="I432" s="348"/>
      <c r="J432" s="348"/>
      <c r="K432" s="348"/>
      <c r="L432" s="333"/>
      <c r="M432" s="333"/>
      <c r="N432" s="333"/>
      <c r="O432" s="333"/>
      <c r="P432" s="333"/>
      <c r="Q432" s="333"/>
      <c r="R432" s="333"/>
      <c r="S432" s="333"/>
      <c r="T432" s="333"/>
      <c r="U432" s="333"/>
      <c r="V432" s="333"/>
      <c r="W432" s="333"/>
      <c r="X432" s="333"/>
      <c r="Y432" s="333"/>
      <c r="Z432" s="333"/>
    </row>
    <row r="433" spans="1:26" ht="15.6">
      <c r="A433" s="333"/>
      <c r="B433" s="348"/>
      <c r="C433" s="348"/>
      <c r="D433" s="348"/>
      <c r="E433" s="348"/>
      <c r="F433" s="348"/>
      <c r="G433" s="348"/>
      <c r="H433" s="348"/>
      <c r="I433" s="348"/>
      <c r="J433" s="348"/>
      <c r="K433" s="348"/>
      <c r="L433" s="333"/>
      <c r="M433" s="333"/>
      <c r="N433" s="333"/>
      <c r="O433" s="333"/>
      <c r="P433" s="333"/>
      <c r="Q433" s="333"/>
      <c r="R433" s="333"/>
      <c r="S433" s="333"/>
      <c r="T433" s="333"/>
      <c r="U433" s="333"/>
      <c r="V433" s="333"/>
      <c r="W433" s="333"/>
      <c r="X433" s="333"/>
      <c r="Y433" s="333"/>
      <c r="Z433" s="333"/>
    </row>
    <row r="434" spans="1:26" ht="15.6">
      <c r="A434" s="333"/>
      <c r="B434" s="348"/>
      <c r="C434" s="348"/>
      <c r="D434" s="348"/>
      <c r="E434" s="348"/>
      <c r="F434" s="348"/>
      <c r="G434" s="348"/>
      <c r="H434" s="348"/>
      <c r="I434" s="348"/>
      <c r="J434" s="348"/>
      <c r="K434" s="348"/>
      <c r="L434" s="333"/>
      <c r="M434" s="333"/>
      <c r="N434" s="333"/>
      <c r="O434" s="333"/>
      <c r="P434" s="333"/>
      <c r="Q434" s="333"/>
      <c r="R434" s="333"/>
      <c r="S434" s="333"/>
      <c r="T434" s="333"/>
      <c r="U434" s="333"/>
      <c r="V434" s="333"/>
      <c r="W434" s="333"/>
      <c r="X434" s="333"/>
      <c r="Y434" s="333"/>
      <c r="Z434" s="333"/>
    </row>
    <row r="435" spans="1:26" ht="15.6">
      <c r="A435" s="333"/>
      <c r="B435" s="348"/>
      <c r="C435" s="348"/>
      <c r="D435" s="348"/>
      <c r="E435" s="348"/>
      <c r="F435" s="348"/>
      <c r="G435" s="348"/>
      <c r="H435" s="348"/>
      <c r="I435" s="348"/>
      <c r="J435" s="348"/>
      <c r="K435" s="348"/>
      <c r="L435" s="333"/>
      <c r="M435" s="333"/>
      <c r="N435" s="333"/>
      <c r="O435" s="333"/>
      <c r="P435" s="333"/>
      <c r="Q435" s="333"/>
      <c r="R435" s="333"/>
      <c r="S435" s="333"/>
      <c r="T435" s="333"/>
      <c r="U435" s="333"/>
      <c r="V435" s="333"/>
      <c r="W435" s="333"/>
      <c r="X435" s="333"/>
      <c r="Y435" s="333"/>
      <c r="Z435" s="333"/>
    </row>
    <row r="436" spans="1:26" ht="15.6">
      <c r="A436" s="333"/>
      <c r="B436" s="348"/>
      <c r="C436" s="348"/>
      <c r="D436" s="348"/>
      <c r="E436" s="348"/>
      <c r="F436" s="348"/>
      <c r="G436" s="348"/>
      <c r="H436" s="348"/>
      <c r="I436" s="348"/>
      <c r="J436" s="348"/>
      <c r="K436" s="348"/>
      <c r="L436" s="333"/>
      <c r="M436" s="333"/>
      <c r="N436" s="333"/>
      <c r="O436" s="333"/>
      <c r="P436" s="333"/>
      <c r="Q436" s="333"/>
      <c r="R436" s="333"/>
      <c r="S436" s="333"/>
      <c r="T436" s="333"/>
      <c r="U436" s="333"/>
      <c r="V436" s="333"/>
      <c r="W436" s="333"/>
      <c r="X436" s="333"/>
      <c r="Y436" s="333"/>
      <c r="Z436" s="333"/>
    </row>
    <row r="437" spans="1:26" ht="15.6">
      <c r="A437" s="333"/>
      <c r="B437" s="348"/>
      <c r="C437" s="348"/>
      <c r="D437" s="348"/>
      <c r="E437" s="348"/>
      <c r="F437" s="348"/>
      <c r="G437" s="348"/>
      <c r="H437" s="348"/>
      <c r="I437" s="348"/>
      <c r="J437" s="348"/>
      <c r="K437" s="348"/>
      <c r="L437" s="333"/>
      <c r="M437" s="333"/>
      <c r="N437" s="333"/>
      <c r="O437" s="333"/>
      <c r="P437" s="333"/>
      <c r="Q437" s="333"/>
      <c r="R437" s="333"/>
      <c r="S437" s="333"/>
      <c r="T437" s="333"/>
      <c r="U437" s="333"/>
      <c r="V437" s="333"/>
      <c r="W437" s="333"/>
      <c r="X437" s="333"/>
      <c r="Y437" s="333"/>
      <c r="Z437" s="333"/>
    </row>
    <row r="438" spans="1:26" ht="15.6">
      <c r="A438" s="333"/>
      <c r="B438" s="348"/>
      <c r="C438" s="348"/>
      <c r="D438" s="348"/>
      <c r="E438" s="348"/>
      <c r="F438" s="348"/>
      <c r="G438" s="348"/>
      <c r="H438" s="348"/>
      <c r="I438" s="348"/>
      <c r="J438" s="348"/>
      <c r="K438" s="348"/>
      <c r="L438" s="333"/>
      <c r="M438" s="333"/>
      <c r="N438" s="333"/>
      <c r="O438" s="333"/>
      <c r="P438" s="333"/>
      <c r="Q438" s="333"/>
      <c r="R438" s="333"/>
      <c r="S438" s="333"/>
      <c r="T438" s="333"/>
      <c r="U438" s="333"/>
      <c r="V438" s="333"/>
      <c r="W438" s="333"/>
      <c r="X438" s="333"/>
      <c r="Y438" s="333"/>
      <c r="Z438" s="333"/>
    </row>
    <row r="439" spans="1:26" ht="15.6">
      <c r="A439" s="333"/>
      <c r="B439" s="348"/>
      <c r="C439" s="348"/>
      <c r="D439" s="348"/>
      <c r="E439" s="348"/>
      <c r="F439" s="348"/>
      <c r="G439" s="348"/>
      <c r="H439" s="348"/>
      <c r="I439" s="348"/>
      <c r="J439" s="348"/>
      <c r="K439" s="348"/>
      <c r="L439" s="333"/>
      <c r="M439" s="333"/>
      <c r="N439" s="333"/>
      <c r="O439" s="333"/>
      <c r="P439" s="333"/>
      <c r="Q439" s="333"/>
      <c r="R439" s="333"/>
      <c r="S439" s="333"/>
      <c r="T439" s="333"/>
      <c r="U439" s="333"/>
      <c r="V439" s="333"/>
      <c r="W439" s="333"/>
      <c r="X439" s="333"/>
      <c r="Y439" s="333"/>
      <c r="Z439" s="333"/>
    </row>
    <row r="440" spans="1:26" ht="15.6">
      <c r="A440" s="333"/>
      <c r="B440" s="348"/>
      <c r="C440" s="348"/>
      <c r="D440" s="348"/>
      <c r="E440" s="348"/>
      <c r="F440" s="348"/>
      <c r="G440" s="348"/>
      <c r="H440" s="348"/>
      <c r="I440" s="348"/>
      <c r="J440" s="348"/>
      <c r="K440" s="348"/>
      <c r="L440" s="333"/>
      <c r="M440" s="333"/>
      <c r="N440" s="333"/>
      <c r="O440" s="333"/>
      <c r="P440" s="333"/>
      <c r="Q440" s="333"/>
      <c r="R440" s="333"/>
      <c r="S440" s="333"/>
      <c r="T440" s="333"/>
      <c r="U440" s="333"/>
      <c r="V440" s="333"/>
      <c r="W440" s="333"/>
      <c r="X440" s="333"/>
      <c r="Y440" s="333"/>
      <c r="Z440" s="333"/>
    </row>
    <row r="441" spans="1:26" ht="15.6">
      <c r="A441" s="333"/>
      <c r="B441" s="348"/>
      <c r="C441" s="348"/>
      <c r="D441" s="348"/>
      <c r="E441" s="348"/>
      <c r="F441" s="348"/>
      <c r="G441" s="348"/>
      <c r="H441" s="348"/>
      <c r="I441" s="348"/>
      <c r="J441" s="348"/>
      <c r="K441" s="348"/>
      <c r="L441" s="333"/>
      <c r="M441" s="333"/>
      <c r="N441" s="333"/>
      <c r="O441" s="333"/>
      <c r="P441" s="333"/>
      <c r="Q441" s="333"/>
      <c r="R441" s="333"/>
      <c r="S441" s="333"/>
      <c r="T441" s="333"/>
      <c r="U441" s="333"/>
      <c r="V441" s="333"/>
      <c r="W441" s="333"/>
      <c r="X441" s="333"/>
      <c r="Y441" s="333"/>
      <c r="Z441" s="333"/>
    </row>
    <row r="442" spans="1:26" ht="15.6">
      <c r="A442" s="333"/>
      <c r="B442" s="348"/>
      <c r="C442" s="348"/>
      <c r="D442" s="348"/>
      <c r="E442" s="348"/>
      <c r="F442" s="348"/>
      <c r="G442" s="348"/>
      <c r="H442" s="348"/>
      <c r="I442" s="348"/>
      <c r="J442" s="348"/>
      <c r="K442" s="348"/>
      <c r="L442" s="333"/>
      <c r="M442" s="333"/>
      <c r="N442" s="333"/>
      <c r="O442" s="333"/>
      <c r="P442" s="333"/>
      <c r="Q442" s="333"/>
      <c r="R442" s="333"/>
      <c r="S442" s="333"/>
      <c r="T442" s="333"/>
      <c r="U442" s="333"/>
      <c r="V442" s="333"/>
      <c r="W442" s="333"/>
      <c r="X442" s="333"/>
      <c r="Y442" s="333"/>
      <c r="Z442" s="333"/>
    </row>
    <row r="443" spans="1:26" ht="15.6">
      <c r="A443" s="333"/>
      <c r="B443" s="348"/>
      <c r="C443" s="348"/>
      <c r="D443" s="348"/>
      <c r="E443" s="348"/>
      <c r="F443" s="348"/>
      <c r="G443" s="348"/>
      <c r="H443" s="348"/>
      <c r="I443" s="348"/>
      <c r="J443" s="348"/>
      <c r="K443" s="348"/>
      <c r="L443" s="333"/>
      <c r="M443" s="333"/>
      <c r="N443" s="333"/>
      <c r="O443" s="333"/>
      <c r="P443" s="333"/>
      <c r="Q443" s="333"/>
      <c r="R443" s="333"/>
      <c r="S443" s="333"/>
      <c r="T443" s="333"/>
      <c r="U443" s="333"/>
      <c r="V443" s="333"/>
      <c r="W443" s="333"/>
      <c r="X443" s="333"/>
      <c r="Y443" s="333"/>
      <c r="Z443" s="333"/>
    </row>
    <row r="444" spans="1:26" ht="15.6">
      <c r="A444" s="333"/>
      <c r="B444" s="348"/>
      <c r="C444" s="348"/>
      <c r="D444" s="348"/>
      <c r="E444" s="348"/>
      <c r="F444" s="348"/>
      <c r="G444" s="348"/>
      <c r="H444" s="348"/>
      <c r="I444" s="348"/>
      <c r="J444" s="348"/>
      <c r="K444" s="348"/>
      <c r="L444" s="333"/>
      <c r="M444" s="333"/>
      <c r="N444" s="333"/>
      <c r="O444" s="333"/>
      <c r="P444" s="333"/>
      <c r="Q444" s="333"/>
      <c r="R444" s="333"/>
      <c r="S444" s="333"/>
      <c r="T444" s="333"/>
      <c r="U444" s="333"/>
      <c r="V444" s="333"/>
      <c r="W444" s="333"/>
      <c r="X444" s="333"/>
      <c r="Y444" s="333"/>
      <c r="Z444" s="333"/>
    </row>
    <row r="445" spans="1:26" ht="15.6">
      <c r="A445" s="333"/>
      <c r="B445" s="348"/>
      <c r="C445" s="348"/>
      <c r="D445" s="348"/>
      <c r="E445" s="348"/>
      <c r="F445" s="348"/>
      <c r="G445" s="348"/>
      <c r="H445" s="348"/>
      <c r="I445" s="348"/>
      <c r="J445" s="348"/>
      <c r="K445" s="348"/>
      <c r="L445" s="333"/>
      <c r="M445" s="333"/>
      <c r="N445" s="333"/>
      <c r="O445" s="333"/>
      <c r="P445" s="333"/>
      <c r="Q445" s="333"/>
      <c r="R445" s="333"/>
      <c r="S445" s="333"/>
      <c r="T445" s="333"/>
      <c r="U445" s="333"/>
      <c r="V445" s="333"/>
      <c r="W445" s="333"/>
      <c r="X445" s="333"/>
      <c r="Y445" s="333"/>
      <c r="Z445" s="333"/>
    </row>
    <row r="446" spans="1:26" ht="15.6">
      <c r="A446" s="333"/>
      <c r="B446" s="348"/>
      <c r="C446" s="348"/>
      <c r="D446" s="348"/>
      <c r="E446" s="348"/>
      <c r="F446" s="348"/>
      <c r="G446" s="348"/>
      <c r="H446" s="348"/>
      <c r="I446" s="348"/>
      <c r="J446" s="348"/>
      <c r="K446" s="348"/>
      <c r="L446" s="333"/>
      <c r="M446" s="333"/>
      <c r="N446" s="333"/>
      <c r="O446" s="333"/>
      <c r="P446" s="333"/>
      <c r="Q446" s="333"/>
      <c r="R446" s="333"/>
      <c r="S446" s="333"/>
      <c r="T446" s="333"/>
      <c r="U446" s="333"/>
      <c r="V446" s="333"/>
      <c r="W446" s="333"/>
      <c r="X446" s="333"/>
      <c r="Y446" s="333"/>
      <c r="Z446" s="333"/>
    </row>
    <row r="447" spans="1:26" ht="15.6">
      <c r="A447" s="333"/>
      <c r="B447" s="348"/>
      <c r="C447" s="348"/>
      <c r="D447" s="348"/>
      <c r="E447" s="348"/>
      <c r="F447" s="348"/>
      <c r="G447" s="348"/>
      <c r="H447" s="348"/>
      <c r="I447" s="348"/>
      <c r="J447" s="348"/>
      <c r="K447" s="348"/>
      <c r="L447" s="333"/>
      <c r="M447" s="333"/>
      <c r="N447" s="333"/>
      <c r="O447" s="333"/>
      <c r="P447" s="333"/>
      <c r="Q447" s="333"/>
      <c r="R447" s="333"/>
      <c r="S447" s="333"/>
      <c r="T447" s="333"/>
      <c r="U447" s="333"/>
      <c r="V447" s="333"/>
      <c r="W447" s="333"/>
      <c r="X447" s="333"/>
      <c r="Y447" s="333"/>
      <c r="Z447" s="333"/>
    </row>
    <row r="448" spans="1:26" ht="15.6">
      <c r="A448" s="333"/>
      <c r="B448" s="348"/>
      <c r="C448" s="348"/>
      <c r="D448" s="348"/>
      <c r="E448" s="348"/>
      <c r="F448" s="348"/>
      <c r="G448" s="348"/>
      <c r="H448" s="348"/>
      <c r="I448" s="348"/>
      <c r="J448" s="348"/>
      <c r="K448" s="348"/>
      <c r="L448" s="333"/>
      <c r="M448" s="333"/>
      <c r="N448" s="333"/>
      <c r="O448" s="333"/>
      <c r="P448" s="333"/>
      <c r="Q448" s="333"/>
      <c r="R448" s="333"/>
      <c r="S448" s="333"/>
      <c r="T448" s="333"/>
      <c r="U448" s="333"/>
      <c r="V448" s="333"/>
      <c r="W448" s="333"/>
      <c r="X448" s="333"/>
      <c r="Y448" s="333"/>
      <c r="Z448" s="333"/>
    </row>
    <row r="449" spans="1:26" ht="15.6">
      <c r="A449" s="333"/>
      <c r="B449" s="348"/>
      <c r="C449" s="348"/>
      <c r="D449" s="348"/>
      <c r="E449" s="348"/>
      <c r="F449" s="348"/>
      <c r="G449" s="348"/>
      <c r="H449" s="348"/>
      <c r="I449" s="348"/>
      <c r="J449" s="348"/>
      <c r="K449" s="348"/>
      <c r="L449" s="333"/>
      <c r="M449" s="333"/>
      <c r="N449" s="333"/>
      <c r="O449" s="333"/>
      <c r="P449" s="333"/>
      <c r="Q449" s="333"/>
      <c r="R449" s="333"/>
      <c r="S449" s="333"/>
      <c r="T449" s="333"/>
      <c r="U449" s="333"/>
      <c r="V449" s="333"/>
      <c r="W449" s="333"/>
      <c r="X449" s="333"/>
      <c r="Y449" s="333"/>
      <c r="Z449" s="333"/>
    </row>
    <row r="450" spans="1:26" ht="15.6">
      <c r="A450" s="333"/>
      <c r="B450" s="348"/>
      <c r="C450" s="348"/>
      <c r="D450" s="348"/>
      <c r="E450" s="348"/>
      <c r="F450" s="348"/>
      <c r="G450" s="348"/>
      <c r="H450" s="348"/>
      <c r="I450" s="348"/>
      <c r="J450" s="348"/>
      <c r="K450" s="348"/>
      <c r="L450" s="333"/>
      <c r="M450" s="333"/>
      <c r="N450" s="333"/>
      <c r="O450" s="333"/>
      <c r="P450" s="333"/>
      <c r="Q450" s="333"/>
      <c r="R450" s="333"/>
      <c r="S450" s="333"/>
      <c r="T450" s="333"/>
      <c r="U450" s="333"/>
      <c r="V450" s="333"/>
      <c r="W450" s="333"/>
      <c r="X450" s="333"/>
      <c r="Y450" s="333"/>
      <c r="Z450" s="333"/>
    </row>
    <row r="451" spans="1:26" ht="15.6">
      <c r="A451" s="333"/>
      <c r="B451" s="348"/>
      <c r="C451" s="348"/>
      <c r="D451" s="348"/>
      <c r="E451" s="348"/>
      <c r="F451" s="348"/>
      <c r="G451" s="348"/>
      <c r="H451" s="348"/>
      <c r="I451" s="348"/>
      <c r="J451" s="348"/>
      <c r="K451" s="348"/>
      <c r="L451" s="333"/>
      <c r="M451" s="333"/>
      <c r="N451" s="333"/>
      <c r="O451" s="333"/>
      <c r="P451" s="333"/>
      <c r="Q451" s="333"/>
      <c r="R451" s="333"/>
      <c r="S451" s="333"/>
      <c r="T451" s="333"/>
      <c r="U451" s="333"/>
      <c r="V451" s="333"/>
      <c r="W451" s="333"/>
      <c r="X451" s="333"/>
      <c r="Y451" s="333"/>
      <c r="Z451" s="333"/>
    </row>
    <row r="452" spans="1:26" ht="15.6">
      <c r="A452" s="333"/>
      <c r="B452" s="348"/>
      <c r="C452" s="348"/>
      <c r="D452" s="348"/>
      <c r="E452" s="348"/>
      <c r="F452" s="348"/>
      <c r="G452" s="348"/>
      <c r="H452" s="348"/>
      <c r="I452" s="348"/>
      <c r="J452" s="348"/>
      <c r="K452" s="348"/>
      <c r="L452" s="333"/>
      <c r="M452" s="333"/>
      <c r="N452" s="333"/>
      <c r="O452" s="333"/>
      <c r="P452" s="333"/>
      <c r="Q452" s="333"/>
      <c r="R452" s="333"/>
      <c r="S452" s="333"/>
      <c r="T452" s="333"/>
      <c r="U452" s="333"/>
      <c r="V452" s="333"/>
      <c r="W452" s="333"/>
      <c r="X452" s="333"/>
      <c r="Y452" s="333"/>
      <c r="Z452" s="333"/>
    </row>
    <row r="453" spans="1:26" ht="15.6">
      <c r="A453" s="333"/>
      <c r="B453" s="348"/>
      <c r="C453" s="348"/>
      <c r="D453" s="348"/>
      <c r="E453" s="348"/>
      <c r="F453" s="348"/>
      <c r="G453" s="348"/>
      <c r="H453" s="348"/>
      <c r="I453" s="348"/>
      <c r="J453" s="348"/>
      <c r="K453" s="348"/>
      <c r="L453" s="333"/>
      <c r="M453" s="333"/>
      <c r="N453" s="333"/>
      <c r="O453" s="333"/>
      <c r="P453" s="333"/>
      <c r="Q453" s="333"/>
      <c r="R453" s="333"/>
      <c r="S453" s="333"/>
      <c r="T453" s="333"/>
      <c r="U453" s="333"/>
      <c r="V453" s="333"/>
      <c r="W453" s="333"/>
      <c r="X453" s="333"/>
      <c r="Y453" s="333"/>
      <c r="Z453" s="333"/>
    </row>
    <row r="454" spans="1:26" ht="15.6">
      <c r="A454" s="333"/>
      <c r="B454" s="348"/>
      <c r="C454" s="348"/>
      <c r="D454" s="348"/>
      <c r="E454" s="348"/>
      <c r="F454" s="348"/>
      <c r="G454" s="348"/>
      <c r="H454" s="348"/>
      <c r="I454" s="348"/>
      <c r="J454" s="348"/>
      <c r="K454" s="348"/>
      <c r="L454" s="333"/>
      <c r="M454" s="333"/>
      <c r="N454" s="333"/>
      <c r="O454" s="333"/>
      <c r="P454" s="333"/>
      <c r="Q454" s="333"/>
      <c r="R454" s="333"/>
      <c r="S454" s="333"/>
      <c r="T454" s="333"/>
      <c r="U454" s="333"/>
      <c r="V454" s="333"/>
      <c r="W454" s="333"/>
      <c r="X454" s="333"/>
      <c r="Y454" s="333"/>
      <c r="Z454" s="333"/>
    </row>
    <row r="455" spans="1:26" ht="15.6">
      <c r="A455" s="333"/>
      <c r="B455" s="348"/>
      <c r="C455" s="348"/>
      <c r="D455" s="348"/>
      <c r="E455" s="348"/>
      <c r="F455" s="348"/>
      <c r="G455" s="348"/>
      <c r="H455" s="348"/>
      <c r="I455" s="348"/>
      <c r="J455" s="348"/>
      <c r="K455" s="348"/>
      <c r="L455" s="333"/>
      <c r="M455" s="333"/>
      <c r="N455" s="333"/>
      <c r="O455" s="333"/>
      <c r="P455" s="333"/>
      <c r="Q455" s="333"/>
      <c r="R455" s="333"/>
      <c r="S455" s="333"/>
      <c r="T455" s="333"/>
      <c r="U455" s="333"/>
      <c r="V455" s="333"/>
      <c r="W455" s="333"/>
      <c r="X455" s="333"/>
      <c r="Y455" s="333"/>
      <c r="Z455" s="333"/>
    </row>
    <row r="456" spans="1:26" ht="15.6">
      <c r="A456" s="333"/>
      <c r="B456" s="348"/>
      <c r="C456" s="348"/>
      <c r="D456" s="348"/>
      <c r="E456" s="348"/>
      <c r="F456" s="348"/>
      <c r="G456" s="348"/>
      <c r="H456" s="348"/>
      <c r="I456" s="348"/>
      <c r="J456" s="348"/>
      <c r="K456" s="348"/>
      <c r="L456" s="333"/>
      <c r="M456" s="333"/>
      <c r="N456" s="333"/>
      <c r="O456" s="333"/>
      <c r="P456" s="333"/>
      <c r="Q456" s="333"/>
      <c r="R456" s="333"/>
      <c r="S456" s="333"/>
      <c r="T456" s="333"/>
      <c r="U456" s="333"/>
      <c r="V456" s="333"/>
      <c r="W456" s="333"/>
      <c r="X456" s="333"/>
      <c r="Y456" s="333"/>
      <c r="Z456" s="333"/>
    </row>
    <row r="457" spans="1:26" ht="15.6">
      <c r="A457" s="333"/>
      <c r="B457" s="348"/>
      <c r="C457" s="348"/>
      <c r="D457" s="348"/>
      <c r="E457" s="348"/>
      <c r="F457" s="348"/>
      <c r="G457" s="348"/>
      <c r="H457" s="348"/>
      <c r="I457" s="348"/>
      <c r="J457" s="348"/>
      <c r="K457" s="348"/>
      <c r="L457" s="333"/>
      <c r="M457" s="333"/>
      <c r="N457" s="333"/>
      <c r="O457" s="333"/>
      <c r="P457" s="333"/>
      <c r="Q457" s="333"/>
      <c r="R457" s="333"/>
      <c r="S457" s="333"/>
      <c r="T457" s="333"/>
      <c r="U457" s="333"/>
      <c r="V457" s="333"/>
      <c r="W457" s="333"/>
      <c r="X457" s="333"/>
      <c r="Y457" s="333"/>
      <c r="Z457" s="333"/>
    </row>
    <row r="458" spans="1:26" ht="15.6">
      <c r="A458" s="333"/>
      <c r="B458" s="348"/>
      <c r="C458" s="348"/>
      <c r="D458" s="348"/>
      <c r="E458" s="348"/>
      <c r="F458" s="348"/>
      <c r="G458" s="348"/>
      <c r="H458" s="348"/>
      <c r="I458" s="348"/>
      <c r="J458" s="348"/>
      <c r="K458" s="348"/>
      <c r="L458" s="333"/>
      <c r="M458" s="333"/>
      <c r="N458" s="333"/>
      <c r="O458" s="333"/>
      <c r="P458" s="333"/>
      <c r="Q458" s="333"/>
      <c r="R458" s="333"/>
      <c r="S458" s="333"/>
      <c r="T458" s="333"/>
      <c r="U458" s="333"/>
      <c r="V458" s="333"/>
      <c r="W458" s="333"/>
      <c r="X458" s="333"/>
      <c r="Y458" s="333"/>
      <c r="Z458" s="333"/>
    </row>
    <row r="459" spans="1:26" ht="15.6">
      <c r="A459" s="333"/>
      <c r="B459" s="348"/>
      <c r="C459" s="348"/>
      <c r="D459" s="348"/>
      <c r="E459" s="348"/>
      <c r="F459" s="348"/>
      <c r="G459" s="348"/>
      <c r="H459" s="348"/>
      <c r="I459" s="348"/>
      <c r="J459" s="348"/>
      <c r="K459" s="348"/>
      <c r="L459" s="333"/>
      <c r="M459" s="333"/>
      <c r="N459" s="333"/>
      <c r="O459" s="333"/>
      <c r="P459" s="333"/>
      <c r="Q459" s="333"/>
      <c r="R459" s="333"/>
      <c r="S459" s="333"/>
      <c r="T459" s="333"/>
      <c r="U459" s="333"/>
      <c r="V459" s="333"/>
      <c r="W459" s="333"/>
      <c r="X459" s="333"/>
      <c r="Y459" s="333"/>
      <c r="Z459" s="333"/>
    </row>
    <row r="460" spans="1:26" ht="15.6">
      <c r="A460" s="333"/>
      <c r="B460" s="348"/>
      <c r="C460" s="348"/>
      <c r="D460" s="348"/>
      <c r="E460" s="348"/>
      <c r="F460" s="348"/>
      <c r="G460" s="348"/>
      <c r="H460" s="348"/>
      <c r="I460" s="348"/>
      <c r="J460" s="348"/>
      <c r="K460" s="348"/>
      <c r="L460" s="333"/>
      <c r="M460" s="333"/>
      <c r="N460" s="333"/>
      <c r="O460" s="333"/>
      <c r="P460" s="333"/>
      <c r="Q460" s="333"/>
      <c r="R460" s="333"/>
      <c r="S460" s="333"/>
      <c r="T460" s="333"/>
      <c r="U460" s="333"/>
      <c r="V460" s="333"/>
      <c r="W460" s="333"/>
      <c r="X460" s="333"/>
      <c r="Y460" s="333"/>
      <c r="Z460" s="333"/>
    </row>
    <row r="461" spans="1:26" ht="15.6">
      <c r="A461" s="333"/>
      <c r="B461" s="348"/>
      <c r="C461" s="348"/>
      <c r="D461" s="348"/>
      <c r="E461" s="348"/>
      <c r="F461" s="348"/>
      <c r="G461" s="348"/>
      <c r="H461" s="348"/>
      <c r="I461" s="348"/>
      <c r="J461" s="348"/>
      <c r="K461" s="348"/>
      <c r="L461" s="333"/>
      <c r="M461" s="333"/>
      <c r="N461" s="333"/>
      <c r="O461" s="333"/>
      <c r="P461" s="333"/>
      <c r="Q461" s="333"/>
      <c r="R461" s="333"/>
      <c r="S461" s="333"/>
      <c r="T461" s="333"/>
      <c r="U461" s="333"/>
      <c r="V461" s="333"/>
      <c r="W461" s="333"/>
      <c r="X461" s="333"/>
      <c r="Y461" s="333"/>
      <c r="Z461" s="333"/>
    </row>
    <row r="462" spans="1:26" ht="15.6">
      <c r="A462" s="333"/>
      <c r="B462" s="348"/>
      <c r="C462" s="348"/>
      <c r="D462" s="348"/>
      <c r="E462" s="348"/>
      <c r="F462" s="348"/>
      <c r="G462" s="348"/>
      <c r="H462" s="348"/>
      <c r="I462" s="348"/>
      <c r="J462" s="348"/>
      <c r="K462" s="348"/>
      <c r="L462" s="333"/>
      <c r="M462" s="333"/>
      <c r="N462" s="333"/>
      <c r="O462" s="333"/>
      <c r="P462" s="333"/>
      <c r="Q462" s="333"/>
      <c r="R462" s="333"/>
      <c r="S462" s="333"/>
      <c r="T462" s="333"/>
      <c r="U462" s="333"/>
      <c r="V462" s="333"/>
      <c r="W462" s="333"/>
      <c r="X462" s="333"/>
      <c r="Y462" s="333"/>
      <c r="Z462" s="333"/>
    </row>
    <row r="463" spans="1:26" ht="15.6">
      <c r="A463" s="333"/>
      <c r="B463" s="348"/>
      <c r="C463" s="348"/>
      <c r="D463" s="348"/>
      <c r="E463" s="348"/>
      <c r="F463" s="348"/>
      <c r="G463" s="348"/>
      <c r="H463" s="348"/>
      <c r="I463" s="348"/>
      <c r="J463" s="348"/>
      <c r="K463" s="348"/>
      <c r="L463" s="333"/>
      <c r="M463" s="333"/>
      <c r="N463" s="333"/>
      <c r="O463" s="333"/>
      <c r="P463" s="333"/>
      <c r="Q463" s="333"/>
      <c r="R463" s="333"/>
      <c r="S463" s="333"/>
      <c r="T463" s="333"/>
      <c r="U463" s="333"/>
      <c r="V463" s="333"/>
      <c r="W463" s="333"/>
      <c r="X463" s="333"/>
      <c r="Y463" s="333"/>
      <c r="Z463" s="333"/>
    </row>
    <row r="464" spans="1:26" ht="15.6">
      <c r="A464" s="333"/>
      <c r="B464" s="348"/>
      <c r="C464" s="348"/>
      <c r="D464" s="348"/>
      <c r="E464" s="348"/>
      <c r="F464" s="348"/>
      <c r="G464" s="348"/>
      <c r="H464" s="348"/>
      <c r="I464" s="348"/>
      <c r="J464" s="348"/>
      <c r="K464" s="348"/>
      <c r="L464" s="333"/>
      <c r="M464" s="333"/>
      <c r="N464" s="333"/>
      <c r="O464" s="333"/>
      <c r="P464" s="333"/>
      <c r="Q464" s="333"/>
      <c r="R464" s="333"/>
      <c r="S464" s="333"/>
      <c r="T464" s="333"/>
      <c r="U464" s="333"/>
      <c r="V464" s="333"/>
      <c r="W464" s="333"/>
      <c r="X464" s="333"/>
      <c r="Y464" s="333"/>
      <c r="Z464" s="333"/>
    </row>
    <row r="465" spans="1:26" ht="15.6">
      <c r="A465" s="333"/>
      <c r="B465" s="348"/>
      <c r="C465" s="348"/>
      <c r="D465" s="348"/>
      <c r="E465" s="348"/>
      <c r="F465" s="348"/>
      <c r="G465" s="348"/>
      <c r="H465" s="348"/>
      <c r="I465" s="348"/>
      <c r="J465" s="348"/>
      <c r="K465" s="348"/>
      <c r="L465" s="333"/>
      <c r="M465" s="333"/>
      <c r="N465" s="333"/>
      <c r="O465" s="333"/>
      <c r="P465" s="333"/>
      <c r="Q465" s="333"/>
      <c r="R465" s="333"/>
      <c r="S465" s="333"/>
      <c r="T465" s="333"/>
      <c r="U465" s="333"/>
      <c r="V465" s="333"/>
      <c r="W465" s="333"/>
      <c r="X465" s="333"/>
      <c r="Y465" s="333"/>
      <c r="Z465" s="333"/>
    </row>
    <row r="466" spans="1:26" ht="15.6">
      <c r="A466" s="333"/>
      <c r="B466" s="348"/>
      <c r="C466" s="348"/>
      <c r="D466" s="348"/>
      <c r="E466" s="348"/>
      <c r="F466" s="348"/>
      <c r="G466" s="348"/>
      <c r="H466" s="348"/>
      <c r="I466" s="348"/>
      <c r="J466" s="348"/>
      <c r="K466" s="348"/>
      <c r="L466" s="333"/>
      <c r="M466" s="333"/>
      <c r="N466" s="333"/>
      <c r="O466" s="333"/>
      <c r="P466" s="333"/>
      <c r="Q466" s="333"/>
      <c r="R466" s="333"/>
      <c r="S466" s="333"/>
      <c r="T466" s="333"/>
      <c r="U466" s="333"/>
      <c r="V466" s="333"/>
      <c r="W466" s="333"/>
      <c r="X466" s="333"/>
      <c r="Y466" s="333"/>
      <c r="Z466" s="333"/>
    </row>
    <row r="467" spans="1:26" ht="15.6">
      <c r="A467" s="333"/>
      <c r="B467" s="348"/>
      <c r="C467" s="348"/>
      <c r="D467" s="348"/>
      <c r="E467" s="348"/>
      <c r="F467" s="348"/>
      <c r="G467" s="348"/>
      <c r="H467" s="348"/>
      <c r="I467" s="348"/>
      <c r="J467" s="348"/>
      <c r="K467" s="348"/>
      <c r="L467" s="333"/>
      <c r="M467" s="333"/>
      <c r="N467" s="333"/>
      <c r="O467" s="333"/>
      <c r="P467" s="333"/>
      <c r="Q467" s="333"/>
      <c r="R467" s="333"/>
      <c r="S467" s="333"/>
      <c r="T467" s="333"/>
      <c r="U467" s="333"/>
      <c r="V467" s="333"/>
      <c r="W467" s="333"/>
      <c r="X467" s="333"/>
      <c r="Y467" s="333"/>
      <c r="Z467" s="333"/>
    </row>
    <row r="468" spans="1:26" ht="15.6">
      <c r="A468" s="333"/>
      <c r="B468" s="348"/>
      <c r="C468" s="348"/>
      <c r="D468" s="348"/>
      <c r="E468" s="348"/>
      <c r="F468" s="348"/>
      <c r="G468" s="348"/>
      <c r="H468" s="348"/>
      <c r="I468" s="348"/>
      <c r="J468" s="348"/>
      <c r="K468" s="348"/>
      <c r="L468" s="333"/>
      <c r="M468" s="333"/>
      <c r="N468" s="333"/>
      <c r="O468" s="333"/>
      <c r="P468" s="333"/>
      <c r="Q468" s="333"/>
      <c r="R468" s="333"/>
      <c r="S468" s="333"/>
      <c r="T468" s="333"/>
      <c r="U468" s="333"/>
      <c r="V468" s="333"/>
      <c r="W468" s="333"/>
      <c r="X468" s="333"/>
      <c r="Y468" s="333"/>
      <c r="Z468" s="333"/>
    </row>
    <row r="469" spans="1:26" ht="15.6">
      <c r="A469" s="333"/>
      <c r="B469" s="348"/>
      <c r="C469" s="348"/>
      <c r="D469" s="348"/>
      <c r="E469" s="348"/>
      <c r="F469" s="348"/>
      <c r="G469" s="348"/>
      <c r="H469" s="348"/>
      <c r="I469" s="348"/>
      <c r="J469" s="348"/>
      <c r="K469" s="348"/>
      <c r="L469" s="333"/>
      <c r="M469" s="333"/>
      <c r="N469" s="333"/>
      <c r="O469" s="333"/>
      <c r="P469" s="333"/>
      <c r="Q469" s="333"/>
      <c r="R469" s="333"/>
      <c r="S469" s="333"/>
      <c r="T469" s="333"/>
      <c r="U469" s="333"/>
      <c r="V469" s="333"/>
      <c r="W469" s="333"/>
      <c r="X469" s="333"/>
      <c r="Y469" s="333"/>
      <c r="Z469" s="333"/>
    </row>
    <row r="470" spans="1:26" ht="15.6">
      <c r="A470" s="333"/>
      <c r="B470" s="348"/>
      <c r="C470" s="348"/>
      <c r="D470" s="348"/>
      <c r="E470" s="348"/>
      <c r="F470" s="348"/>
      <c r="G470" s="348"/>
      <c r="H470" s="348"/>
      <c r="I470" s="348"/>
      <c r="J470" s="348"/>
      <c r="K470" s="348"/>
      <c r="L470" s="333"/>
      <c r="M470" s="333"/>
      <c r="N470" s="333"/>
      <c r="O470" s="333"/>
      <c r="P470" s="333"/>
      <c r="Q470" s="333"/>
      <c r="R470" s="333"/>
      <c r="S470" s="333"/>
      <c r="T470" s="333"/>
      <c r="U470" s="333"/>
      <c r="V470" s="333"/>
      <c r="W470" s="333"/>
      <c r="X470" s="333"/>
      <c r="Y470" s="333"/>
      <c r="Z470" s="333"/>
    </row>
    <row r="471" spans="1:26" ht="15.6">
      <c r="A471" s="333"/>
      <c r="B471" s="348"/>
      <c r="C471" s="348"/>
      <c r="D471" s="348"/>
      <c r="E471" s="348"/>
      <c r="F471" s="348"/>
      <c r="G471" s="348"/>
      <c r="H471" s="348"/>
      <c r="I471" s="348"/>
      <c r="J471" s="348"/>
      <c r="K471" s="348"/>
      <c r="L471" s="333"/>
      <c r="M471" s="333"/>
      <c r="N471" s="333"/>
      <c r="O471" s="333"/>
      <c r="P471" s="333"/>
      <c r="Q471" s="333"/>
      <c r="R471" s="333"/>
      <c r="S471" s="333"/>
      <c r="T471" s="333"/>
      <c r="U471" s="333"/>
      <c r="V471" s="333"/>
      <c r="W471" s="333"/>
      <c r="X471" s="333"/>
      <c r="Y471" s="333"/>
      <c r="Z471" s="333"/>
    </row>
    <row r="472" spans="1:26" ht="15.6">
      <c r="A472" s="333"/>
      <c r="B472" s="348"/>
      <c r="C472" s="348"/>
      <c r="D472" s="348"/>
      <c r="E472" s="348"/>
      <c r="F472" s="348"/>
      <c r="G472" s="348"/>
      <c r="H472" s="348"/>
      <c r="I472" s="348"/>
      <c r="J472" s="348"/>
      <c r="K472" s="348"/>
      <c r="L472" s="333"/>
      <c r="M472" s="333"/>
      <c r="N472" s="333"/>
      <c r="O472" s="333"/>
      <c r="P472" s="333"/>
      <c r="Q472" s="333"/>
      <c r="R472" s="333"/>
      <c r="S472" s="333"/>
      <c r="T472" s="333"/>
      <c r="U472" s="333"/>
      <c r="V472" s="333"/>
      <c r="W472" s="333"/>
      <c r="X472" s="333"/>
      <c r="Y472" s="333"/>
      <c r="Z472" s="333"/>
    </row>
    <row r="473" spans="1:26" ht="15.6">
      <c r="A473" s="333"/>
      <c r="B473" s="348"/>
      <c r="C473" s="348"/>
      <c r="D473" s="348"/>
      <c r="E473" s="348"/>
      <c r="F473" s="348"/>
      <c r="G473" s="348"/>
      <c r="H473" s="348"/>
      <c r="I473" s="348"/>
      <c r="J473" s="348"/>
      <c r="K473" s="348"/>
      <c r="L473" s="333"/>
      <c r="M473" s="333"/>
      <c r="N473" s="333"/>
      <c r="O473" s="333"/>
      <c r="P473" s="333"/>
      <c r="Q473" s="333"/>
      <c r="R473" s="333"/>
      <c r="S473" s="333"/>
      <c r="T473" s="333"/>
      <c r="U473" s="333"/>
      <c r="V473" s="333"/>
      <c r="W473" s="333"/>
      <c r="X473" s="333"/>
      <c r="Y473" s="333"/>
      <c r="Z473" s="333"/>
    </row>
    <row r="474" spans="1:26" ht="15.6">
      <c r="A474" s="333"/>
      <c r="B474" s="348"/>
      <c r="C474" s="348"/>
      <c r="D474" s="348"/>
      <c r="E474" s="348"/>
      <c r="F474" s="348"/>
      <c r="G474" s="348"/>
      <c r="H474" s="348"/>
      <c r="I474" s="348"/>
      <c r="J474" s="348"/>
      <c r="K474" s="348"/>
      <c r="L474" s="333"/>
      <c r="M474" s="333"/>
      <c r="N474" s="333"/>
      <c r="O474" s="333"/>
      <c r="P474" s="333"/>
      <c r="Q474" s="333"/>
      <c r="R474" s="333"/>
      <c r="S474" s="333"/>
      <c r="T474" s="333"/>
      <c r="U474" s="333"/>
      <c r="V474" s="333"/>
      <c r="W474" s="333"/>
      <c r="X474" s="333"/>
      <c r="Y474" s="333"/>
      <c r="Z474" s="333"/>
    </row>
    <row r="475" spans="1:26" ht="15.6">
      <c r="A475" s="333"/>
      <c r="B475" s="348"/>
      <c r="C475" s="348"/>
      <c r="D475" s="348"/>
      <c r="E475" s="348"/>
      <c r="F475" s="348"/>
      <c r="G475" s="348"/>
      <c r="H475" s="348"/>
      <c r="I475" s="348"/>
      <c r="J475" s="348"/>
      <c r="K475" s="348"/>
      <c r="L475" s="333"/>
      <c r="M475" s="333"/>
      <c r="N475" s="333"/>
      <c r="O475" s="333"/>
      <c r="P475" s="333"/>
      <c r="Q475" s="333"/>
      <c r="R475" s="333"/>
      <c r="S475" s="333"/>
      <c r="T475" s="333"/>
      <c r="U475" s="333"/>
      <c r="V475" s="333"/>
      <c r="W475" s="333"/>
      <c r="X475" s="333"/>
      <c r="Y475" s="333"/>
      <c r="Z475" s="333"/>
    </row>
    <row r="476" spans="1:26" ht="15.6">
      <c r="A476" s="333"/>
      <c r="B476" s="348"/>
      <c r="C476" s="348"/>
      <c r="D476" s="348"/>
      <c r="E476" s="348"/>
      <c r="F476" s="348"/>
      <c r="G476" s="348"/>
      <c r="H476" s="348"/>
      <c r="I476" s="348"/>
      <c r="J476" s="348"/>
      <c r="K476" s="348"/>
      <c r="L476" s="333"/>
      <c r="M476" s="333"/>
      <c r="N476" s="333"/>
      <c r="O476" s="333"/>
      <c r="P476" s="333"/>
      <c r="Q476" s="333"/>
      <c r="R476" s="333"/>
      <c r="S476" s="333"/>
      <c r="T476" s="333"/>
      <c r="U476" s="333"/>
      <c r="V476" s="333"/>
      <c r="W476" s="333"/>
      <c r="X476" s="333"/>
      <c r="Y476" s="333"/>
      <c r="Z476" s="333"/>
    </row>
    <row r="477" spans="1:26" ht="15.6">
      <c r="A477" s="333"/>
      <c r="B477" s="348"/>
      <c r="C477" s="348"/>
      <c r="D477" s="348"/>
      <c r="E477" s="348"/>
      <c r="F477" s="348"/>
      <c r="G477" s="348"/>
      <c r="H477" s="348"/>
      <c r="I477" s="348"/>
      <c r="J477" s="348"/>
      <c r="K477" s="348"/>
      <c r="L477" s="333"/>
      <c r="M477" s="333"/>
      <c r="N477" s="333"/>
      <c r="O477" s="333"/>
      <c r="P477" s="333"/>
      <c r="Q477" s="333"/>
      <c r="R477" s="333"/>
      <c r="S477" s="333"/>
      <c r="T477" s="333"/>
      <c r="U477" s="333"/>
      <c r="V477" s="333"/>
      <c r="W477" s="333"/>
      <c r="X477" s="333"/>
      <c r="Y477" s="333"/>
      <c r="Z477" s="333"/>
    </row>
    <row r="478" spans="1:26" ht="15.6">
      <c r="A478" s="333"/>
      <c r="B478" s="348"/>
      <c r="C478" s="348"/>
      <c r="D478" s="348"/>
      <c r="E478" s="348"/>
      <c r="F478" s="348"/>
      <c r="G478" s="348"/>
      <c r="H478" s="348"/>
      <c r="I478" s="348"/>
      <c r="J478" s="348"/>
      <c r="K478" s="348"/>
      <c r="L478" s="333"/>
      <c r="M478" s="333"/>
      <c r="N478" s="333"/>
      <c r="O478" s="333"/>
      <c r="P478" s="333"/>
      <c r="Q478" s="333"/>
      <c r="R478" s="333"/>
      <c r="S478" s="333"/>
      <c r="T478" s="333"/>
      <c r="U478" s="333"/>
      <c r="V478" s="333"/>
      <c r="W478" s="333"/>
      <c r="X478" s="333"/>
      <c r="Y478" s="333"/>
      <c r="Z478" s="333"/>
    </row>
    <row r="479" spans="1:26" ht="15.6">
      <c r="A479" s="333"/>
      <c r="B479" s="348"/>
      <c r="C479" s="348"/>
      <c r="D479" s="348"/>
      <c r="E479" s="348"/>
      <c r="F479" s="348"/>
      <c r="G479" s="348"/>
      <c r="H479" s="348"/>
      <c r="I479" s="348"/>
      <c r="J479" s="348"/>
      <c r="K479" s="348"/>
      <c r="L479" s="333"/>
      <c r="M479" s="333"/>
      <c r="N479" s="333"/>
      <c r="O479" s="333"/>
      <c r="P479" s="333"/>
      <c r="Q479" s="333"/>
      <c r="R479" s="333"/>
      <c r="S479" s="333"/>
      <c r="T479" s="333"/>
      <c r="U479" s="333"/>
      <c r="V479" s="333"/>
      <c r="W479" s="333"/>
      <c r="X479" s="333"/>
      <c r="Y479" s="333"/>
      <c r="Z479" s="333"/>
    </row>
    <row r="480" spans="1:26" ht="15.6">
      <c r="A480" s="333"/>
      <c r="B480" s="348"/>
      <c r="C480" s="348"/>
      <c r="D480" s="348"/>
      <c r="E480" s="348"/>
      <c r="F480" s="348"/>
      <c r="G480" s="348"/>
      <c r="H480" s="348"/>
      <c r="I480" s="348"/>
      <c r="J480" s="348"/>
      <c r="K480" s="348"/>
      <c r="L480" s="333"/>
      <c r="M480" s="333"/>
      <c r="N480" s="333"/>
      <c r="O480" s="333"/>
      <c r="P480" s="333"/>
      <c r="Q480" s="333"/>
      <c r="R480" s="333"/>
      <c r="S480" s="333"/>
      <c r="T480" s="333"/>
      <c r="U480" s="333"/>
      <c r="V480" s="333"/>
      <c r="W480" s="333"/>
      <c r="X480" s="333"/>
      <c r="Y480" s="333"/>
      <c r="Z480" s="333"/>
    </row>
    <row r="481" spans="1:26" ht="15.6">
      <c r="A481" s="333"/>
      <c r="B481" s="348"/>
      <c r="C481" s="348"/>
      <c r="D481" s="348"/>
      <c r="E481" s="348"/>
      <c r="F481" s="348"/>
      <c r="G481" s="348"/>
      <c r="H481" s="348"/>
      <c r="I481" s="348"/>
      <c r="J481" s="348"/>
      <c r="K481" s="348"/>
      <c r="L481" s="333"/>
      <c r="M481" s="333"/>
      <c r="N481" s="333"/>
      <c r="O481" s="333"/>
      <c r="P481" s="333"/>
      <c r="Q481" s="333"/>
      <c r="R481" s="333"/>
      <c r="S481" s="333"/>
      <c r="T481" s="333"/>
      <c r="U481" s="333"/>
      <c r="V481" s="333"/>
      <c r="W481" s="333"/>
      <c r="X481" s="333"/>
      <c r="Y481" s="333"/>
      <c r="Z481" s="333"/>
    </row>
    <row r="482" spans="1:26" ht="15.6">
      <c r="A482" s="333"/>
      <c r="B482" s="348"/>
      <c r="C482" s="348"/>
      <c r="D482" s="348"/>
      <c r="E482" s="348"/>
      <c r="F482" s="348"/>
      <c r="G482" s="348"/>
      <c r="H482" s="348"/>
      <c r="I482" s="348"/>
      <c r="J482" s="348"/>
      <c r="K482" s="348"/>
      <c r="L482" s="333"/>
      <c r="M482" s="333"/>
      <c r="N482" s="333"/>
      <c r="O482" s="333"/>
      <c r="P482" s="333"/>
      <c r="Q482" s="333"/>
      <c r="R482" s="333"/>
      <c r="S482" s="333"/>
      <c r="T482" s="333"/>
      <c r="U482" s="333"/>
      <c r="V482" s="333"/>
      <c r="W482" s="333"/>
      <c r="X482" s="333"/>
      <c r="Y482" s="333"/>
      <c r="Z482" s="333"/>
    </row>
    <row r="483" spans="1:26" ht="15.6">
      <c r="A483" s="333"/>
      <c r="B483" s="348"/>
      <c r="C483" s="348"/>
      <c r="D483" s="348"/>
      <c r="E483" s="348"/>
      <c r="F483" s="348"/>
      <c r="G483" s="348"/>
      <c r="H483" s="348"/>
      <c r="I483" s="348"/>
      <c r="J483" s="348"/>
      <c r="K483" s="348"/>
      <c r="L483" s="333"/>
      <c r="M483" s="333"/>
      <c r="N483" s="333"/>
      <c r="O483" s="333"/>
      <c r="P483" s="333"/>
      <c r="Q483" s="333"/>
      <c r="R483" s="333"/>
      <c r="S483" s="333"/>
      <c r="T483" s="333"/>
      <c r="U483" s="333"/>
      <c r="V483" s="333"/>
      <c r="W483" s="333"/>
      <c r="X483" s="333"/>
      <c r="Y483" s="333"/>
      <c r="Z483" s="333"/>
    </row>
    <row r="484" spans="1:26" ht="15.6">
      <c r="A484" s="333"/>
      <c r="B484" s="348"/>
      <c r="C484" s="348"/>
      <c r="D484" s="348"/>
      <c r="E484" s="348"/>
      <c r="F484" s="348"/>
      <c r="G484" s="348"/>
      <c r="H484" s="348"/>
      <c r="I484" s="348"/>
      <c r="J484" s="348"/>
      <c r="K484" s="348"/>
      <c r="L484" s="333"/>
      <c r="M484" s="333"/>
      <c r="N484" s="333"/>
      <c r="O484" s="333"/>
      <c r="P484" s="333"/>
      <c r="Q484" s="333"/>
      <c r="R484" s="333"/>
      <c r="S484" s="333"/>
      <c r="T484" s="333"/>
      <c r="U484" s="333"/>
      <c r="V484" s="333"/>
      <c r="W484" s="333"/>
      <c r="X484" s="333"/>
      <c r="Y484" s="333"/>
      <c r="Z484" s="333"/>
    </row>
    <row r="485" spans="1:26" ht="15.6">
      <c r="A485" s="333"/>
      <c r="B485" s="348"/>
      <c r="C485" s="348"/>
      <c r="D485" s="348"/>
      <c r="E485" s="348"/>
      <c r="F485" s="348"/>
      <c r="G485" s="348"/>
      <c r="H485" s="348"/>
      <c r="I485" s="348"/>
      <c r="J485" s="348"/>
      <c r="K485" s="348"/>
      <c r="L485" s="333"/>
      <c r="M485" s="333"/>
      <c r="N485" s="333"/>
      <c r="O485" s="333"/>
      <c r="P485" s="333"/>
      <c r="Q485" s="333"/>
      <c r="R485" s="333"/>
      <c r="S485" s="333"/>
      <c r="T485" s="333"/>
      <c r="U485" s="333"/>
      <c r="V485" s="333"/>
      <c r="W485" s="333"/>
      <c r="X485" s="333"/>
      <c r="Y485" s="333"/>
      <c r="Z485" s="333"/>
    </row>
    <row r="486" spans="1:26" ht="15.6">
      <c r="A486" s="333"/>
      <c r="B486" s="348"/>
      <c r="C486" s="348"/>
      <c r="D486" s="348"/>
      <c r="E486" s="348"/>
      <c r="F486" s="348"/>
      <c r="G486" s="348"/>
      <c r="H486" s="348"/>
      <c r="I486" s="348"/>
      <c r="J486" s="348"/>
      <c r="K486" s="348"/>
      <c r="L486" s="333"/>
      <c r="M486" s="333"/>
      <c r="N486" s="333"/>
      <c r="O486" s="333"/>
      <c r="P486" s="333"/>
      <c r="Q486" s="333"/>
      <c r="R486" s="333"/>
      <c r="S486" s="333"/>
      <c r="T486" s="333"/>
      <c r="U486" s="333"/>
      <c r="V486" s="333"/>
      <c r="W486" s="333"/>
      <c r="X486" s="333"/>
      <c r="Y486" s="333"/>
      <c r="Z486" s="333"/>
    </row>
    <row r="487" spans="1:26" ht="15.6">
      <c r="A487" s="333"/>
      <c r="B487" s="348"/>
      <c r="C487" s="348"/>
      <c r="D487" s="348"/>
      <c r="E487" s="348"/>
      <c r="F487" s="348"/>
      <c r="G487" s="348"/>
      <c r="H487" s="348"/>
      <c r="I487" s="348"/>
      <c r="J487" s="348"/>
      <c r="K487" s="348"/>
      <c r="L487" s="333"/>
      <c r="M487" s="333"/>
      <c r="N487" s="333"/>
      <c r="O487" s="333"/>
      <c r="P487" s="333"/>
      <c r="Q487" s="333"/>
      <c r="R487" s="333"/>
      <c r="S487" s="333"/>
      <c r="T487" s="333"/>
      <c r="U487" s="333"/>
      <c r="V487" s="333"/>
      <c r="W487" s="333"/>
      <c r="X487" s="333"/>
      <c r="Y487" s="333"/>
      <c r="Z487" s="333"/>
    </row>
    <row r="488" spans="1:26" ht="15.6">
      <c r="A488" s="333"/>
      <c r="B488" s="348"/>
      <c r="C488" s="348"/>
      <c r="D488" s="348"/>
      <c r="E488" s="348"/>
      <c r="F488" s="348"/>
      <c r="G488" s="348"/>
      <c r="H488" s="348"/>
      <c r="I488" s="348"/>
      <c r="J488" s="348"/>
      <c r="K488" s="348"/>
      <c r="L488" s="333"/>
      <c r="M488" s="333"/>
      <c r="N488" s="333"/>
      <c r="O488" s="333"/>
      <c r="P488" s="333"/>
      <c r="Q488" s="333"/>
      <c r="R488" s="333"/>
      <c r="S488" s="333"/>
      <c r="T488" s="333"/>
      <c r="U488" s="333"/>
      <c r="V488" s="333"/>
      <c r="W488" s="333"/>
      <c r="X488" s="333"/>
      <c r="Y488" s="333"/>
      <c r="Z488" s="333"/>
    </row>
    <row r="489" spans="1:26" ht="15.6">
      <c r="A489" s="333"/>
      <c r="B489" s="348"/>
      <c r="C489" s="348"/>
      <c r="D489" s="348"/>
      <c r="E489" s="348"/>
      <c r="F489" s="348"/>
      <c r="G489" s="348"/>
      <c r="H489" s="348"/>
      <c r="I489" s="348"/>
      <c r="J489" s="348"/>
      <c r="K489" s="348"/>
      <c r="L489" s="333"/>
      <c r="M489" s="333"/>
      <c r="N489" s="333"/>
      <c r="O489" s="333"/>
      <c r="P489" s="333"/>
      <c r="Q489" s="333"/>
      <c r="R489" s="333"/>
      <c r="S489" s="333"/>
      <c r="T489" s="333"/>
      <c r="U489" s="333"/>
      <c r="V489" s="333"/>
      <c r="W489" s="333"/>
      <c r="X489" s="333"/>
      <c r="Y489" s="333"/>
      <c r="Z489" s="333"/>
    </row>
    <row r="490" spans="1:26" ht="15.6">
      <c r="A490" s="333"/>
      <c r="B490" s="348"/>
      <c r="C490" s="348"/>
      <c r="D490" s="348"/>
      <c r="E490" s="348"/>
      <c r="F490" s="348"/>
      <c r="G490" s="348"/>
      <c r="H490" s="348"/>
      <c r="I490" s="348"/>
      <c r="J490" s="348"/>
      <c r="K490" s="348"/>
      <c r="L490" s="333"/>
      <c r="M490" s="333"/>
      <c r="N490" s="333"/>
      <c r="O490" s="333"/>
      <c r="P490" s="333"/>
      <c r="Q490" s="333"/>
      <c r="R490" s="333"/>
      <c r="S490" s="333"/>
      <c r="T490" s="333"/>
      <c r="U490" s="333"/>
      <c r="V490" s="333"/>
      <c r="W490" s="333"/>
      <c r="X490" s="333"/>
      <c r="Y490" s="333"/>
      <c r="Z490" s="333"/>
    </row>
    <row r="491" spans="1:26" ht="15.6">
      <c r="A491" s="333"/>
      <c r="B491" s="348"/>
      <c r="C491" s="348"/>
      <c r="D491" s="348"/>
      <c r="E491" s="348"/>
      <c r="F491" s="348"/>
      <c r="G491" s="348"/>
      <c r="H491" s="348"/>
      <c r="I491" s="348"/>
      <c r="J491" s="348"/>
      <c r="K491" s="348"/>
      <c r="L491" s="333"/>
      <c r="M491" s="333"/>
      <c r="N491" s="333"/>
      <c r="O491" s="333"/>
      <c r="P491" s="333"/>
      <c r="Q491" s="333"/>
      <c r="R491" s="333"/>
      <c r="S491" s="333"/>
      <c r="T491" s="333"/>
      <c r="U491" s="333"/>
      <c r="V491" s="333"/>
      <c r="W491" s="333"/>
      <c r="X491" s="333"/>
      <c r="Y491" s="333"/>
      <c r="Z491" s="333"/>
    </row>
    <row r="492" spans="1:26" ht="15.6">
      <c r="A492" s="333"/>
      <c r="B492" s="348"/>
      <c r="C492" s="348"/>
      <c r="D492" s="348"/>
      <c r="E492" s="348"/>
      <c r="F492" s="348"/>
      <c r="G492" s="348"/>
      <c r="H492" s="348"/>
      <c r="I492" s="348"/>
      <c r="J492" s="348"/>
      <c r="K492" s="348"/>
      <c r="L492" s="333"/>
      <c r="M492" s="333"/>
      <c r="N492" s="333"/>
      <c r="O492" s="333"/>
      <c r="P492" s="333"/>
      <c r="Q492" s="333"/>
      <c r="R492" s="333"/>
      <c r="S492" s="333"/>
      <c r="T492" s="333"/>
      <c r="U492" s="333"/>
      <c r="V492" s="333"/>
      <c r="W492" s="333"/>
      <c r="X492" s="333"/>
      <c r="Y492" s="333"/>
      <c r="Z492" s="333"/>
    </row>
    <row r="493" spans="1:26" ht="15.6">
      <c r="A493" s="333"/>
      <c r="B493" s="348"/>
      <c r="C493" s="348"/>
      <c r="D493" s="348"/>
      <c r="E493" s="348"/>
      <c r="F493" s="348"/>
      <c r="G493" s="348"/>
      <c r="H493" s="348"/>
      <c r="I493" s="348"/>
      <c r="J493" s="348"/>
      <c r="K493" s="348"/>
      <c r="L493" s="333"/>
      <c r="M493" s="333"/>
      <c r="N493" s="333"/>
      <c r="O493" s="333"/>
      <c r="P493" s="333"/>
      <c r="Q493" s="333"/>
      <c r="R493" s="333"/>
      <c r="S493" s="333"/>
      <c r="T493" s="333"/>
      <c r="U493" s="333"/>
      <c r="V493" s="333"/>
      <c r="W493" s="333"/>
      <c r="X493" s="333"/>
      <c r="Y493" s="333"/>
      <c r="Z493" s="333"/>
    </row>
    <row r="494" spans="1:26" ht="15.6">
      <c r="A494" s="333"/>
      <c r="B494" s="348"/>
      <c r="C494" s="348"/>
      <c r="D494" s="348"/>
      <c r="E494" s="348"/>
      <c r="F494" s="348"/>
      <c r="G494" s="348"/>
      <c r="H494" s="348"/>
      <c r="I494" s="348"/>
      <c r="J494" s="348"/>
      <c r="K494" s="348"/>
      <c r="L494" s="333"/>
      <c r="M494" s="333"/>
      <c r="N494" s="333"/>
      <c r="O494" s="333"/>
      <c r="P494" s="333"/>
      <c r="Q494" s="333"/>
      <c r="R494" s="333"/>
      <c r="S494" s="333"/>
      <c r="T494" s="333"/>
      <c r="U494" s="333"/>
      <c r="V494" s="333"/>
      <c r="W494" s="333"/>
      <c r="X494" s="333"/>
      <c r="Y494" s="333"/>
      <c r="Z494" s="333"/>
    </row>
    <row r="495" spans="1:26" ht="15.6">
      <c r="A495" s="333"/>
      <c r="B495" s="348"/>
      <c r="C495" s="348"/>
      <c r="D495" s="348"/>
      <c r="E495" s="348"/>
      <c r="F495" s="348"/>
      <c r="G495" s="348"/>
      <c r="H495" s="348"/>
      <c r="I495" s="348"/>
      <c r="J495" s="348"/>
      <c r="K495" s="348"/>
      <c r="L495" s="333"/>
      <c r="M495" s="333"/>
      <c r="N495" s="333"/>
      <c r="O495" s="333"/>
      <c r="P495" s="333"/>
      <c r="Q495" s="333"/>
      <c r="R495" s="333"/>
      <c r="S495" s="333"/>
      <c r="T495" s="333"/>
      <c r="U495" s="333"/>
      <c r="V495" s="333"/>
      <c r="W495" s="333"/>
      <c r="X495" s="333"/>
      <c r="Y495" s="333"/>
      <c r="Z495" s="333"/>
    </row>
    <row r="496" spans="1:26" ht="15.6">
      <c r="A496" s="333"/>
      <c r="B496" s="348"/>
      <c r="C496" s="348"/>
      <c r="D496" s="348"/>
      <c r="E496" s="348"/>
      <c r="F496" s="348"/>
      <c r="G496" s="348"/>
      <c r="H496" s="348"/>
      <c r="I496" s="348"/>
      <c r="J496" s="348"/>
      <c r="K496" s="348"/>
      <c r="L496" s="333"/>
      <c r="M496" s="333"/>
      <c r="N496" s="333"/>
      <c r="O496" s="333"/>
      <c r="P496" s="333"/>
      <c r="Q496" s="333"/>
      <c r="R496" s="333"/>
      <c r="S496" s="333"/>
      <c r="T496" s="333"/>
      <c r="U496" s="333"/>
      <c r="V496" s="333"/>
      <c r="W496" s="333"/>
      <c r="X496" s="333"/>
      <c r="Y496" s="333"/>
      <c r="Z496" s="333"/>
    </row>
    <row r="497" spans="1:26" ht="15.6">
      <c r="A497" s="333"/>
      <c r="B497" s="348"/>
      <c r="C497" s="348"/>
      <c r="D497" s="348"/>
      <c r="E497" s="348"/>
      <c r="F497" s="348"/>
      <c r="G497" s="348"/>
      <c r="H497" s="348"/>
      <c r="I497" s="348"/>
      <c r="J497" s="348"/>
      <c r="K497" s="348"/>
      <c r="L497" s="333"/>
      <c r="M497" s="333"/>
      <c r="N497" s="333"/>
      <c r="O497" s="333"/>
      <c r="P497" s="333"/>
      <c r="Q497" s="333"/>
      <c r="R497" s="333"/>
      <c r="S497" s="333"/>
      <c r="T497" s="333"/>
      <c r="U497" s="333"/>
      <c r="V497" s="333"/>
      <c r="W497" s="333"/>
      <c r="X497" s="333"/>
      <c r="Y497" s="333"/>
      <c r="Z497" s="333"/>
    </row>
    <row r="498" spans="1:26" ht="15.6">
      <c r="A498" s="333"/>
      <c r="B498" s="348"/>
      <c r="C498" s="348"/>
      <c r="D498" s="348"/>
      <c r="E498" s="348"/>
      <c r="F498" s="348"/>
      <c r="G498" s="348"/>
      <c r="H498" s="348"/>
      <c r="I498" s="348"/>
      <c r="J498" s="348"/>
      <c r="K498" s="348"/>
      <c r="L498" s="333"/>
      <c r="M498" s="333"/>
      <c r="N498" s="333"/>
      <c r="O498" s="333"/>
      <c r="P498" s="333"/>
      <c r="Q498" s="333"/>
      <c r="R498" s="333"/>
      <c r="S498" s="333"/>
      <c r="T498" s="333"/>
      <c r="U498" s="333"/>
      <c r="V498" s="333"/>
      <c r="W498" s="333"/>
      <c r="X498" s="333"/>
      <c r="Y498" s="333"/>
      <c r="Z498" s="333"/>
    </row>
    <row r="499" spans="1:26" ht="15.6">
      <c r="A499" s="333"/>
      <c r="B499" s="348"/>
      <c r="C499" s="348"/>
      <c r="D499" s="348"/>
      <c r="E499" s="348"/>
      <c r="F499" s="348"/>
      <c r="G499" s="348"/>
      <c r="H499" s="348"/>
      <c r="I499" s="348"/>
      <c r="J499" s="348"/>
      <c r="K499" s="348"/>
      <c r="L499" s="333"/>
      <c r="M499" s="333"/>
      <c r="N499" s="333"/>
      <c r="O499" s="333"/>
      <c r="P499" s="333"/>
      <c r="Q499" s="333"/>
      <c r="R499" s="333"/>
      <c r="S499" s="333"/>
      <c r="T499" s="333"/>
      <c r="U499" s="333"/>
      <c r="V499" s="333"/>
      <c r="W499" s="333"/>
      <c r="X499" s="333"/>
      <c r="Y499" s="333"/>
      <c r="Z499" s="333"/>
    </row>
    <row r="500" spans="1:26" ht="15.6">
      <c r="A500" s="333"/>
      <c r="B500" s="348"/>
      <c r="C500" s="348"/>
      <c r="D500" s="348"/>
      <c r="E500" s="348"/>
      <c r="F500" s="348"/>
      <c r="G500" s="348"/>
      <c r="H500" s="348"/>
      <c r="I500" s="348"/>
      <c r="J500" s="348"/>
      <c r="K500" s="348"/>
      <c r="L500" s="333"/>
      <c r="M500" s="333"/>
      <c r="N500" s="333"/>
      <c r="O500" s="333"/>
      <c r="P500" s="333"/>
      <c r="Q500" s="333"/>
      <c r="R500" s="333"/>
      <c r="S500" s="333"/>
      <c r="T500" s="333"/>
      <c r="U500" s="333"/>
      <c r="V500" s="333"/>
      <c r="W500" s="333"/>
      <c r="X500" s="333"/>
      <c r="Y500" s="333"/>
      <c r="Z500" s="333"/>
    </row>
    <row r="501" spans="1:26" ht="15.6">
      <c r="A501" s="333"/>
      <c r="B501" s="348"/>
      <c r="C501" s="348"/>
      <c r="D501" s="348"/>
      <c r="E501" s="348"/>
      <c r="F501" s="348"/>
      <c r="G501" s="348"/>
      <c r="H501" s="348"/>
      <c r="I501" s="348"/>
      <c r="J501" s="348"/>
      <c r="K501" s="348"/>
      <c r="L501" s="333"/>
      <c r="M501" s="333"/>
      <c r="N501" s="333"/>
      <c r="O501" s="333"/>
      <c r="P501" s="333"/>
      <c r="Q501" s="333"/>
      <c r="R501" s="333"/>
      <c r="S501" s="333"/>
      <c r="T501" s="333"/>
      <c r="U501" s="333"/>
      <c r="V501" s="333"/>
      <c r="W501" s="333"/>
      <c r="X501" s="333"/>
      <c r="Y501" s="333"/>
      <c r="Z501" s="333"/>
    </row>
    <row r="502" spans="1:26" ht="15.6">
      <c r="A502" s="333"/>
      <c r="B502" s="348"/>
      <c r="C502" s="348"/>
      <c r="D502" s="348"/>
      <c r="E502" s="348"/>
      <c r="F502" s="348"/>
      <c r="G502" s="348"/>
      <c r="H502" s="348"/>
      <c r="I502" s="348"/>
      <c r="J502" s="348"/>
      <c r="K502" s="348"/>
      <c r="L502" s="333"/>
      <c r="M502" s="333"/>
      <c r="N502" s="333"/>
      <c r="O502" s="333"/>
      <c r="P502" s="333"/>
      <c r="Q502" s="333"/>
      <c r="R502" s="333"/>
      <c r="S502" s="333"/>
      <c r="T502" s="333"/>
      <c r="U502" s="333"/>
      <c r="V502" s="333"/>
      <c r="W502" s="333"/>
      <c r="X502" s="333"/>
      <c r="Y502" s="333"/>
      <c r="Z502" s="333"/>
    </row>
    <row r="503" spans="1:26" ht="15.6">
      <c r="A503" s="333"/>
      <c r="B503" s="348"/>
      <c r="C503" s="348"/>
      <c r="D503" s="348"/>
      <c r="E503" s="348"/>
      <c r="F503" s="348"/>
      <c r="G503" s="348"/>
      <c r="H503" s="348"/>
      <c r="I503" s="348"/>
      <c r="J503" s="348"/>
      <c r="K503" s="348"/>
      <c r="L503" s="333"/>
      <c r="M503" s="333"/>
      <c r="N503" s="333"/>
      <c r="O503" s="333"/>
      <c r="P503" s="333"/>
      <c r="Q503" s="333"/>
      <c r="R503" s="333"/>
      <c r="S503" s="333"/>
      <c r="T503" s="333"/>
      <c r="U503" s="333"/>
      <c r="V503" s="333"/>
      <c r="W503" s="333"/>
      <c r="X503" s="333"/>
      <c r="Y503" s="333"/>
      <c r="Z503" s="333"/>
    </row>
    <row r="504" spans="1:26" ht="15.6">
      <c r="A504" s="333"/>
      <c r="B504" s="348"/>
      <c r="C504" s="348"/>
      <c r="D504" s="348"/>
      <c r="E504" s="348"/>
      <c r="F504" s="348"/>
      <c r="G504" s="348"/>
      <c r="H504" s="348"/>
      <c r="I504" s="348"/>
      <c r="J504" s="348"/>
      <c r="K504" s="348"/>
      <c r="L504" s="333"/>
      <c r="M504" s="333"/>
      <c r="N504" s="333"/>
      <c r="O504" s="333"/>
      <c r="P504" s="333"/>
      <c r="Q504" s="333"/>
      <c r="R504" s="333"/>
      <c r="S504" s="333"/>
      <c r="T504" s="333"/>
      <c r="U504" s="333"/>
      <c r="V504" s="333"/>
      <c r="W504" s="333"/>
      <c r="X504" s="333"/>
      <c r="Y504" s="333"/>
      <c r="Z504" s="333"/>
    </row>
    <row r="505" spans="1:26" ht="15.6">
      <c r="A505" s="333"/>
      <c r="B505" s="348"/>
      <c r="C505" s="348"/>
      <c r="D505" s="348"/>
      <c r="E505" s="348"/>
      <c r="F505" s="348"/>
      <c r="G505" s="348"/>
      <c r="H505" s="348"/>
      <c r="I505" s="348"/>
      <c r="J505" s="348"/>
      <c r="K505" s="348"/>
      <c r="L505" s="333"/>
      <c r="M505" s="333"/>
      <c r="N505" s="333"/>
      <c r="O505" s="333"/>
      <c r="P505" s="333"/>
      <c r="Q505" s="333"/>
      <c r="R505" s="333"/>
      <c r="S505" s="333"/>
      <c r="T505" s="333"/>
      <c r="U505" s="333"/>
      <c r="V505" s="333"/>
      <c r="W505" s="333"/>
      <c r="X505" s="333"/>
      <c r="Y505" s="333"/>
      <c r="Z505" s="333"/>
    </row>
    <row r="506" spans="1:26" ht="15.6">
      <c r="A506" s="333"/>
      <c r="B506" s="348"/>
      <c r="C506" s="348"/>
      <c r="D506" s="348"/>
      <c r="E506" s="348"/>
      <c r="F506" s="348"/>
      <c r="G506" s="348"/>
      <c r="H506" s="348"/>
      <c r="I506" s="348"/>
      <c r="J506" s="348"/>
      <c r="K506" s="348"/>
      <c r="L506" s="333"/>
      <c r="M506" s="333"/>
      <c r="N506" s="333"/>
      <c r="O506" s="333"/>
      <c r="P506" s="333"/>
      <c r="Q506" s="333"/>
      <c r="R506" s="333"/>
      <c r="S506" s="333"/>
      <c r="T506" s="333"/>
      <c r="U506" s="333"/>
      <c r="V506" s="333"/>
      <c r="W506" s="333"/>
      <c r="X506" s="333"/>
      <c r="Y506" s="333"/>
      <c r="Z506" s="333"/>
    </row>
    <row r="507" spans="1:26" ht="15.6">
      <c r="A507" s="333"/>
      <c r="B507" s="348"/>
      <c r="C507" s="348"/>
      <c r="D507" s="348"/>
      <c r="E507" s="348"/>
      <c r="F507" s="348"/>
      <c r="G507" s="348"/>
      <c r="H507" s="348"/>
      <c r="I507" s="348"/>
      <c r="J507" s="348"/>
      <c r="K507" s="348"/>
      <c r="L507" s="333"/>
      <c r="M507" s="333"/>
      <c r="N507" s="333"/>
      <c r="O507" s="333"/>
      <c r="P507" s="333"/>
      <c r="Q507" s="333"/>
      <c r="R507" s="333"/>
      <c r="S507" s="333"/>
      <c r="T507" s="333"/>
      <c r="U507" s="333"/>
      <c r="V507" s="333"/>
      <c r="W507" s="333"/>
      <c r="X507" s="333"/>
      <c r="Y507" s="333"/>
      <c r="Z507" s="333"/>
    </row>
    <row r="508" spans="1:26" ht="15.6">
      <c r="A508" s="333"/>
      <c r="B508" s="348"/>
      <c r="C508" s="348"/>
      <c r="D508" s="348"/>
      <c r="E508" s="348"/>
      <c r="F508" s="348"/>
      <c r="G508" s="348"/>
      <c r="H508" s="348"/>
      <c r="I508" s="348"/>
      <c r="J508" s="348"/>
      <c r="K508" s="348"/>
      <c r="L508" s="333"/>
      <c r="M508" s="333"/>
      <c r="N508" s="333"/>
      <c r="O508" s="333"/>
      <c r="P508" s="333"/>
      <c r="Q508" s="333"/>
      <c r="R508" s="333"/>
      <c r="S508" s="333"/>
      <c r="T508" s="333"/>
      <c r="U508" s="333"/>
      <c r="V508" s="333"/>
      <c r="W508" s="333"/>
      <c r="X508" s="333"/>
      <c r="Y508" s="333"/>
      <c r="Z508" s="333"/>
    </row>
    <row r="509" spans="1:26" ht="15.6">
      <c r="A509" s="333"/>
      <c r="B509" s="348"/>
      <c r="C509" s="348"/>
      <c r="D509" s="348"/>
      <c r="E509" s="348"/>
      <c r="F509" s="348"/>
      <c r="G509" s="348"/>
      <c r="H509" s="348"/>
      <c r="I509" s="348"/>
      <c r="J509" s="348"/>
      <c r="K509" s="348"/>
      <c r="L509" s="333"/>
      <c r="M509" s="333"/>
      <c r="N509" s="333"/>
      <c r="O509" s="333"/>
      <c r="P509" s="333"/>
      <c r="Q509" s="333"/>
      <c r="R509" s="333"/>
      <c r="S509" s="333"/>
      <c r="T509" s="333"/>
      <c r="U509" s="333"/>
      <c r="V509" s="333"/>
      <c r="W509" s="333"/>
      <c r="X509" s="333"/>
      <c r="Y509" s="333"/>
      <c r="Z509" s="333"/>
    </row>
    <row r="510" spans="1:26" ht="15.6">
      <c r="A510" s="333"/>
      <c r="B510" s="348"/>
      <c r="C510" s="348"/>
      <c r="D510" s="348"/>
      <c r="E510" s="348"/>
      <c r="F510" s="348"/>
      <c r="G510" s="348"/>
      <c r="H510" s="348"/>
      <c r="I510" s="348"/>
      <c r="J510" s="348"/>
      <c r="K510" s="348"/>
      <c r="L510" s="333"/>
      <c r="M510" s="333"/>
      <c r="N510" s="333"/>
      <c r="O510" s="333"/>
      <c r="P510" s="333"/>
      <c r="Q510" s="333"/>
      <c r="R510" s="333"/>
      <c r="S510" s="333"/>
      <c r="T510" s="333"/>
      <c r="U510" s="333"/>
      <c r="V510" s="333"/>
      <c r="W510" s="333"/>
      <c r="X510" s="333"/>
      <c r="Y510" s="333"/>
      <c r="Z510" s="333"/>
    </row>
    <row r="511" spans="1:26" ht="15.6">
      <c r="A511" s="333"/>
      <c r="B511" s="348"/>
      <c r="C511" s="348"/>
      <c r="D511" s="348"/>
      <c r="E511" s="348"/>
      <c r="F511" s="348"/>
      <c r="G511" s="348"/>
      <c r="H511" s="348"/>
      <c r="I511" s="348"/>
      <c r="J511" s="348"/>
      <c r="K511" s="348"/>
      <c r="L511" s="333"/>
      <c r="M511" s="333"/>
      <c r="N511" s="333"/>
      <c r="O511" s="333"/>
      <c r="P511" s="333"/>
      <c r="Q511" s="333"/>
      <c r="R511" s="333"/>
      <c r="S511" s="333"/>
      <c r="T511" s="333"/>
      <c r="U511" s="333"/>
      <c r="V511" s="333"/>
      <c r="W511" s="333"/>
      <c r="X511" s="333"/>
      <c r="Y511" s="333"/>
      <c r="Z511" s="333"/>
    </row>
    <row r="512" spans="1:26" ht="15.6">
      <c r="A512" s="333"/>
      <c r="B512" s="348"/>
      <c r="C512" s="348"/>
      <c r="D512" s="348"/>
      <c r="E512" s="348"/>
      <c r="F512" s="348"/>
      <c r="G512" s="348"/>
      <c r="H512" s="348"/>
      <c r="I512" s="348"/>
      <c r="J512" s="348"/>
      <c r="K512" s="348"/>
      <c r="L512" s="333"/>
      <c r="M512" s="333"/>
      <c r="N512" s="333"/>
      <c r="O512" s="333"/>
      <c r="P512" s="333"/>
      <c r="Q512" s="333"/>
      <c r="R512" s="333"/>
      <c r="S512" s="333"/>
      <c r="T512" s="333"/>
      <c r="U512" s="333"/>
      <c r="V512" s="333"/>
      <c r="W512" s="333"/>
      <c r="X512" s="333"/>
      <c r="Y512" s="333"/>
      <c r="Z512" s="333"/>
    </row>
    <row r="513" spans="1:26" ht="15.6">
      <c r="A513" s="333"/>
      <c r="B513" s="348"/>
      <c r="C513" s="348"/>
      <c r="D513" s="348"/>
      <c r="E513" s="348"/>
      <c r="F513" s="348"/>
      <c r="G513" s="348"/>
      <c r="H513" s="348"/>
      <c r="I513" s="348"/>
      <c r="J513" s="348"/>
      <c r="K513" s="348"/>
      <c r="L513" s="333"/>
      <c r="M513" s="333"/>
      <c r="N513" s="333"/>
      <c r="O513" s="333"/>
      <c r="P513" s="333"/>
      <c r="Q513" s="333"/>
      <c r="R513" s="333"/>
      <c r="S513" s="333"/>
      <c r="T513" s="333"/>
      <c r="U513" s="333"/>
      <c r="V513" s="333"/>
      <c r="W513" s="333"/>
      <c r="X513" s="333"/>
      <c r="Y513" s="333"/>
      <c r="Z513" s="333"/>
    </row>
    <row r="514" spans="1:26" ht="15.6">
      <c r="A514" s="333"/>
      <c r="B514" s="348"/>
      <c r="C514" s="348"/>
      <c r="D514" s="348"/>
      <c r="E514" s="348"/>
      <c r="F514" s="348"/>
      <c r="G514" s="348"/>
      <c r="H514" s="348"/>
      <c r="I514" s="348"/>
      <c r="J514" s="348"/>
      <c r="K514" s="348"/>
      <c r="L514" s="333"/>
      <c r="M514" s="333"/>
      <c r="N514" s="333"/>
      <c r="O514" s="333"/>
      <c r="P514" s="333"/>
      <c r="Q514" s="333"/>
      <c r="R514" s="333"/>
      <c r="S514" s="333"/>
      <c r="T514" s="333"/>
      <c r="U514" s="333"/>
      <c r="V514" s="333"/>
      <c r="W514" s="333"/>
      <c r="X514" s="333"/>
      <c r="Y514" s="333"/>
      <c r="Z514" s="333"/>
    </row>
    <row r="515" spans="1:26" ht="15.6">
      <c r="A515" s="333"/>
      <c r="B515" s="348"/>
      <c r="C515" s="348"/>
      <c r="D515" s="348"/>
      <c r="E515" s="348"/>
      <c r="F515" s="348"/>
      <c r="G515" s="348"/>
      <c r="H515" s="348"/>
      <c r="I515" s="348"/>
      <c r="J515" s="348"/>
      <c r="K515" s="348"/>
      <c r="L515" s="333"/>
      <c r="M515" s="333"/>
      <c r="N515" s="333"/>
      <c r="O515" s="333"/>
      <c r="P515" s="333"/>
      <c r="Q515" s="333"/>
      <c r="R515" s="333"/>
      <c r="S515" s="333"/>
      <c r="T515" s="333"/>
      <c r="U515" s="333"/>
      <c r="V515" s="333"/>
      <c r="W515" s="333"/>
      <c r="X515" s="333"/>
      <c r="Y515" s="333"/>
      <c r="Z515" s="333"/>
    </row>
    <row r="516" spans="1:26" ht="15.6">
      <c r="A516" s="333"/>
      <c r="B516" s="348"/>
      <c r="C516" s="348"/>
      <c r="D516" s="348"/>
      <c r="E516" s="348"/>
      <c r="F516" s="348"/>
      <c r="G516" s="348"/>
      <c r="H516" s="348"/>
      <c r="I516" s="348"/>
      <c r="J516" s="348"/>
      <c r="K516" s="348"/>
      <c r="L516" s="333"/>
      <c r="M516" s="333"/>
      <c r="N516" s="333"/>
      <c r="O516" s="333"/>
      <c r="P516" s="333"/>
      <c r="Q516" s="333"/>
      <c r="R516" s="333"/>
      <c r="S516" s="333"/>
      <c r="T516" s="333"/>
      <c r="U516" s="333"/>
      <c r="V516" s="333"/>
      <c r="W516" s="333"/>
      <c r="X516" s="333"/>
      <c r="Y516" s="333"/>
      <c r="Z516" s="333"/>
    </row>
    <row r="517" spans="1:26" ht="15.6">
      <c r="A517" s="333"/>
      <c r="B517" s="348"/>
      <c r="C517" s="348"/>
      <c r="D517" s="348"/>
      <c r="E517" s="348"/>
      <c r="F517" s="348"/>
      <c r="G517" s="348"/>
      <c r="H517" s="348"/>
      <c r="I517" s="348"/>
      <c r="J517" s="348"/>
      <c r="K517" s="348"/>
      <c r="L517" s="333"/>
      <c r="M517" s="333"/>
      <c r="N517" s="333"/>
      <c r="O517" s="333"/>
      <c r="P517" s="333"/>
      <c r="Q517" s="333"/>
      <c r="R517" s="333"/>
      <c r="S517" s="333"/>
      <c r="T517" s="333"/>
      <c r="U517" s="333"/>
      <c r="V517" s="333"/>
      <c r="W517" s="333"/>
      <c r="X517" s="333"/>
      <c r="Y517" s="333"/>
      <c r="Z517" s="333"/>
    </row>
    <row r="518" spans="1:26" ht="15.6">
      <c r="A518" s="333"/>
      <c r="B518" s="348"/>
      <c r="C518" s="348"/>
      <c r="D518" s="348"/>
      <c r="E518" s="348"/>
      <c r="F518" s="348"/>
      <c r="G518" s="348"/>
      <c r="H518" s="348"/>
      <c r="I518" s="348"/>
      <c r="J518" s="348"/>
      <c r="K518" s="348"/>
      <c r="L518" s="333"/>
      <c r="M518" s="333"/>
      <c r="N518" s="333"/>
      <c r="O518" s="333"/>
      <c r="P518" s="333"/>
      <c r="Q518" s="333"/>
      <c r="R518" s="333"/>
      <c r="S518" s="333"/>
      <c r="T518" s="333"/>
      <c r="U518" s="333"/>
      <c r="V518" s="333"/>
      <c r="W518" s="333"/>
      <c r="X518" s="333"/>
      <c r="Y518" s="333"/>
      <c r="Z518" s="333"/>
    </row>
    <row r="519" spans="1:26" ht="15.6">
      <c r="A519" s="333"/>
      <c r="B519" s="348"/>
      <c r="C519" s="348"/>
      <c r="D519" s="348"/>
      <c r="E519" s="348"/>
      <c r="F519" s="348"/>
      <c r="G519" s="348"/>
      <c r="H519" s="348"/>
      <c r="I519" s="348"/>
      <c r="J519" s="348"/>
      <c r="K519" s="348"/>
      <c r="L519" s="333"/>
      <c r="M519" s="333"/>
      <c r="N519" s="333"/>
      <c r="O519" s="333"/>
      <c r="P519" s="333"/>
      <c r="Q519" s="333"/>
      <c r="R519" s="333"/>
      <c r="S519" s="333"/>
      <c r="T519" s="333"/>
      <c r="U519" s="333"/>
      <c r="V519" s="333"/>
      <c r="W519" s="333"/>
      <c r="X519" s="333"/>
      <c r="Y519" s="333"/>
      <c r="Z519" s="333"/>
    </row>
    <row r="520" spans="1:26" ht="15.6">
      <c r="A520" s="333"/>
      <c r="B520" s="348"/>
      <c r="C520" s="348"/>
      <c r="D520" s="348"/>
      <c r="E520" s="348"/>
      <c r="F520" s="348"/>
      <c r="G520" s="348"/>
      <c r="H520" s="348"/>
      <c r="I520" s="348"/>
      <c r="J520" s="348"/>
      <c r="K520" s="348"/>
      <c r="L520" s="333"/>
      <c r="M520" s="333"/>
      <c r="N520" s="333"/>
      <c r="O520" s="333"/>
      <c r="P520" s="333"/>
      <c r="Q520" s="333"/>
      <c r="R520" s="333"/>
      <c r="S520" s="333"/>
      <c r="T520" s="333"/>
      <c r="U520" s="333"/>
      <c r="V520" s="333"/>
      <c r="W520" s="333"/>
      <c r="X520" s="333"/>
      <c r="Y520" s="333"/>
      <c r="Z520" s="333"/>
    </row>
    <row r="521" spans="1:26" ht="15.6">
      <c r="A521" s="333"/>
      <c r="B521" s="348"/>
      <c r="C521" s="348"/>
      <c r="D521" s="348"/>
      <c r="E521" s="348"/>
      <c r="F521" s="348"/>
      <c r="G521" s="348"/>
      <c r="H521" s="348"/>
      <c r="I521" s="348"/>
      <c r="J521" s="348"/>
      <c r="K521" s="348"/>
      <c r="L521" s="333"/>
      <c r="M521" s="333"/>
      <c r="N521" s="333"/>
      <c r="O521" s="333"/>
      <c r="P521" s="333"/>
      <c r="Q521" s="333"/>
      <c r="R521" s="333"/>
      <c r="S521" s="333"/>
      <c r="T521" s="333"/>
      <c r="U521" s="333"/>
      <c r="V521" s="333"/>
      <c r="W521" s="333"/>
      <c r="X521" s="333"/>
      <c r="Y521" s="333"/>
      <c r="Z521" s="333"/>
    </row>
    <row r="522" spans="1:26" ht="15.6">
      <c r="A522" s="333"/>
      <c r="B522" s="348"/>
      <c r="C522" s="348"/>
      <c r="D522" s="348"/>
      <c r="E522" s="348"/>
      <c r="F522" s="348"/>
      <c r="G522" s="348"/>
      <c r="H522" s="348"/>
      <c r="I522" s="348"/>
      <c r="J522" s="348"/>
      <c r="K522" s="348"/>
      <c r="L522" s="333"/>
      <c r="M522" s="333"/>
      <c r="N522" s="333"/>
      <c r="O522" s="333"/>
      <c r="P522" s="333"/>
      <c r="Q522" s="333"/>
      <c r="R522" s="333"/>
      <c r="S522" s="333"/>
      <c r="T522" s="333"/>
      <c r="U522" s="333"/>
      <c r="V522" s="333"/>
      <c r="W522" s="333"/>
      <c r="X522" s="333"/>
      <c r="Y522" s="333"/>
      <c r="Z522" s="333"/>
    </row>
    <row r="523" spans="1:26" ht="15.6">
      <c r="A523" s="333"/>
      <c r="B523" s="348"/>
      <c r="C523" s="348"/>
      <c r="D523" s="348"/>
      <c r="E523" s="348"/>
      <c r="F523" s="348"/>
      <c r="G523" s="348"/>
      <c r="H523" s="348"/>
      <c r="I523" s="348"/>
      <c r="J523" s="348"/>
      <c r="K523" s="348"/>
      <c r="L523" s="333"/>
      <c r="M523" s="333"/>
      <c r="N523" s="333"/>
      <c r="O523" s="333"/>
      <c r="P523" s="333"/>
      <c r="Q523" s="333"/>
      <c r="R523" s="333"/>
      <c r="S523" s="333"/>
      <c r="T523" s="333"/>
      <c r="U523" s="333"/>
      <c r="V523" s="333"/>
      <c r="W523" s="333"/>
      <c r="X523" s="333"/>
      <c r="Y523" s="333"/>
      <c r="Z523" s="333"/>
    </row>
    <row r="524" spans="1:26" ht="15.6">
      <c r="A524" s="333"/>
      <c r="B524" s="348"/>
      <c r="C524" s="348"/>
      <c r="D524" s="348"/>
      <c r="E524" s="348"/>
      <c r="F524" s="348"/>
      <c r="G524" s="348"/>
      <c r="H524" s="348"/>
      <c r="I524" s="348"/>
      <c r="J524" s="348"/>
      <c r="K524" s="348"/>
      <c r="L524" s="333"/>
      <c r="M524" s="333"/>
      <c r="N524" s="333"/>
      <c r="O524" s="333"/>
      <c r="P524" s="333"/>
      <c r="Q524" s="333"/>
      <c r="R524" s="333"/>
      <c r="S524" s="333"/>
      <c r="T524" s="333"/>
      <c r="U524" s="333"/>
      <c r="V524" s="333"/>
      <c r="W524" s="333"/>
      <c r="X524" s="333"/>
      <c r="Y524" s="333"/>
      <c r="Z524" s="333"/>
    </row>
    <row r="525" spans="1:26" ht="15.6">
      <c r="A525" s="333"/>
      <c r="B525" s="348"/>
      <c r="C525" s="348"/>
      <c r="D525" s="348"/>
      <c r="E525" s="348"/>
      <c r="F525" s="348"/>
      <c r="G525" s="348"/>
      <c r="H525" s="348"/>
      <c r="I525" s="348"/>
      <c r="J525" s="348"/>
      <c r="K525" s="348"/>
      <c r="L525" s="333"/>
      <c r="M525" s="333"/>
      <c r="N525" s="333"/>
      <c r="O525" s="333"/>
      <c r="P525" s="333"/>
      <c r="Q525" s="333"/>
      <c r="R525" s="333"/>
      <c r="S525" s="333"/>
      <c r="T525" s="333"/>
      <c r="U525" s="333"/>
      <c r="V525" s="333"/>
      <c r="W525" s="333"/>
      <c r="X525" s="333"/>
      <c r="Y525" s="333"/>
      <c r="Z525" s="333"/>
    </row>
    <row r="526" spans="1:26" ht="15.6">
      <c r="A526" s="333"/>
      <c r="B526" s="348"/>
      <c r="C526" s="348"/>
      <c r="D526" s="348"/>
      <c r="E526" s="348"/>
      <c r="F526" s="348"/>
      <c r="G526" s="348"/>
      <c r="H526" s="348"/>
      <c r="I526" s="348"/>
      <c r="J526" s="348"/>
      <c r="K526" s="348"/>
      <c r="L526" s="333"/>
      <c r="M526" s="333"/>
      <c r="N526" s="333"/>
      <c r="O526" s="333"/>
      <c r="P526" s="333"/>
      <c r="Q526" s="333"/>
      <c r="R526" s="333"/>
      <c r="S526" s="333"/>
      <c r="T526" s="333"/>
      <c r="U526" s="333"/>
      <c r="V526" s="333"/>
      <c r="W526" s="333"/>
      <c r="X526" s="333"/>
      <c r="Y526" s="333"/>
      <c r="Z526" s="333"/>
    </row>
    <row r="527" spans="1:26" ht="15.6">
      <c r="A527" s="333"/>
      <c r="B527" s="348"/>
      <c r="C527" s="348"/>
      <c r="D527" s="348"/>
      <c r="E527" s="348"/>
      <c r="F527" s="348"/>
      <c r="G527" s="348"/>
      <c r="H527" s="348"/>
      <c r="I527" s="348"/>
      <c r="J527" s="348"/>
      <c r="K527" s="348"/>
      <c r="L527" s="333"/>
      <c r="M527" s="333"/>
      <c r="N527" s="333"/>
      <c r="O527" s="333"/>
      <c r="P527" s="333"/>
      <c r="Q527" s="333"/>
      <c r="R527" s="333"/>
      <c r="S527" s="333"/>
      <c r="T527" s="333"/>
      <c r="U527" s="333"/>
      <c r="V527" s="333"/>
      <c r="W527" s="333"/>
      <c r="X527" s="333"/>
      <c r="Y527" s="333"/>
      <c r="Z527" s="333"/>
    </row>
    <row r="528" spans="1:26" ht="15.6">
      <c r="A528" s="333"/>
      <c r="B528" s="348"/>
      <c r="C528" s="348"/>
      <c r="D528" s="348"/>
      <c r="E528" s="348"/>
      <c r="F528" s="348"/>
      <c r="G528" s="348"/>
      <c r="H528" s="348"/>
      <c r="I528" s="348"/>
      <c r="J528" s="348"/>
      <c r="K528" s="348"/>
      <c r="L528" s="333"/>
      <c r="M528" s="333"/>
      <c r="N528" s="333"/>
      <c r="O528" s="333"/>
      <c r="P528" s="333"/>
      <c r="Q528" s="333"/>
      <c r="R528" s="333"/>
      <c r="S528" s="333"/>
      <c r="T528" s="333"/>
      <c r="U528" s="333"/>
      <c r="V528" s="333"/>
      <c r="W528" s="333"/>
      <c r="X528" s="333"/>
      <c r="Y528" s="333"/>
      <c r="Z528" s="333"/>
    </row>
    <row r="529" spans="1:26" ht="15.6">
      <c r="A529" s="333"/>
      <c r="B529" s="348"/>
      <c r="C529" s="348"/>
      <c r="D529" s="348"/>
      <c r="E529" s="348"/>
      <c r="F529" s="348"/>
      <c r="G529" s="348"/>
      <c r="H529" s="348"/>
      <c r="I529" s="348"/>
      <c r="J529" s="348"/>
      <c r="K529" s="348"/>
      <c r="L529" s="333"/>
      <c r="M529" s="333"/>
      <c r="N529" s="333"/>
      <c r="O529" s="333"/>
      <c r="P529" s="333"/>
      <c r="Q529" s="333"/>
      <c r="R529" s="333"/>
      <c r="S529" s="333"/>
      <c r="T529" s="333"/>
      <c r="U529" s="333"/>
      <c r="V529" s="333"/>
      <c r="W529" s="333"/>
      <c r="X529" s="333"/>
      <c r="Y529" s="333"/>
      <c r="Z529" s="333"/>
    </row>
    <row r="530" spans="1:26" ht="15.6">
      <c r="A530" s="333"/>
      <c r="B530" s="348"/>
      <c r="C530" s="348"/>
      <c r="D530" s="348"/>
      <c r="E530" s="348"/>
      <c r="F530" s="348"/>
      <c r="G530" s="348"/>
      <c r="H530" s="348"/>
      <c r="I530" s="348"/>
      <c r="J530" s="348"/>
      <c r="K530" s="348"/>
      <c r="L530" s="333"/>
      <c r="M530" s="333"/>
      <c r="N530" s="333"/>
      <c r="O530" s="333"/>
      <c r="P530" s="333"/>
      <c r="Q530" s="333"/>
      <c r="R530" s="333"/>
      <c r="S530" s="333"/>
      <c r="T530" s="333"/>
      <c r="U530" s="333"/>
      <c r="V530" s="333"/>
      <c r="W530" s="333"/>
      <c r="X530" s="333"/>
      <c r="Y530" s="333"/>
      <c r="Z530" s="333"/>
    </row>
    <row r="531" spans="1:26" ht="15.6">
      <c r="A531" s="333"/>
      <c r="B531" s="348"/>
      <c r="C531" s="348"/>
      <c r="D531" s="348"/>
      <c r="E531" s="348"/>
      <c r="F531" s="348"/>
      <c r="G531" s="348"/>
      <c r="H531" s="348"/>
      <c r="I531" s="348"/>
      <c r="J531" s="348"/>
      <c r="K531" s="348"/>
      <c r="L531" s="333"/>
      <c r="M531" s="333"/>
      <c r="N531" s="333"/>
      <c r="O531" s="333"/>
      <c r="P531" s="333"/>
      <c r="Q531" s="333"/>
      <c r="R531" s="333"/>
      <c r="S531" s="333"/>
      <c r="T531" s="333"/>
      <c r="U531" s="333"/>
      <c r="V531" s="333"/>
      <c r="W531" s="333"/>
      <c r="X531" s="333"/>
      <c r="Y531" s="333"/>
      <c r="Z531" s="333"/>
    </row>
    <row r="532" spans="1:26" ht="15.6">
      <c r="A532" s="333"/>
      <c r="B532" s="348"/>
      <c r="C532" s="348"/>
      <c r="D532" s="348"/>
      <c r="E532" s="348"/>
      <c r="F532" s="348"/>
      <c r="G532" s="348"/>
      <c r="H532" s="348"/>
      <c r="I532" s="348"/>
      <c r="J532" s="348"/>
      <c r="K532" s="348"/>
      <c r="L532" s="333"/>
      <c r="M532" s="333"/>
      <c r="N532" s="333"/>
      <c r="O532" s="333"/>
      <c r="P532" s="333"/>
      <c r="Q532" s="333"/>
      <c r="R532" s="333"/>
      <c r="S532" s="333"/>
      <c r="T532" s="333"/>
      <c r="U532" s="333"/>
      <c r="V532" s="333"/>
      <c r="W532" s="333"/>
      <c r="X532" s="333"/>
      <c r="Y532" s="333"/>
      <c r="Z532" s="333"/>
    </row>
    <row r="533" spans="1:26" ht="15.6">
      <c r="A533" s="333"/>
      <c r="B533" s="348"/>
      <c r="C533" s="348"/>
      <c r="D533" s="348"/>
      <c r="E533" s="348"/>
      <c r="F533" s="348"/>
      <c r="G533" s="348"/>
      <c r="H533" s="348"/>
      <c r="I533" s="348"/>
      <c r="J533" s="348"/>
      <c r="K533" s="348"/>
      <c r="L533" s="333"/>
      <c r="M533" s="333"/>
      <c r="N533" s="333"/>
      <c r="O533" s="333"/>
      <c r="P533" s="333"/>
      <c r="Q533" s="333"/>
      <c r="R533" s="333"/>
      <c r="S533" s="333"/>
      <c r="T533" s="333"/>
      <c r="U533" s="333"/>
      <c r="V533" s="333"/>
      <c r="W533" s="333"/>
      <c r="X533" s="333"/>
      <c r="Y533" s="333"/>
      <c r="Z533" s="333"/>
    </row>
    <row r="534" spans="1:26" ht="15.6">
      <c r="A534" s="333"/>
      <c r="B534" s="348"/>
      <c r="C534" s="348"/>
      <c r="D534" s="348"/>
      <c r="E534" s="348"/>
      <c r="F534" s="348"/>
      <c r="G534" s="348"/>
      <c r="H534" s="348"/>
      <c r="I534" s="348"/>
      <c r="J534" s="348"/>
      <c r="K534" s="348"/>
      <c r="L534" s="333"/>
      <c r="M534" s="333"/>
      <c r="N534" s="333"/>
      <c r="O534" s="333"/>
      <c r="P534" s="333"/>
      <c r="Q534" s="333"/>
      <c r="R534" s="333"/>
      <c r="S534" s="333"/>
      <c r="T534" s="333"/>
      <c r="U534" s="333"/>
      <c r="V534" s="333"/>
      <c r="W534" s="333"/>
      <c r="X534" s="333"/>
      <c r="Y534" s="333"/>
      <c r="Z534" s="333"/>
    </row>
    <row r="535" spans="1:26" ht="15.6">
      <c r="A535" s="333"/>
      <c r="B535" s="348"/>
      <c r="C535" s="348"/>
      <c r="D535" s="348"/>
      <c r="E535" s="348"/>
      <c r="F535" s="348"/>
      <c r="G535" s="348"/>
      <c r="H535" s="348"/>
      <c r="I535" s="348"/>
      <c r="J535" s="348"/>
      <c r="K535" s="348"/>
      <c r="L535" s="333"/>
      <c r="M535" s="333"/>
      <c r="N535" s="333"/>
      <c r="O535" s="333"/>
      <c r="P535" s="333"/>
      <c r="Q535" s="333"/>
      <c r="R535" s="333"/>
      <c r="S535" s="333"/>
      <c r="T535" s="333"/>
      <c r="U535" s="333"/>
      <c r="V535" s="333"/>
      <c r="W535" s="333"/>
      <c r="X535" s="333"/>
      <c r="Y535" s="333"/>
      <c r="Z535" s="333"/>
    </row>
    <row r="536" spans="1:26" ht="15.6">
      <c r="A536" s="333"/>
      <c r="B536" s="348"/>
      <c r="C536" s="348"/>
      <c r="D536" s="348"/>
      <c r="E536" s="348"/>
      <c r="F536" s="348"/>
      <c r="G536" s="348"/>
      <c r="H536" s="348"/>
      <c r="I536" s="348"/>
      <c r="J536" s="348"/>
      <c r="K536" s="348"/>
      <c r="L536" s="333"/>
      <c r="M536" s="333"/>
      <c r="N536" s="333"/>
      <c r="O536" s="333"/>
      <c r="P536" s="333"/>
      <c r="Q536" s="333"/>
      <c r="R536" s="333"/>
      <c r="S536" s="333"/>
      <c r="T536" s="333"/>
      <c r="U536" s="333"/>
      <c r="V536" s="333"/>
      <c r="W536" s="333"/>
      <c r="X536" s="333"/>
      <c r="Y536" s="333"/>
      <c r="Z536" s="333"/>
    </row>
    <row r="537" spans="1:26" ht="15.6">
      <c r="A537" s="333"/>
      <c r="B537" s="348"/>
      <c r="C537" s="348"/>
      <c r="D537" s="348"/>
      <c r="E537" s="348"/>
      <c r="F537" s="348"/>
      <c r="G537" s="348"/>
      <c r="H537" s="348"/>
      <c r="I537" s="348"/>
      <c r="J537" s="348"/>
      <c r="K537" s="348"/>
      <c r="L537" s="333"/>
      <c r="M537" s="333"/>
      <c r="N537" s="333"/>
      <c r="O537" s="333"/>
      <c r="P537" s="333"/>
      <c r="Q537" s="333"/>
      <c r="R537" s="333"/>
      <c r="S537" s="333"/>
      <c r="T537" s="333"/>
      <c r="U537" s="333"/>
      <c r="V537" s="333"/>
      <c r="W537" s="333"/>
      <c r="X537" s="333"/>
      <c r="Y537" s="333"/>
      <c r="Z537" s="333"/>
    </row>
    <row r="538" spans="1:26" ht="15.6">
      <c r="A538" s="333"/>
      <c r="B538" s="348"/>
      <c r="C538" s="348"/>
      <c r="D538" s="348"/>
      <c r="E538" s="348"/>
      <c r="F538" s="348"/>
      <c r="G538" s="348"/>
      <c r="H538" s="348"/>
      <c r="I538" s="348"/>
      <c r="J538" s="348"/>
      <c r="K538" s="348"/>
      <c r="L538" s="333"/>
      <c r="M538" s="333"/>
      <c r="N538" s="333"/>
      <c r="O538" s="333"/>
      <c r="P538" s="333"/>
      <c r="Q538" s="333"/>
      <c r="R538" s="333"/>
      <c r="S538" s="333"/>
      <c r="T538" s="333"/>
      <c r="U538" s="333"/>
      <c r="V538" s="333"/>
      <c r="W538" s="333"/>
      <c r="X538" s="333"/>
      <c r="Y538" s="333"/>
      <c r="Z538" s="333"/>
    </row>
    <row r="539" spans="1:26" ht="15.6">
      <c r="A539" s="333"/>
      <c r="B539" s="348"/>
      <c r="C539" s="348"/>
      <c r="D539" s="348"/>
      <c r="E539" s="348"/>
      <c r="F539" s="348"/>
      <c r="G539" s="348"/>
      <c r="H539" s="348"/>
      <c r="I539" s="348"/>
      <c r="J539" s="348"/>
      <c r="K539" s="348"/>
      <c r="L539" s="333"/>
      <c r="M539" s="333"/>
      <c r="N539" s="333"/>
      <c r="O539" s="333"/>
      <c r="P539" s="333"/>
      <c r="Q539" s="333"/>
      <c r="R539" s="333"/>
      <c r="S539" s="333"/>
      <c r="T539" s="333"/>
      <c r="U539" s="333"/>
      <c r="V539" s="333"/>
      <c r="W539" s="333"/>
      <c r="X539" s="333"/>
      <c r="Y539" s="333"/>
      <c r="Z539" s="333"/>
    </row>
    <row r="540" spans="1:26" ht="15.6">
      <c r="A540" s="333"/>
      <c r="B540" s="348"/>
      <c r="C540" s="348"/>
      <c r="D540" s="348"/>
      <c r="E540" s="348"/>
      <c r="F540" s="348"/>
      <c r="G540" s="348"/>
      <c r="H540" s="348"/>
      <c r="I540" s="348"/>
      <c r="J540" s="348"/>
      <c r="K540" s="348"/>
      <c r="L540" s="333"/>
      <c r="M540" s="333"/>
      <c r="N540" s="333"/>
      <c r="O540" s="333"/>
      <c r="P540" s="333"/>
      <c r="Q540" s="333"/>
      <c r="R540" s="333"/>
      <c r="S540" s="333"/>
      <c r="T540" s="333"/>
      <c r="U540" s="333"/>
      <c r="V540" s="333"/>
      <c r="W540" s="333"/>
      <c r="X540" s="333"/>
      <c r="Y540" s="333"/>
      <c r="Z540" s="333"/>
    </row>
    <row r="541" spans="1:26" ht="15.6">
      <c r="A541" s="333"/>
      <c r="B541" s="348"/>
      <c r="C541" s="348"/>
      <c r="D541" s="348"/>
      <c r="E541" s="348"/>
      <c r="F541" s="348"/>
      <c r="G541" s="348"/>
      <c r="H541" s="348"/>
      <c r="I541" s="348"/>
      <c r="J541" s="348"/>
      <c r="K541" s="348"/>
      <c r="L541" s="333"/>
      <c r="M541" s="333"/>
      <c r="N541" s="333"/>
      <c r="O541" s="333"/>
      <c r="P541" s="333"/>
      <c r="Q541" s="333"/>
      <c r="R541" s="333"/>
      <c r="S541" s="333"/>
      <c r="T541" s="333"/>
      <c r="U541" s="333"/>
      <c r="V541" s="333"/>
      <c r="W541" s="333"/>
      <c r="X541" s="333"/>
      <c r="Y541" s="333"/>
      <c r="Z541" s="333"/>
    </row>
    <row r="542" spans="1:26" ht="15.6">
      <c r="A542" s="333"/>
      <c r="B542" s="348"/>
      <c r="C542" s="348"/>
      <c r="D542" s="348"/>
      <c r="E542" s="348"/>
      <c r="F542" s="348"/>
      <c r="G542" s="348"/>
      <c r="H542" s="348"/>
      <c r="I542" s="348"/>
      <c r="J542" s="348"/>
      <c r="K542" s="348"/>
      <c r="L542" s="333"/>
      <c r="M542" s="333"/>
      <c r="N542" s="333"/>
      <c r="O542" s="333"/>
      <c r="P542" s="333"/>
      <c r="Q542" s="333"/>
      <c r="R542" s="333"/>
      <c r="S542" s="333"/>
      <c r="T542" s="333"/>
      <c r="U542" s="333"/>
      <c r="V542" s="333"/>
      <c r="W542" s="333"/>
      <c r="X542" s="333"/>
      <c r="Y542" s="333"/>
      <c r="Z542" s="333"/>
    </row>
    <row r="543" spans="1:26" ht="15.6">
      <c r="A543" s="333"/>
      <c r="B543" s="348"/>
      <c r="C543" s="348"/>
      <c r="D543" s="348"/>
      <c r="E543" s="348"/>
      <c r="F543" s="348"/>
      <c r="G543" s="348"/>
      <c r="H543" s="348"/>
      <c r="I543" s="348"/>
      <c r="J543" s="348"/>
      <c r="K543" s="348"/>
      <c r="L543" s="333"/>
      <c r="M543" s="333"/>
      <c r="N543" s="333"/>
      <c r="O543" s="333"/>
      <c r="P543" s="333"/>
      <c r="Q543" s="333"/>
      <c r="R543" s="333"/>
      <c r="S543" s="333"/>
      <c r="T543" s="333"/>
      <c r="U543" s="333"/>
      <c r="V543" s="333"/>
      <c r="W543" s="333"/>
      <c r="X543" s="333"/>
      <c r="Y543" s="333"/>
      <c r="Z543" s="333"/>
    </row>
    <row r="544" spans="1:26" ht="15.6">
      <c r="A544" s="333"/>
      <c r="B544" s="348"/>
      <c r="C544" s="348"/>
      <c r="D544" s="348"/>
      <c r="E544" s="348"/>
      <c r="F544" s="348"/>
      <c r="G544" s="348"/>
      <c r="H544" s="348"/>
      <c r="I544" s="348"/>
      <c r="J544" s="348"/>
      <c r="K544" s="348"/>
      <c r="L544" s="333"/>
      <c r="M544" s="333"/>
      <c r="N544" s="333"/>
      <c r="O544" s="333"/>
      <c r="P544" s="333"/>
      <c r="Q544" s="333"/>
      <c r="R544" s="333"/>
      <c r="S544" s="333"/>
      <c r="T544" s="333"/>
      <c r="U544" s="333"/>
      <c r="V544" s="333"/>
      <c r="W544" s="333"/>
      <c r="X544" s="333"/>
      <c r="Y544" s="333"/>
      <c r="Z544" s="333"/>
    </row>
    <row r="545" spans="1:26" ht="15.6">
      <c r="A545" s="333"/>
      <c r="B545" s="348"/>
      <c r="C545" s="348"/>
      <c r="D545" s="348"/>
      <c r="E545" s="348"/>
      <c r="F545" s="348"/>
      <c r="G545" s="348"/>
      <c r="H545" s="348"/>
      <c r="I545" s="348"/>
      <c r="J545" s="348"/>
      <c r="K545" s="348"/>
      <c r="L545" s="333"/>
      <c r="M545" s="333"/>
      <c r="N545" s="333"/>
      <c r="O545" s="333"/>
      <c r="P545" s="333"/>
      <c r="Q545" s="333"/>
      <c r="R545" s="333"/>
      <c r="S545" s="333"/>
      <c r="T545" s="333"/>
      <c r="U545" s="333"/>
      <c r="V545" s="333"/>
      <c r="W545" s="333"/>
      <c r="X545" s="333"/>
      <c r="Y545" s="333"/>
      <c r="Z545" s="333"/>
    </row>
    <row r="546" spans="1:26" ht="15.6">
      <c r="A546" s="333"/>
      <c r="B546" s="348"/>
      <c r="C546" s="348"/>
      <c r="D546" s="348"/>
      <c r="E546" s="348"/>
      <c r="F546" s="348"/>
      <c r="G546" s="348"/>
      <c r="H546" s="348"/>
      <c r="I546" s="348"/>
      <c r="J546" s="348"/>
      <c r="K546" s="348"/>
      <c r="L546" s="333"/>
      <c r="M546" s="333"/>
      <c r="N546" s="333"/>
      <c r="O546" s="333"/>
      <c r="P546" s="333"/>
      <c r="Q546" s="333"/>
      <c r="R546" s="333"/>
      <c r="S546" s="333"/>
      <c r="T546" s="333"/>
      <c r="U546" s="333"/>
      <c r="V546" s="333"/>
      <c r="W546" s="333"/>
      <c r="X546" s="333"/>
      <c r="Y546" s="333"/>
      <c r="Z546" s="333"/>
    </row>
    <row r="547" spans="1:26" ht="15.6">
      <c r="A547" s="333"/>
      <c r="B547" s="348"/>
      <c r="C547" s="348"/>
      <c r="D547" s="348"/>
      <c r="E547" s="348"/>
      <c r="F547" s="348"/>
      <c r="G547" s="348"/>
      <c r="H547" s="348"/>
      <c r="I547" s="348"/>
      <c r="J547" s="348"/>
      <c r="K547" s="348"/>
      <c r="L547" s="333"/>
      <c r="M547" s="333"/>
      <c r="N547" s="333"/>
      <c r="O547" s="333"/>
      <c r="P547" s="333"/>
      <c r="Q547" s="333"/>
      <c r="R547" s="333"/>
      <c r="S547" s="333"/>
      <c r="T547" s="333"/>
      <c r="U547" s="333"/>
      <c r="V547" s="333"/>
      <c r="W547" s="333"/>
      <c r="X547" s="333"/>
      <c r="Y547" s="333"/>
      <c r="Z547" s="333"/>
    </row>
    <row r="548" spans="1:26" ht="15.6">
      <c r="A548" s="333"/>
      <c r="B548" s="348"/>
      <c r="C548" s="348"/>
      <c r="D548" s="348"/>
      <c r="E548" s="348"/>
      <c r="F548" s="348"/>
      <c r="G548" s="348"/>
      <c r="H548" s="348"/>
      <c r="I548" s="348"/>
      <c r="J548" s="348"/>
      <c r="K548" s="348"/>
      <c r="L548" s="333"/>
      <c r="M548" s="333"/>
      <c r="N548" s="333"/>
      <c r="O548" s="333"/>
      <c r="P548" s="333"/>
      <c r="Q548" s="333"/>
      <c r="R548" s="333"/>
      <c r="S548" s="333"/>
      <c r="T548" s="333"/>
      <c r="U548" s="333"/>
      <c r="V548" s="333"/>
      <c r="W548" s="333"/>
      <c r="X548" s="333"/>
      <c r="Y548" s="333"/>
      <c r="Z548" s="333"/>
    </row>
    <row r="549" spans="1:26" ht="15.6">
      <c r="A549" s="333"/>
      <c r="B549" s="348"/>
      <c r="C549" s="348"/>
      <c r="D549" s="348"/>
      <c r="E549" s="348"/>
      <c r="F549" s="348"/>
      <c r="G549" s="348"/>
      <c r="H549" s="348"/>
      <c r="I549" s="348"/>
      <c r="J549" s="348"/>
      <c r="K549" s="348"/>
      <c r="L549" s="333"/>
      <c r="M549" s="333"/>
      <c r="N549" s="333"/>
      <c r="O549" s="333"/>
      <c r="P549" s="333"/>
      <c r="Q549" s="333"/>
      <c r="R549" s="333"/>
      <c r="S549" s="333"/>
      <c r="T549" s="333"/>
      <c r="U549" s="333"/>
      <c r="V549" s="333"/>
      <c r="W549" s="333"/>
      <c r="X549" s="333"/>
      <c r="Y549" s="333"/>
      <c r="Z549" s="333"/>
    </row>
    <row r="550" spans="1:26" ht="15.6">
      <c r="A550" s="333"/>
      <c r="B550" s="348"/>
      <c r="C550" s="348"/>
      <c r="D550" s="348"/>
      <c r="E550" s="348"/>
      <c r="F550" s="348"/>
      <c r="G550" s="348"/>
      <c r="H550" s="348"/>
      <c r="I550" s="348"/>
      <c r="J550" s="348"/>
      <c r="K550" s="348"/>
      <c r="L550" s="333"/>
      <c r="M550" s="333"/>
      <c r="N550" s="333"/>
      <c r="O550" s="333"/>
      <c r="P550" s="333"/>
      <c r="Q550" s="333"/>
      <c r="R550" s="333"/>
      <c r="S550" s="333"/>
      <c r="T550" s="333"/>
      <c r="U550" s="333"/>
      <c r="V550" s="333"/>
      <c r="W550" s="333"/>
      <c r="X550" s="333"/>
      <c r="Y550" s="333"/>
      <c r="Z550" s="333"/>
    </row>
    <row r="551" spans="1:26" ht="15.6">
      <c r="A551" s="333"/>
      <c r="B551" s="348"/>
      <c r="C551" s="348"/>
      <c r="D551" s="348"/>
      <c r="E551" s="348"/>
      <c r="F551" s="348"/>
      <c r="G551" s="348"/>
      <c r="H551" s="348"/>
      <c r="I551" s="348"/>
      <c r="J551" s="348"/>
      <c r="K551" s="348"/>
      <c r="L551" s="333"/>
      <c r="M551" s="333"/>
      <c r="N551" s="333"/>
      <c r="O551" s="333"/>
      <c r="P551" s="333"/>
      <c r="Q551" s="333"/>
      <c r="R551" s="333"/>
      <c r="S551" s="333"/>
      <c r="T551" s="333"/>
      <c r="U551" s="333"/>
      <c r="V551" s="333"/>
      <c r="W551" s="333"/>
      <c r="X551" s="333"/>
      <c r="Y551" s="333"/>
      <c r="Z551" s="333"/>
    </row>
    <row r="552" spans="1:26" ht="15.6">
      <c r="A552" s="333"/>
      <c r="B552" s="348"/>
      <c r="C552" s="348"/>
      <c r="D552" s="348"/>
      <c r="E552" s="348"/>
      <c r="F552" s="348"/>
      <c r="G552" s="348"/>
      <c r="H552" s="348"/>
      <c r="I552" s="348"/>
      <c r="J552" s="348"/>
      <c r="K552" s="348"/>
      <c r="L552" s="333"/>
      <c r="M552" s="333"/>
      <c r="N552" s="333"/>
      <c r="O552" s="333"/>
      <c r="P552" s="333"/>
      <c r="Q552" s="333"/>
      <c r="R552" s="333"/>
      <c r="S552" s="333"/>
      <c r="T552" s="333"/>
      <c r="U552" s="333"/>
      <c r="V552" s="333"/>
      <c r="W552" s="333"/>
      <c r="X552" s="333"/>
      <c r="Y552" s="333"/>
      <c r="Z552" s="333"/>
    </row>
    <row r="553" spans="1:26" ht="15.6">
      <c r="A553" s="333"/>
      <c r="B553" s="348"/>
      <c r="C553" s="348"/>
      <c r="D553" s="348"/>
      <c r="E553" s="348"/>
      <c r="F553" s="348"/>
      <c r="G553" s="348"/>
      <c r="H553" s="348"/>
      <c r="I553" s="348"/>
      <c r="J553" s="348"/>
      <c r="K553" s="348"/>
      <c r="L553" s="333"/>
      <c r="M553" s="333"/>
      <c r="N553" s="333"/>
      <c r="O553" s="333"/>
      <c r="P553" s="333"/>
      <c r="Q553" s="333"/>
      <c r="R553" s="333"/>
      <c r="S553" s="333"/>
      <c r="T553" s="333"/>
      <c r="U553" s="333"/>
      <c r="V553" s="333"/>
      <c r="W553" s="333"/>
      <c r="X553" s="333"/>
      <c r="Y553" s="333"/>
      <c r="Z553" s="333"/>
    </row>
    <row r="554" spans="1:26" ht="15.6">
      <c r="A554" s="333"/>
      <c r="B554" s="348"/>
      <c r="C554" s="348"/>
      <c r="D554" s="348"/>
      <c r="E554" s="348"/>
      <c r="F554" s="348"/>
      <c r="G554" s="348"/>
      <c r="H554" s="348"/>
      <c r="I554" s="348"/>
      <c r="J554" s="348"/>
      <c r="K554" s="348"/>
      <c r="L554" s="333"/>
      <c r="M554" s="333"/>
      <c r="N554" s="333"/>
      <c r="O554" s="333"/>
      <c r="P554" s="333"/>
      <c r="Q554" s="333"/>
      <c r="R554" s="333"/>
      <c r="S554" s="333"/>
      <c r="T554" s="333"/>
      <c r="U554" s="333"/>
      <c r="V554" s="333"/>
      <c r="W554" s="333"/>
      <c r="X554" s="333"/>
      <c r="Y554" s="333"/>
      <c r="Z554" s="333"/>
    </row>
    <row r="555" spans="1:26" ht="15.6">
      <c r="A555" s="333"/>
      <c r="B555" s="348"/>
      <c r="C555" s="348"/>
      <c r="D555" s="348"/>
      <c r="E555" s="348"/>
      <c r="F555" s="348"/>
      <c r="G555" s="348"/>
      <c r="H555" s="348"/>
      <c r="I555" s="348"/>
      <c r="J555" s="348"/>
      <c r="K555" s="348"/>
      <c r="L555" s="333"/>
      <c r="M555" s="333"/>
      <c r="N555" s="333"/>
      <c r="O555" s="333"/>
      <c r="P555" s="333"/>
      <c r="Q555" s="333"/>
      <c r="R555" s="333"/>
      <c r="S555" s="333"/>
      <c r="T555" s="333"/>
      <c r="U555" s="333"/>
      <c r="V555" s="333"/>
      <c r="W555" s="333"/>
      <c r="X555" s="333"/>
      <c r="Y555" s="333"/>
      <c r="Z555" s="333"/>
    </row>
    <row r="556" spans="1:26" ht="15.6">
      <c r="A556" s="333"/>
      <c r="B556" s="348"/>
      <c r="C556" s="348"/>
      <c r="D556" s="348"/>
      <c r="E556" s="348"/>
      <c r="F556" s="348"/>
      <c r="G556" s="348"/>
      <c r="H556" s="348"/>
      <c r="I556" s="348"/>
      <c r="J556" s="348"/>
      <c r="K556" s="348"/>
      <c r="L556" s="333"/>
      <c r="M556" s="333"/>
      <c r="N556" s="333"/>
      <c r="O556" s="333"/>
      <c r="P556" s="333"/>
      <c r="Q556" s="333"/>
      <c r="R556" s="333"/>
      <c r="S556" s="333"/>
      <c r="T556" s="333"/>
      <c r="U556" s="333"/>
      <c r="V556" s="333"/>
      <c r="W556" s="333"/>
      <c r="X556" s="333"/>
      <c r="Y556" s="333"/>
      <c r="Z556" s="333"/>
    </row>
    <row r="557" spans="1:26" ht="15.6">
      <c r="A557" s="333"/>
      <c r="B557" s="348"/>
      <c r="C557" s="348"/>
      <c r="D557" s="348"/>
      <c r="E557" s="348"/>
      <c r="F557" s="348"/>
      <c r="G557" s="348"/>
      <c r="H557" s="348"/>
      <c r="I557" s="348"/>
      <c r="J557" s="348"/>
      <c r="K557" s="348"/>
      <c r="L557" s="333"/>
      <c r="M557" s="333"/>
      <c r="N557" s="333"/>
      <c r="O557" s="333"/>
      <c r="P557" s="333"/>
      <c r="Q557" s="333"/>
      <c r="R557" s="333"/>
      <c r="S557" s="333"/>
      <c r="T557" s="333"/>
      <c r="U557" s="333"/>
      <c r="V557" s="333"/>
      <c r="W557" s="333"/>
      <c r="X557" s="333"/>
      <c r="Y557" s="333"/>
      <c r="Z557" s="333"/>
    </row>
    <row r="558" spans="1:26" ht="15.6">
      <c r="A558" s="333"/>
      <c r="B558" s="348"/>
      <c r="C558" s="348"/>
      <c r="D558" s="348"/>
      <c r="E558" s="348"/>
      <c r="F558" s="348"/>
      <c r="G558" s="348"/>
      <c r="H558" s="348"/>
      <c r="I558" s="348"/>
      <c r="J558" s="348"/>
      <c r="K558" s="348"/>
      <c r="L558" s="333"/>
      <c r="M558" s="333"/>
      <c r="N558" s="333"/>
      <c r="O558" s="333"/>
      <c r="P558" s="333"/>
      <c r="Q558" s="333"/>
      <c r="R558" s="333"/>
      <c r="S558" s="333"/>
      <c r="T558" s="333"/>
      <c r="U558" s="333"/>
      <c r="V558" s="333"/>
      <c r="W558" s="333"/>
      <c r="X558" s="333"/>
      <c r="Y558" s="333"/>
      <c r="Z558" s="333"/>
    </row>
    <row r="559" spans="1:26" ht="15.6">
      <c r="A559" s="333"/>
      <c r="B559" s="348"/>
      <c r="C559" s="348"/>
      <c r="D559" s="348"/>
      <c r="E559" s="348"/>
      <c r="F559" s="348"/>
      <c r="G559" s="348"/>
      <c r="H559" s="348"/>
      <c r="I559" s="348"/>
      <c r="J559" s="348"/>
      <c r="K559" s="348"/>
      <c r="L559" s="333"/>
      <c r="M559" s="333"/>
      <c r="N559" s="333"/>
      <c r="O559" s="333"/>
      <c r="P559" s="333"/>
      <c r="Q559" s="333"/>
      <c r="R559" s="333"/>
      <c r="S559" s="333"/>
      <c r="T559" s="333"/>
      <c r="U559" s="333"/>
      <c r="V559" s="333"/>
      <c r="W559" s="333"/>
      <c r="X559" s="333"/>
      <c r="Y559" s="333"/>
      <c r="Z559" s="333"/>
    </row>
    <row r="560" spans="1:26" ht="15.6">
      <c r="A560" s="333"/>
      <c r="B560" s="348"/>
      <c r="C560" s="348"/>
      <c r="D560" s="348"/>
      <c r="E560" s="348"/>
      <c r="F560" s="348"/>
      <c r="G560" s="348"/>
      <c r="H560" s="348"/>
      <c r="I560" s="348"/>
      <c r="J560" s="348"/>
      <c r="K560" s="348"/>
      <c r="L560" s="333"/>
      <c r="M560" s="333"/>
      <c r="N560" s="333"/>
      <c r="O560" s="333"/>
      <c r="P560" s="333"/>
      <c r="Q560" s="333"/>
      <c r="R560" s="333"/>
      <c r="S560" s="333"/>
      <c r="T560" s="333"/>
      <c r="U560" s="333"/>
      <c r="V560" s="333"/>
      <c r="W560" s="333"/>
      <c r="X560" s="333"/>
      <c r="Y560" s="333"/>
      <c r="Z560" s="333"/>
    </row>
    <row r="561" spans="1:26" ht="15.6">
      <c r="A561" s="333"/>
      <c r="B561" s="348"/>
      <c r="C561" s="348"/>
      <c r="D561" s="348"/>
      <c r="E561" s="348"/>
      <c r="F561" s="348"/>
      <c r="G561" s="348"/>
      <c r="H561" s="348"/>
      <c r="I561" s="348"/>
      <c r="J561" s="348"/>
      <c r="K561" s="348"/>
      <c r="L561" s="333"/>
      <c r="M561" s="333"/>
      <c r="N561" s="333"/>
      <c r="O561" s="333"/>
      <c r="P561" s="333"/>
      <c r="Q561" s="333"/>
      <c r="R561" s="333"/>
      <c r="S561" s="333"/>
      <c r="T561" s="333"/>
      <c r="U561" s="333"/>
      <c r="V561" s="333"/>
      <c r="W561" s="333"/>
      <c r="X561" s="333"/>
      <c r="Y561" s="333"/>
      <c r="Z561" s="333"/>
    </row>
    <row r="562" spans="1:26" ht="15.6">
      <c r="A562" s="333"/>
      <c r="B562" s="348"/>
      <c r="C562" s="348"/>
      <c r="D562" s="348"/>
      <c r="E562" s="348"/>
      <c r="F562" s="348"/>
      <c r="G562" s="348"/>
      <c r="H562" s="348"/>
      <c r="I562" s="348"/>
      <c r="J562" s="348"/>
      <c r="K562" s="348"/>
      <c r="L562" s="333"/>
      <c r="M562" s="333"/>
      <c r="N562" s="333"/>
      <c r="O562" s="333"/>
      <c r="P562" s="333"/>
      <c r="Q562" s="333"/>
      <c r="R562" s="333"/>
      <c r="S562" s="333"/>
      <c r="T562" s="333"/>
      <c r="U562" s="333"/>
      <c r="V562" s="333"/>
      <c r="W562" s="333"/>
      <c r="X562" s="333"/>
      <c r="Y562" s="333"/>
      <c r="Z562" s="333"/>
    </row>
    <row r="563" spans="1:26" ht="15.6">
      <c r="A563" s="333"/>
      <c r="B563" s="348"/>
      <c r="C563" s="348"/>
      <c r="D563" s="348"/>
      <c r="E563" s="348"/>
      <c r="F563" s="348"/>
      <c r="G563" s="348"/>
      <c r="H563" s="348"/>
      <c r="I563" s="348"/>
      <c r="J563" s="348"/>
      <c r="K563" s="348"/>
      <c r="L563" s="333"/>
      <c r="M563" s="333"/>
      <c r="N563" s="333"/>
      <c r="O563" s="333"/>
      <c r="P563" s="333"/>
      <c r="Q563" s="333"/>
      <c r="R563" s="333"/>
      <c r="S563" s="333"/>
      <c r="T563" s="333"/>
      <c r="U563" s="333"/>
      <c r="V563" s="333"/>
      <c r="W563" s="333"/>
      <c r="X563" s="333"/>
      <c r="Y563" s="333"/>
      <c r="Z563" s="333"/>
    </row>
    <row r="564" spans="1:26" ht="15.6">
      <c r="A564" s="333"/>
      <c r="B564" s="348"/>
      <c r="C564" s="348"/>
      <c r="D564" s="348"/>
      <c r="E564" s="348"/>
      <c r="F564" s="348"/>
      <c r="G564" s="348"/>
      <c r="H564" s="348"/>
      <c r="I564" s="348"/>
      <c r="J564" s="348"/>
      <c r="K564" s="348"/>
      <c r="L564" s="333"/>
      <c r="M564" s="333"/>
      <c r="N564" s="333"/>
      <c r="O564" s="333"/>
      <c r="P564" s="333"/>
      <c r="Q564" s="333"/>
      <c r="R564" s="333"/>
      <c r="S564" s="333"/>
      <c r="T564" s="333"/>
      <c r="U564" s="333"/>
      <c r="V564" s="333"/>
      <c r="W564" s="333"/>
      <c r="X564" s="333"/>
      <c r="Y564" s="333"/>
      <c r="Z564" s="333"/>
    </row>
    <row r="565" spans="1:26" ht="15.6">
      <c r="A565" s="333"/>
      <c r="B565" s="348"/>
      <c r="C565" s="348"/>
      <c r="D565" s="348"/>
      <c r="E565" s="348"/>
      <c r="F565" s="348"/>
      <c r="G565" s="348"/>
      <c r="H565" s="348"/>
      <c r="I565" s="348"/>
      <c r="J565" s="348"/>
      <c r="K565" s="348"/>
      <c r="L565" s="333"/>
      <c r="M565" s="333"/>
      <c r="N565" s="333"/>
      <c r="O565" s="333"/>
      <c r="P565" s="333"/>
      <c r="Q565" s="333"/>
      <c r="R565" s="333"/>
      <c r="S565" s="333"/>
      <c r="T565" s="333"/>
      <c r="U565" s="333"/>
      <c r="V565" s="333"/>
      <c r="W565" s="333"/>
      <c r="X565" s="333"/>
      <c r="Y565" s="333"/>
      <c r="Z565" s="333"/>
    </row>
    <row r="566" spans="1:26" ht="15.6">
      <c r="A566" s="333"/>
      <c r="B566" s="348"/>
      <c r="C566" s="348"/>
      <c r="D566" s="348"/>
      <c r="E566" s="348"/>
      <c r="F566" s="348"/>
      <c r="G566" s="348"/>
      <c r="H566" s="348"/>
      <c r="I566" s="348"/>
      <c r="J566" s="348"/>
      <c r="K566" s="348"/>
      <c r="L566" s="333"/>
      <c r="M566" s="333"/>
      <c r="N566" s="333"/>
      <c r="O566" s="333"/>
      <c r="P566" s="333"/>
      <c r="Q566" s="333"/>
      <c r="R566" s="333"/>
      <c r="S566" s="333"/>
      <c r="T566" s="333"/>
      <c r="U566" s="333"/>
      <c r="V566" s="333"/>
      <c r="W566" s="333"/>
      <c r="X566" s="333"/>
      <c r="Y566" s="333"/>
      <c r="Z566" s="333"/>
    </row>
    <row r="567" spans="1:26" ht="15.6">
      <c r="A567" s="333"/>
      <c r="B567" s="348"/>
      <c r="C567" s="348"/>
      <c r="D567" s="348"/>
      <c r="E567" s="348"/>
      <c r="F567" s="348"/>
      <c r="G567" s="348"/>
      <c r="H567" s="348"/>
      <c r="I567" s="348"/>
      <c r="J567" s="348"/>
      <c r="K567" s="348"/>
      <c r="L567" s="333"/>
      <c r="M567" s="333"/>
      <c r="N567" s="333"/>
      <c r="O567" s="333"/>
      <c r="P567" s="333"/>
      <c r="Q567" s="333"/>
      <c r="R567" s="333"/>
      <c r="S567" s="333"/>
      <c r="T567" s="333"/>
      <c r="U567" s="333"/>
      <c r="V567" s="333"/>
      <c r="W567" s="333"/>
      <c r="X567" s="333"/>
      <c r="Y567" s="333"/>
      <c r="Z567" s="333"/>
    </row>
    <row r="568" spans="1:26" ht="15.6">
      <c r="A568" s="333"/>
      <c r="B568" s="348"/>
      <c r="C568" s="348"/>
      <c r="D568" s="348"/>
      <c r="E568" s="348"/>
      <c r="F568" s="348"/>
      <c r="G568" s="348"/>
      <c r="H568" s="348"/>
      <c r="I568" s="348"/>
      <c r="J568" s="348"/>
      <c r="K568" s="348"/>
      <c r="L568" s="333"/>
      <c r="M568" s="333"/>
      <c r="N568" s="333"/>
      <c r="O568" s="333"/>
      <c r="P568" s="333"/>
      <c r="Q568" s="333"/>
      <c r="R568" s="333"/>
      <c r="S568" s="333"/>
      <c r="T568" s="333"/>
      <c r="U568" s="333"/>
      <c r="V568" s="333"/>
      <c r="W568" s="333"/>
      <c r="X568" s="333"/>
      <c r="Y568" s="333"/>
      <c r="Z568" s="333"/>
    </row>
    <row r="569" spans="1:26" ht="15.6">
      <c r="A569" s="333"/>
      <c r="B569" s="348"/>
      <c r="C569" s="348"/>
      <c r="D569" s="348"/>
      <c r="E569" s="348"/>
      <c r="F569" s="348"/>
      <c r="G569" s="348"/>
      <c r="H569" s="348"/>
      <c r="I569" s="348"/>
      <c r="J569" s="348"/>
      <c r="K569" s="348"/>
      <c r="L569" s="333"/>
      <c r="M569" s="333"/>
      <c r="N569" s="333"/>
      <c r="O569" s="333"/>
      <c r="P569" s="333"/>
      <c r="Q569" s="333"/>
      <c r="R569" s="333"/>
      <c r="S569" s="333"/>
      <c r="T569" s="333"/>
      <c r="U569" s="333"/>
      <c r="V569" s="333"/>
      <c r="W569" s="333"/>
      <c r="X569" s="333"/>
      <c r="Y569" s="333"/>
      <c r="Z569" s="333"/>
    </row>
    <row r="570" spans="1:26" ht="15.6">
      <c r="A570" s="333"/>
      <c r="B570" s="348"/>
      <c r="C570" s="348"/>
      <c r="D570" s="348"/>
      <c r="E570" s="348"/>
      <c r="F570" s="348"/>
      <c r="G570" s="348"/>
      <c r="H570" s="348"/>
      <c r="I570" s="348"/>
      <c r="J570" s="348"/>
      <c r="K570" s="348"/>
      <c r="L570" s="333"/>
      <c r="M570" s="333"/>
      <c r="N570" s="333"/>
      <c r="O570" s="333"/>
      <c r="P570" s="333"/>
      <c r="Q570" s="333"/>
      <c r="R570" s="333"/>
      <c r="S570" s="333"/>
      <c r="T570" s="333"/>
      <c r="U570" s="333"/>
      <c r="V570" s="333"/>
      <c r="W570" s="333"/>
      <c r="X570" s="333"/>
      <c r="Y570" s="333"/>
      <c r="Z570" s="333"/>
    </row>
    <row r="571" spans="1:26" ht="15.6">
      <c r="A571" s="333"/>
      <c r="B571" s="348"/>
      <c r="C571" s="348"/>
      <c r="D571" s="348"/>
      <c r="E571" s="348"/>
      <c r="F571" s="348"/>
      <c r="G571" s="348"/>
      <c r="H571" s="348"/>
      <c r="I571" s="348"/>
      <c r="J571" s="348"/>
      <c r="K571" s="348"/>
      <c r="L571" s="333"/>
      <c r="M571" s="333"/>
      <c r="N571" s="333"/>
      <c r="O571" s="333"/>
      <c r="P571" s="333"/>
      <c r="Q571" s="333"/>
      <c r="R571" s="333"/>
      <c r="S571" s="333"/>
      <c r="T571" s="333"/>
      <c r="U571" s="333"/>
      <c r="V571" s="333"/>
      <c r="W571" s="333"/>
      <c r="X571" s="333"/>
      <c r="Y571" s="333"/>
      <c r="Z571" s="333"/>
    </row>
    <row r="572" spans="1:26" ht="15.6">
      <c r="A572" s="333"/>
      <c r="B572" s="348"/>
      <c r="C572" s="348"/>
      <c r="D572" s="348"/>
      <c r="E572" s="348"/>
      <c r="F572" s="348"/>
      <c r="G572" s="348"/>
      <c r="H572" s="348"/>
      <c r="I572" s="348"/>
      <c r="J572" s="348"/>
      <c r="K572" s="348"/>
      <c r="L572" s="333"/>
      <c r="M572" s="333"/>
      <c r="N572" s="333"/>
      <c r="O572" s="333"/>
      <c r="P572" s="333"/>
      <c r="Q572" s="333"/>
      <c r="R572" s="333"/>
      <c r="S572" s="333"/>
      <c r="T572" s="333"/>
      <c r="U572" s="333"/>
      <c r="V572" s="333"/>
      <c r="W572" s="333"/>
      <c r="X572" s="333"/>
      <c r="Y572" s="333"/>
      <c r="Z572" s="333"/>
    </row>
    <row r="573" spans="1:26" ht="15.6">
      <c r="A573" s="333"/>
      <c r="B573" s="348"/>
      <c r="C573" s="348"/>
      <c r="D573" s="348"/>
      <c r="E573" s="348"/>
      <c r="F573" s="348"/>
      <c r="G573" s="348"/>
      <c r="H573" s="348"/>
      <c r="I573" s="348"/>
      <c r="J573" s="348"/>
      <c r="K573" s="348"/>
      <c r="L573" s="333"/>
      <c r="M573" s="333"/>
      <c r="N573" s="333"/>
      <c r="O573" s="333"/>
      <c r="P573" s="333"/>
      <c r="Q573" s="333"/>
      <c r="R573" s="333"/>
      <c r="S573" s="333"/>
      <c r="T573" s="333"/>
      <c r="U573" s="333"/>
      <c r="V573" s="333"/>
      <c r="W573" s="333"/>
      <c r="X573" s="333"/>
      <c r="Y573" s="333"/>
      <c r="Z573" s="333"/>
    </row>
    <row r="574" spans="1:26" ht="15.6">
      <c r="A574" s="333"/>
      <c r="B574" s="348"/>
      <c r="C574" s="348"/>
      <c r="D574" s="348"/>
      <c r="E574" s="348"/>
      <c r="F574" s="348"/>
      <c r="G574" s="348"/>
      <c r="H574" s="348"/>
      <c r="I574" s="348"/>
      <c r="J574" s="348"/>
      <c r="K574" s="348"/>
      <c r="L574" s="333"/>
      <c r="M574" s="333"/>
      <c r="N574" s="333"/>
      <c r="O574" s="333"/>
      <c r="P574" s="333"/>
      <c r="Q574" s="333"/>
      <c r="R574" s="333"/>
      <c r="S574" s="333"/>
      <c r="T574" s="333"/>
      <c r="U574" s="333"/>
      <c r="V574" s="333"/>
      <c r="W574" s="333"/>
      <c r="X574" s="333"/>
      <c r="Y574" s="333"/>
      <c r="Z574" s="333"/>
    </row>
    <row r="575" spans="1:26" ht="15.6">
      <c r="A575" s="333"/>
      <c r="B575" s="348"/>
      <c r="C575" s="348"/>
      <c r="D575" s="348"/>
      <c r="E575" s="348"/>
      <c r="F575" s="348"/>
      <c r="G575" s="348"/>
      <c r="H575" s="348"/>
      <c r="I575" s="348"/>
      <c r="J575" s="348"/>
      <c r="K575" s="348"/>
      <c r="L575" s="333"/>
      <c r="M575" s="333"/>
      <c r="N575" s="333"/>
      <c r="O575" s="333"/>
      <c r="P575" s="333"/>
      <c r="Q575" s="333"/>
      <c r="R575" s="333"/>
      <c r="S575" s="333"/>
      <c r="T575" s="333"/>
      <c r="U575" s="333"/>
      <c r="V575" s="333"/>
      <c r="W575" s="333"/>
      <c r="X575" s="333"/>
      <c r="Y575" s="333"/>
      <c r="Z575" s="333"/>
    </row>
    <row r="576" spans="1:26" ht="15.6">
      <c r="A576" s="333"/>
      <c r="B576" s="348"/>
      <c r="C576" s="348"/>
      <c r="D576" s="348"/>
      <c r="E576" s="348"/>
      <c r="F576" s="348"/>
      <c r="G576" s="348"/>
      <c r="H576" s="348"/>
      <c r="I576" s="348"/>
      <c r="J576" s="348"/>
      <c r="K576" s="348"/>
      <c r="L576" s="333"/>
      <c r="M576" s="333"/>
      <c r="N576" s="333"/>
      <c r="O576" s="333"/>
      <c r="P576" s="333"/>
      <c r="Q576" s="333"/>
      <c r="R576" s="333"/>
      <c r="S576" s="333"/>
      <c r="T576" s="333"/>
      <c r="U576" s="333"/>
      <c r="V576" s="333"/>
      <c r="W576" s="333"/>
      <c r="X576" s="333"/>
      <c r="Y576" s="333"/>
      <c r="Z576" s="333"/>
    </row>
    <row r="577" spans="1:26" ht="15.6">
      <c r="A577" s="333"/>
      <c r="B577" s="348"/>
      <c r="C577" s="348"/>
      <c r="D577" s="348"/>
      <c r="E577" s="348"/>
      <c r="F577" s="348"/>
      <c r="G577" s="348"/>
      <c r="H577" s="348"/>
      <c r="I577" s="348"/>
      <c r="J577" s="348"/>
      <c r="K577" s="348"/>
      <c r="L577" s="333"/>
      <c r="M577" s="333"/>
      <c r="N577" s="333"/>
      <c r="O577" s="333"/>
      <c r="P577" s="333"/>
      <c r="Q577" s="333"/>
      <c r="R577" s="333"/>
      <c r="S577" s="333"/>
      <c r="T577" s="333"/>
      <c r="U577" s="333"/>
      <c r="V577" s="333"/>
      <c r="W577" s="333"/>
      <c r="X577" s="333"/>
      <c r="Y577" s="333"/>
      <c r="Z577" s="333"/>
    </row>
    <row r="578" spans="1:26" ht="15.6">
      <c r="A578" s="333"/>
      <c r="B578" s="348"/>
      <c r="C578" s="348"/>
      <c r="D578" s="348"/>
      <c r="E578" s="348"/>
      <c r="F578" s="348"/>
      <c r="G578" s="348"/>
      <c r="H578" s="348"/>
      <c r="I578" s="348"/>
      <c r="J578" s="348"/>
      <c r="K578" s="348"/>
      <c r="L578" s="333"/>
      <c r="M578" s="333"/>
      <c r="N578" s="333"/>
      <c r="O578" s="333"/>
      <c r="P578" s="333"/>
      <c r="Q578" s="333"/>
      <c r="R578" s="333"/>
      <c r="S578" s="333"/>
      <c r="T578" s="333"/>
      <c r="U578" s="333"/>
      <c r="V578" s="333"/>
      <c r="W578" s="333"/>
      <c r="X578" s="333"/>
      <c r="Y578" s="333"/>
      <c r="Z578" s="333"/>
    </row>
    <row r="579" spans="1:26" ht="15.6">
      <c r="A579" s="333"/>
      <c r="B579" s="348"/>
      <c r="C579" s="348"/>
      <c r="D579" s="348"/>
      <c r="E579" s="348"/>
      <c r="F579" s="348"/>
      <c r="G579" s="348"/>
      <c r="H579" s="348"/>
      <c r="I579" s="348"/>
      <c r="J579" s="348"/>
      <c r="K579" s="348"/>
      <c r="L579" s="333"/>
      <c r="M579" s="333"/>
      <c r="N579" s="333"/>
      <c r="O579" s="333"/>
      <c r="P579" s="333"/>
      <c r="Q579" s="333"/>
      <c r="R579" s="333"/>
      <c r="S579" s="333"/>
      <c r="T579" s="333"/>
      <c r="U579" s="333"/>
      <c r="V579" s="333"/>
      <c r="W579" s="333"/>
      <c r="X579" s="333"/>
      <c r="Y579" s="333"/>
      <c r="Z579" s="333"/>
    </row>
    <row r="580" spans="1:26" ht="15.6">
      <c r="A580" s="333"/>
      <c r="B580" s="348"/>
      <c r="C580" s="348"/>
      <c r="D580" s="348"/>
      <c r="E580" s="348"/>
      <c r="F580" s="348"/>
      <c r="G580" s="348"/>
      <c r="H580" s="348"/>
      <c r="I580" s="348"/>
      <c r="J580" s="348"/>
      <c r="K580" s="348"/>
      <c r="L580" s="333"/>
      <c r="M580" s="333"/>
      <c r="N580" s="333"/>
      <c r="O580" s="333"/>
      <c r="P580" s="333"/>
      <c r="Q580" s="333"/>
      <c r="R580" s="333"/>
      <c r="S580" s="333"/>
      <c r="T580" s="333"/>
      <c r="U580" s="333"/>
      <c r="V580" s="333"/>
      <c r="W580" s="333"/>
      <c r="X580" s="333"/>
      <c r="Y580" s="333"/>
      <c r="Z580" s="333"/>
    </row>
    <row r="581" spans="1:26" ht="15.6">
      <c r="A581" s="333"/>
      <c r="B581" s="348"/>
      <c r="C581" s="348"/>
      <c r="D581" s="348"/>
      <c r="E581" s="348"/>
      <c r="F581" s="348"/>
      <c r="G581" s="348"/>
      <c r="H581" s="348"/>
      <c r="I581" s="348"/>
      <c r="J581" s="348"/>
      <c r="K581" s="348"/>
      <c r="L581" s="333"/>
      <c r="M581" s="333"/>
      <c r="N581" s="333"/>
      <c r="O581" s="333"/>
      <c r="P581" s="333"/>
      <c r="Q581" s="333"/>
      <c r="R581" s="333"/>
      <c r="S581" s="333"/>
      <c r="T581" s="333"/>
      <c r="U581" s="333"/>
      <c r="V581" s="333"/>
      <c r="W581" s="333"/>
      <c r="X581" s="333"/>
      <c r="Y581" s="333"/>
      <c r="Z581" s="333"/>
    </row>
    <row r="582" spans="1:26" ht="15.6">
      <c r="A582" s="333"/>
      <c r="B582" s="348"/>
      <c r="C582" s="348"/>
      <c r="D582" s="348"/>
      <c r="E582" s="348"/>
      <c r="F582" s="348"/>
      <c r="G582" s="348"/>
      <c r="H582" s="348"/>
      <c r="I582" s="348"/>
      <c r="J582" s="348"/>
      <c r="K582" s="348"/>
      <c r="L582" s="333"/>
      <c r="M582" s="333"/>
      <c r="N582" s="333"/>
      <c r="O582" s="333"/>
      <c r="P582" s="333"/>
      <c r="Q582" s="333"/>
      <c r="R582" s="333"/>
      <c r="S582" s="333"/>
      <c r="T582" s="333"/>
      <c r="U582" s="333"/>
      <c r="V582" s="333"/>
      <c r="W582" s="333"/>
      <c r="X582" s="333"/>
      <c r="Y582" s="333"/>
      <c r="Z582" s="333"/>
    </row>
    <row r="583" spans="1:26" ht="15.6">
      <c r="A583" s="333"/>
      <c r="B583" s="348"/>
      <c r="C583" s="348"/>
      <c r="D583" s="348"/>
      <c r="E583" s="348"/>
      <c r="F583" s="348"/>
      <c r="G583" s="348"/>
      <c r="H583" s="348"/>
      <c r="I583" s="348"/>
      <c r="J583" s="348"/>
      <c r="K583" s="348"/>
      <c r="L583" s="333"/>
      <c r="M583" s="333"/>
      <c r="N583" s="333"/>
      <c r="O583" s="333"/>
      <c r="P583" s="333"/>
      <c r="Q583" s="333"/>
      <c r="R583" s="333"/>
      <c r="S583" s="333"/>
      <c r="T583" s="333"/>
      <c r="U583" s="333"/>
      <c r="V583" s="333"/>
      <c r="W583" s="333"/>
      <c r="X583" s="333"/>
      <c r="Y583" s="333"/>
      <c r="Z583" s="333"/>
    </row>
    <row r="584" spans="1:26" ht="15.6">
      <c r="A584" s="333"/>
      <c r="B584" s="348"/>
      <c r="C584" s="348"/>
      <c r="D584" s="348"/>
      <c r="E584" s="348"/>
      <c r="F584" s="348"/>
      <c r="G584" s="348"/>
      <c r="H584" s="348"/>
      <c r="I584" s="348"/>
      <c r="J584" s="348"/>
      <c r="K584" s="348"/>
      <c r="L584" s="333"/>
      <c r="M584" s="333"/>
      <c r="N584" s="333"/>
      <c r="O584" s="333"/>
      <c r="P584" s="333"/>
      <c r="Q584" s="333"/>
      <c r="R584" s="333"/>
      <c r="S584" s="333"/>
      <c r="T584" s="333"/>
      <c r="U584" s="333"/>
      <c r="V584" s="333"/>
      <c r="W584" s="333"/>
      <c r="X584" s="333"/>
      <c r="Y584" s="333"/>
      <c r="Z584" s="333"/>
    </row>
    <row r="585" spans="1:26" ht="15.6">
      <c r="A585" s="333"/>
      <c r="B585" s="348"/>
      <c r="C585" s="348"/>
      <c r="D585" s="348"/>
      <c r="E585" s="348"/>
      <c r="F585" s="348"/>
      <c r="G585" s="348"/>
      <c r="H585" s="348"/>
      <c r="I585" s="348"/>
      <c r="J585" s="348"/>
      <c r="K585" s="348"/>
      <c r="L585" s="333"/>
      <c r="M585" s="333"/>
      <c r="N585" s="333"/>
      <c r="O585" s="333"/>
      <c r="P585" s="333"/>
      <c r="Q585" s="333"/>
      <c r="R585" s="333"/>
      <c r="S585" s="333"/>
      <c r="T585" s="333"/>
      <c r="U585" s="333"/>
      <c r="V585" s="333"/>
      <c r="W585" s="333"/>
      <c r="X585" s="333"/>
      <c r="Y585" s="333"/>
      <c r="Z585" s="333"/>
    </row>
    <row r="586" spans="1:26" ht="15.6">
      <c r="A586" s="333"/>
      <c r="B586" s="348"/>
      <c r="C586" s="348"/>
      <c r="D586" s="348"/>
      <c r="E586" s="348"/>
      <c r="F586" s="348"/>
      <c r="G586" s="348"/>
      <c r="H586" s="348"/>
      <c r="I586" s="348"/>
      <c r="J586" s="348"/>
      <c r="K586" s="348"/>
      <c r="L586" s="333"/>
      <c r="M586" s="333"/>
      <c r="N586" s="333"/>
      <c r="O586" s="333"/>
      <c r="P586" s="333"/>
      <c r="Q586" s="333"/>
      <c r="R586" s="333"/>
      <c r="S586" s="333"/>
      <c r="T586" s="333"/>
      <c r="U586" s="333"/>
      <c r="V586" s="333"/>
      <c r="W586" s="333"/>
      <c r="X586" s="333"/>
      <c r="Y586" s="333"/>
      <c r="Z586" s="333"/>
    </row>
    <row r="587" spans="1:26" ht="15.6">
      <c r="A587" s="333"/>
      <c r="B587" s="348"/>
      <c r="C587" s="348"/>
      <c r="D587" s="348"/>
      <c r="E587" s="348"/>
      <c r="F587" s="348"/>
      <c r="G587" s="348"/>
      <c r="H587" s="348"/>
      <c r="I587" s="348"/>
      <c r="J587" s="348"/>
      <c r="K587" s="348"/>
      <c r="L587" s="333"/>
      <c r="M587" s="333"/>
      <c r="N587" s="333"/>
      <c r="O587" s="333"/>
      <c r="P587" s="333"/>
      <c r="Q587" s="333"/>
      <c r="R587" s="333"/>
      <c r="S587" s="333"/>
      <c r="T587" s="333"/>
      <c r="U587" s="333"/>
      <c r="V587" s="333"/>
      <c r="W587" s="333"/>
      <c r="X587" s="333"/>
      <c r="Y587" s="333"/>
      <c r="Z587" s="333"/>
    </row>
    <row r="588" spans="1:26" ht="15.6">
      <c r="A588" s="333"/>
      <c r="B588" s="348"/>
      <c r="C588" s="348"/>
      <c r="D588" s="348"/>
      <c r="E588" s="348"/>
      <c r="F588" s="348"/>
      <c r="G588" s="348"/>
      <c r="H588" s="348"/>
      <c r="I588" s="348"/>
      <c r="J588" s="348"/>
      <c r="K588" s="348"/>
      <c r="L588" s="333"/>
      <c r="M588" s="333"/>
      <c r="N588" s="333"/>
      <c r="O588" s="333"/>
      <c r="P588" s="333"/>
      <c r="Q588" s="333"/>
      <c r="R588" s="333"/>
      <c r="S588" s="333"/>
      <c r="T588" s="333"/>
      <c r="U588" s="333"/>
      <c r="V588" s="333"/>
      <c r="W588" s="333"/>
      <c r="X588" s="333"/>
      <c r="Y588" s="333"/>
      <c r="Z588" s="333"/>
    </row>
    <row r="589" spans="1:26" ht="15.6">
      <c r="A589" s="333"/>
      <c r="B589" s="348"/>
      <c r="C589" s="348"/>
      <c r="D589" s="348"/>
      <c r="E589" s="348"/>
      <c r="F589" s="348"/>
      <c r="G589" s="348"/>
      <c r="H589" s="348"/>
      <c r="I589" s="348"/>
      <c r="J589" s="348"/>
      <c r="K589" s="348"/>
      <c r="L589" s="333"/>
      <c r="M589" s="333"/>
      <c r="N589" s="333"/>
      <c r="O589" s="333"/>
      <c r="P589" s="333"/>
      <c r="Q589" s="333"/>
      <c r="R589" s="333"/>
      <c r="S589" s="333"/>
      <c r="T589" s="333"/>
      <c r="U589" s="333"/>
      <c r="V589" s="333"/>
      <c r="W589" s="333"/>
      <c r="X589" s="333"/>
      <c r="Y589" s="333"/>
      <c r="Z589" s="333"/>
    </row>
    <row r="590" spans="1:26" ht="15.6">
      <c r="A590" s="333"/>
      <c r="B590" s="348"/>
      <c r="C590" s="348"/>
      <c r="D590" s="348"/>
      <c r="E590" s="348"/>
      <c r="F590" s="348"/>
      <c r="G590" s="348"/>
      <c r="H590" s="348"/>
      <c r="I590" s="348"/>
      <c r="J590" s="348"/>
      <c r="K590" s="348"/>
      <c r="L590" s="333"/>
      <c r="M590" s="333"/>
      <c r="N590" s="333"/>
      <c r="O590" s="333"/>
      <c r="P590" s="333"/>
      <c r="Q590" s="333"/>
      <c r="R590" s="333"/>
      <c r="S590" s="333"/>
      <c r="T590" s="333"/>
      <c r="U590" s="333"/>
      <c r="V590" s="333"/>
      <c r="W590" s="333"/>
      <c r="X590" s="333"/>
      <c r="Y590" s="333"/>
      <c r="Z590" s="333"/>
    </row>
    <row r="591" spans="1:26" ht="15.6">
      <c r="A591" s="333"/>
      <c r="B591" s="348"/>
      <c r="C591" s="348"/>
      <c r="D591" s="348"/>
      <c r="E591" s="348"/>
      <c r="F591" s="348"/>
      <c r="G591" s="348"/>
      <c r="H591" s="348"/>
      <c r="I591" s="348"/>
      <c r="J591" s="348"/>
      <c r="K591" s="348"/>
      <c r="L591" s="333"/>
      <c r="M591" s="333"/>
      <c r="N591" s="333"/>
      <c r="O591" s="333"/>
      <c r="P591" s="333"/>
      <c r="Q591" s="333"/>
      <c r="R591" s="333"/>
      <c r="S591" s="333"/>
      <c r="T591" s="333"/>
      <c r="U591" s="333"/>
      <c r="V591" s="333"/>
      <c r="W591" s="333"/>
      <c r="X591" s="333"/>
      <c r="Y591" s="333"/>
      <c r="Z591" s="333"/>
    </row>
    <row r="592" spans="1:26" ht="15.6">
      <c r="A592" s="333"/>
      <c r="B592" s="348"/>
      <c r="C592" s="348"/>
      <c r="D592" s="348"/>
      <c r="E592" s="348"/>
      <c r="F592" s="348"/>
      <c r="G592" s="348"/>
      <c r="H592" s="348"/>
      <c r="I592" s="348"/>
      <c r="J592" s="348"/>
      <c r="K592" s="348"/>
      <c r="L592" s="333"/>
      <c r="M592" s="333"/>
      <c r="N592" s="333"/>
      <c r="O592" s="333"/>
      <c r="P592" s="333"/>
      <c r="Q592" s="333"/>
      <c r="R592" s="333"/>
      <c r="S592" s="333"/>
      <c r="T592" s="333"/>
      <c r="U592" s="333"/>
      <c r="V592" s="333"/>
      <c r="W592" s="333"/>
      <c r="X592" s="333"/>
      <c r="Y592" s="333"/>
      <c r="Z592" s="333"/>
    </row>
    <row r="593" spans="1:26" ht="15.6">
      <c r="A593" s="333"/>
      <c r="B593" s="348"/>
      <c r="C593" s="348"/>
      <c r="D593" s="348"/>
      <c r="E593" s="348"/>
      <c r="F593" s="348"/>
      <c r="G593" s="348"/>
      <c r="H593" s="348"/>
      <c r="I593" s="348"/>
      <c r="J593" s="348"/>
      <c r="K593" s="348"/>
      <c r="L593" s="333"/>
      <c r="M593" s="333"/>
      <c r="N593" s="333"/>
      <c r="O593" s="333"/>
      <c r="P593" s="333"/>
      <c r="Q593" s="333"/>
      <c r="R593" s="333"/>
      <c r="S593" s="333"/>
      <c r="T593" s="333"/>
      <c r="U593" s="333"/>
      <c r="V593" s="333"/>
      <c r="W593" s="333"/>
      <c r="X593" s="333"/>
      <c r="Y593" s="333"/>
      <c r="Z593" s="333"/>
    </row>
    <row r="594" spans="1:26" ht="15.6">
      <c r="A594" s="333"/>
      <c r="B594" s="348"/>
      <c r="C594" s="348"/>
      <c r="D594" s="348"/>
      <c r="E594" s="348"/>
      <c r="F594" s="348"/>
      <c r="G594" s="348"/>
      <c r="H594" s="348"/>
      <c r="I594" s="348"/>
      <c r="J594" s="348"/>
      <c r="K594" s="348"/>
      <c r="L594" s="333"/>
      <c r="M594" s="333"/>
      <c r="N594" s="333"/>
      <c r="O594" s="333"/>
      <c r="P594" s="333"/>
      <c r="Q594" s="333"/>
      <c r="R594" s="333"/>
      <c r="S594" s="333"/>
      <c r="T594" s="333"/>
      <c r="U594" s="333"/>
      <c r="V594" s="333"/>
      <c r="W594" s="333"/>
      <c r="X594" s="333"/>
      <c r="Y594" s="333"/>
      <c r="Z594" s="333"/>
    </row>
    <row r="595" spans="1:26" ht="15.6">
      <c r="A595" s="333"/>
      <c r="B595" s="348"/>
      <c r="C595" s="348"/>
      <c r="D595" s="348"/>
      <c r="E595" s="348"/>
      <c r="F595" s="348"/>
      <c r="G595" s="348"/>
      <c r="H595" s="348"/>
      <c r="I595" s="348"/>
      <c r="J595" s="348"/>
      <c r="K595" s="348"/>
      <c r="L595" s="333"/>
      <c r="M595" s="333"/>
      <c r="N595" s="333"/>
      <c r="O595" s="333"/>
      <c r="P595" s="333"/>
      <c r="Q595" s="333"/>
      <c r="R595" s="333"/>
      <c r="S595" s="333"/>
      <c r="T595" s="333"/>
      <c r="U595" s="333"/>
      <c r="V595" s="333"/>
      <c r="W595" s="333"/>
      <c r="X595" s="333"/>
      <c r="Y595" s="333"/>
      <c r="Z595" s="333"/>
    </row>
    <row r="596" spans="1:26" ht="15.6">
      <c r="A596" s="333"/>
      <c r="B596" s="348"/>
      <c r="C596" s="348"/>
      <c r="D596" s="348"/>
      <c r="E596" s="348"/>
      <c r="F596" s="348"/>
      <c r="G596" s="348"/>
      <c r="H596" s="348"/>
      <c r="I596" s="348"/>
      <c r="J596" s="348"/>
      <c r="K596" s="348"/>
      <c r="L596" s="333"/>
      <c r="M596" s="333"/>
      <c r="N596" s="333"/>
      <c r="O596" s="333"/>
      <c r="P596" s="333"/>
      <c r="Q596" s="333"/>
      <c r="R596" s="333"/>
      <c r="S596" s="333"/>
      <c r="T596" s="333"/>
      <c r="U596" s="333"/>
      <c r="V596" s="333"/>
      <c r="W596" s="333"/>
      <c r="X596" s="333"/>
      <c r="Y596" s="333"/>
      <c r="Z596" s="333"/>
    </row>
    <row r="597" spans="1:26" ht="15.6">
      <c r="A597" s="333"/>
      <c r="B597" s="348"/>
      <c r="C597" s="348"/>
      <c r="D597" s="348"/>
      <c r="E597" s="348"/>
      <c r="F597" s="348"/>
      <c r="G597" s="348"/>
      <c r="H597" s="348"/>
      <c r="I597" s="348"/>
      <c r="J597" s="348"/>
      <c r="K597" s="348"/>
      <c r="L597" s="333"/>
      <c r="M597" s="333"/>
      <c r="N597" s="333"/>
      <c r="O597" s="333"/>
      <c r="P597" s="333"/>
      <c r="Q597" s="333"/>
      <c r="R597" s="333"/>
      <c r="S597" s="333"/>
      <c r="T597" s="333"/>
      <c r="U597" s="333"/>
      <c r="V597" s="333"/>
      <c r="W597" s="333"/>
      <c r="X597" s="333"/>
      <c r="Y597" s="333"/>
      <c r="Z597" s="333"/>
    </row>
    <row r="598" spans="1:26" ht="15.6">
      <c r="A598" s="333"/>
      <c r="B598" s="348"/>
      <c r="C598" s="348"/>
      <c r="D598" s="348"/>
      <c r="E598" s="348"/>
      <c r="F598" s="348"/>
      <c r="G598" s="348"/>
      <c r="H598" s="348"/>
      <c r="I598" s="348"/>
      <c r="J598" s="348"/>
      <c r="K598" s="348"/>
      <c r="L598" s="333"/>
      <c r="M598" s="333"/>
      <c r="N598" s="333"/>
      <c r="O598" s="333"/>
      <c r="P598" s="333"/>
      <c r="Q598" s="333"/>
      <c r="R598" s="333"/>
      <c r="S598" s="333"/>
      <c r="T598" s="333"/>
      <c r="U598" s="333"/>
      <c r="V598" s="333"/>
      <c r="W598" s="333"/>
      <c r="X598" s="333"/>
      <c r="Y598" s="333"/>
      <c r="Z598" s="333"/>
    </row>
    <row r="599" spans="1:26" ht="15.6">
      <c r="A599" s="333"/>
      <c r="B599" s="348"/>
      <c r="C599" s="348"/>
      <c r="D599" s="348"/>
      <c r="E599" s="348"/>
      <c r="F599" s="348"/>
      <c r="G599" s="348"/>
      <c r="H599" s="348"/>
      <c r="I599" s="348"/>
      <c r="J599" s="348"/>
      <c r="K599" s="348"/>
      <c r="L599" s="333"/>
      <c r="M599" s="333"/>
      <c r="N599" s="333"/>
      <c r="O599" s="333"/>
      <c r="P599" s="333"/>
      <c r="Q599" s="333"/>
      <c r="R599" s="333"/>
      <c r="S599" s="333"/>
      <c r="T599" s="333"/>
      <c r="U599" s="333"/>
      <c r="V599" s="333"/>
      <c r="W599" s="333"/>
      <c r="X599" s="333"/>
      <c r="Y599" s="333"/>
      <c r="Z599" s="333"/>
    </row>
    <row r="600" spans="1:26" ht="15.6">
      <c r="A600" s="333"/>
      <c r="B600" s="348"/>
      <c r="C600" s="348"/>
      <c r="D600" s="348"/>
      <c r="E600" s="348"/>
      <c r="F600" s="348"/>
      <c r="G600" s="348"/>
      <c r="H600" s="348"/>
      <c r="I600" s="348"/>
      <c r="J600" s="348"/>
      <c r="K600" s="348"/>
      <c r="L600" s="333"/>
      <c r="M600" s="333"/>
      <c r="N600" s="333"/>
      <c r="O600" s="333"/>
      <c r="P600" s="333"/>
      <c r="Q600" s="333"/>
      <c r="R600" s="333"/>
      <c r="S600" s="333"/>
      <c r="T600" s="333"/>
      <c r="U600" s="333"/>
      <c r="V600" s="333"/>
      <c r="W600" s="333"/>
      <c r="X600" s="333"/>
      <c r="Y600" s="333"/>
      <c r="Z600" s="333"/>
    </row>
    <row r="601" spans="1:26" ht="15.6">
      <c r="A601" s="333"/>
      <c r="B601" s="348"/>
      <c r="C601" s="348"/>
      <c r="D601" s="348"/>
      <c r="E601" s="348"/>
      <c r="F601" s="348"/>
      <c r="G601" s="348"/>
      <c r="H601" s="348"/>
      <c r="I601" s="348"/>
      <c r="J601" s="348"/>
      <c r="K601" s="348"/>
      <c r="L601" s="333"/>
      <c r="M601" s="333"/>
      <c r="N601" s="333"/>
      <c r="O601" s="333"/>
      <c r="P601" s="333"/>
      <c r="Q601" s="333"/>
      <c r="R601" s="333"/>
      <c r="S601" s="333"/>
      <c r="T601" s="333"/>
      <c r="U601" s="333"/>
      <c r="V601" s="333"/>
      <c r="W601" s="333"/>
      <c r="X601" s="333"/>
      <c r="Y601" s="333"/>
      <c r="Z601" s="333"/>
    </row>
    <row r="602" spans="1:26" ht="15.6">
      <c r="A602" s="333"/>
      <c r="B602" s="348"/>
      <c r="C602" s="348"/>
      <c r="D602" s="348"/>
      <c r="E602" s="348"/>
      <c r="F602" s="348"/>
      <c r="G602" s="348"/>
      <c r="H602" s="348"/>
      <c r="I602" s="348"/>
      <c r="J602" s="348"/>
      <c r="K602" s="348"/>
      <c r="L602" s="333"/>
      <c r="M602" s="333"/>
      <c r="N602" s="333"/>
      <c r="O602" s="333"/>
      <c r="P602" s="333"/>
      <c r="Q602" s="333"/>
      <c r="R602" s="333"/>
      <c r="S602" s="333"/>
      <c r="T602" s="333"/>
      <c r="U602" s="333"/>
      <c r="V602" s="333"/>
      <c r="W602" s="333"/>
      <c r="X602" s="333"/>
      <c r="Y602" s="333"/>
      <c r="Z602" s="333"/>
    </row>
    <row r="603" spans="1:26" ht="15.6">
      <c r="A603" s="333"/>
      <c r="B603" s="348"/>
      <c r="C603" s="348"/>
      <c r="D603" s="348"/>
      <c r="E603" s="348"/>
      <c r="F603" s="348"/>
      <c r="G603" s="348"/>
      <c r="H603" s="348"/>
      <c r="I603" s="348"/>
      <c r="J603" s="348"/>
      <c r="K603" s="348"/>
      <c r="L603" s="333"/>
      <c r="M603" s="333"/>
      <c r="N603" s="333"/>
      <c r="O603" s="333"/>
      <c r="P603" s="333"/>
      <c r="Q603" s="333"/>
      <c r="R603" s="333"/>
      <c r="S603" s="333"/>
      <c r="T603" s="333"/>
      <c r="U603" s="333"/>
      <c r="V603" s="333"/>
      <c r="W603" s="333"/>
      <c r="X603" s="333"/>
      <c r="Y603" s="333"/>
      <c r="Z603" s="333"/>
    </row>
    <row r="604" spans="1:26" ht="15.6">
      <c r="A604" s="333"/>
      <c r="B604" s="348"/>
      <c r="C604" s="348"/>
      <c r="D604" s="348"/>
      <c r="E604" s="348"/>
      <c r="F604" s="348"/>
      <c r="G604" s="348"/>
      <c r="H604" s="348"/>
      <c r="I604" s="348"/>
      <c r="J604" s="348"/>
      <c r="K604" s="348"/>
      <c r="L604" s="333"/>
      <c r="M604" s="333"/>
      <c r="N604" s="333"/>
      <c r="O604" s="333"/>
      <c r="P604" s="333"/>
      <c r="Q604" s="333"/>
      <c r="R604" s="333"/>
      <c r="S604" s="333"/>
      <c r="T604" s="333"/>
      <c r="U604" s="333"/>
      <c r="V604" s="333"/>
      <c r="W604" s="333"/>
      <c r="X604" s="333"/>
      <c r="Y604" s="333"/>
      <c r="Z604" s="333"/>
    </row>
    <row r="605" spans="1:26" ht="15.6">
      <c r="A605" s="333"/>
      <c r="B605" s="348"/>
      <c r="C605" s="348"/>
      <c r="D605" s="348"/>
      <c r="E605" s="348"/>
      <c r="F605" s="348"/>
      <c r="G605" s="348"/>
      <c r="H605" s="348"/>
      <c r="I605" s="348"/>
      <c r="J605" s="348"/>
      <c r="K605" s="348"/>
      <c r="L605" s="333"/>
      <c r="M605" s="333"/>
      <c r="N605" s="333"/>
      <c r="O605" s="333"/>
      <c r="P605" s="333"/>
      <c r="Q605" s="333"/>
      <c r="R605" s="333"/>
      <c r="S605" s="333"/>
      <c r="T605" s="333"/>
      <c r="U605" s="333"/>
      <c r="V605" s="333"/>
      <c r="W605" s="333"/>
      <c r="X605" s="333"/>
      <c r="Y605" s="333"/>
      <c r="Z605" s="333"/>
    </row>
    <row r="606" spans="1:26" ht="15.6">
      <c r="A606" s="333"/>
      <c r="B606" s="348"/>
      <c r="C606" s="348"/>
      <c r="D606" s="348"/>
      <c r="E606" s="348"/>
      <c r="F606" s="348"/>
      <c r="G606" s="348"/>
      <c r="H606" s="348"/>
      <c r="I606" s="348"/>
      <c r="J606" s="348"/>
      <c r="K606" s="348"/>
      <c r="L606" s="333"/>
      <c r="M606" s="333"/>
      <c r="N606" s="333"/>
      <c r="O606" s="333"/>
      <c r="P606" s="333"/>
      <c r="Q606" s="333"/>
      <c r="R606" s="333"/>
      <c r="S606" s="333"/>
      <c r="T606" s="333"/>
      <c r="U606" s="333"/>
      <c r="V606" s="333"/>
      <c r="W606" s="333"/>
      <c r="X606" s="333"/>
      <c r="Y606" s="333"/>
      <c r="Z606" s="333"/>
    </row>
    <row r="607" spans="1:26" ht="15.6">
      <c r="A607" s="333"/>
      <c r="B607" s="348"/>
      <c r="C607" s="348"/>
      <c r="D607" s="348"/>
      <c r="E607" s="348"/>
      <c r="F607" s="348"/>
      <c r="G607" s="348"/>
      <c r="H607" s="348"/>
      <c r="I607" s="348"/>
      <c r="J607" s="348"/>
      <c r="K607" s="348"/>
      <c r="L607" s="333"/>
      <c r="M607" s="333"/>
      <c r="N607" s="333"/>
      <c r="O607" s="333"/>
      <c r="P607" s="333"/>
      <c r="Q607" s="333"/>
      <c r="R607" s="333"/>
      <c r="S607" s="333"/>
      <c r="T607" s="333"/>
      <c r="U607" s="333"/>
      <c r="V607" s="333"/>
      <c r="W607" s="333"/>
      <c r="X607" s="333"/>
      <c r="Y607" s="333"/>
      <c r="Z607" s="333"/>
    </row>
    <row r="608" spans="1:26" ht="15.6">
      <c r="A608" s="333"/>
      <c r="B608" s="348"/>
      <c r="C608" s="348"/>
      <c r="D608" s="348"/>
      <c r="E608" s="348"/>
      <c r="F608" s="348"/>
      <c r="G608" s="348"/>
      <c r="H608" s="348"/>
      <c r="I608" s="348"/>
      <c r="J608" s="348"/>
      <c r="K608" s="348"/>
      <c r="L608" s="333"/>
      <c r="M608" s="333"/>
      <c r="N608" s="333"/>
      <c r="O608" s="333"/>
      <c r="P608" s="333"/>
      <c r="Q608" s="333"/>
      <c r="R608" s="333"/>
      <c r="S608" s="333"/>
      <c r="T608" s="333"/>
      <c r="U608" s="333"/>
      <c r="V608" s="333"/>
      <c r="W608" s="333"/>
      <c r="X608" s="333"/>
      <c r="Y608" s="333"/>
      <c r="Z608" s="333"/>
    </row>
    <row r="609" spans="1:26" ht="15.6">
      <c r="A609" s="333"/>
      <c r="B609" s="348"/>
      <c r="C609" s="348"/>
      <c r="D609" s="348"/>
      <c r="E609" s="348"/>
      <c r="F609" s="348"/>
      <c r="G609" s="348"/>
      <c r="H609" s="348"/>
      <c r="I609" s="348"/>
      <c r="J609" s="348"/>
      <c r="K609" s="348"/>
      <c r="L609" s="333"/>
      <c r="M609" s="333"/>
      <c r="N609" s="333"/>
      <c r="O609" s="333"/>
      <c r="P609" s="333"/>
      <c r="Q609" s="333"/>
      <c r="R609" s="333"/>
      <c r="S609" s="333"/>
      <c r="T609" s="333"/>
      <c r="U609" s="333"/>
      <c r="V609" s="333"/>
      <c r="W609" s="333"/>
      <c r="X609" s="333"/>
      <c r="Y609" s="333"/>
      <c r="Z609" s="333"/>
    </row>
    <row r="610" spans="1:26" ht="15.6">
      <c r="A610" s="333"/>
      <c r="B610" s="348"/>
      <c r="C610" s="348"/>
      <c r="D610" s="348"/>
      <c r="E610" s="348"/>
      <c r="F610" s="348"/>
      <c r="G610" s="348"/>
      <c r="H610" s="348"/>
      <c r="I610" s="348"/>
      <c r="J610" s="348"/>
      <c r="K610" s="348"/>
      <c r="L610" s="333"/>
      <c r="M610" s="333"/>
      <c r="N610" s="333"/>
      <c r="O610" s="333"/>
      <c r="P610" s="333"/>
      <c r="Q610" s="333"/>
      <c r="R610" s="333"/>
      <c r="S610" s="333"/>
      <c r="T610" s="333"/>
      <c r="U610" s="333"/>
      <c r="V610" s="333"/>
      <c r="W610" s="333"/>
      <c r="X610" s="333"/>
      <c r="Y610" s="333"/>
      <c r="Z610" s="333"/>
    </row>
    <row r="611" spans="1:26" ht="15.6">
      <c r="A611" s="333"/>
      <c r="B611" s="348"/>
      <c r="C611" s="348"/>
      <c r="D611" s="348"/>
      <c r="E611" s="348"/>
      <c r="F611" s="348"/>
      <c r="G611" s="348"/>
      <c r="H611" s="348"/>
      <c r="I611" s="348"/>
      <c r="J611" s="348"/>
      <c r="K611" s="348"/>
      <c r="L611" s="333"/>
      <c r="M611" s="333"/>
      <c r="N611" s="333"/>
      <c r="O611" s="333"/>
      <c r="P611" s="333"/>
      <c r="Q611" s="333"/>
      <c r="R611" s="333"/>
      <c r="S611" s="333"/>
      <c r="T611" s="333"/>
      <c r="U611" s="333"/>
      <c r="V611" s="333"/>
      <c r="W611" s="333"/>
      <c r="X611" s="333"/>
      <c r="Y611" s="333"/>
      <c r="Z611" s="333"/>
    </row>
    <row r="612" spans="1:26" ht="15.6">
      <c r="A612" s="333"/>
      <c r="B612" s="348"/>
      <c r="C612" s="348"/>
      <c r="D612" s="348"/>
      <c r="E612" s="348"/>
      <c r="F612" s="348"/>
      <c r="G612" s="348"/>
      <c r="H612" s="348"/>
      <c r="I612" s="348"/>
      <c r="J612" s="348"/>
      <c r="K612" s="348"/>
      <c r="L612" s="333"/>
      <c r="M612" s="333"/>
      <c r="N612" s="333"/>
      <c r="O612" s="333"/>
      <c r="P612" s="333"/>
      <c r="Q612" s="333"/>
      <c r="R612" s="333"/>
      <c r="S612" s="333"/>
      <c r="T612" s="333"/>
      <c r="U612" s="333"/>
      <c r="V612" s="333"/>
      <c r="W612" s="333"/>
      <c r="X612" s="333"/>
      <c r="Y612" s="333"/>
      <c r="Z612" s="333"/>
    </row>
    <row r="613" spans="1:26" ht="15.6">
      <c r="A613" s="333"/>
      <c r="B613" s="348"/>
      <c r="C613" s="348"/>
      <c r="D613" s="348"/>
      <c r="E613" s="348"/>
      <c r="F613" s="348"/>
      <c r="G613" s="348"/>
      <c r="H613" s="348"/>
      <c r="I613" s="348"/>
      <c r="J613" s="348"/>
      <c r="K613" s="348"/>
      <c r="L613" s="333"/>
      <c r="M613" s="333"/>
      <c r="N613" s="333"/>
      <c r="O613" s="333"/>
      <c r="P613" s="333"/>
      <c r="Q613" s="333"/>
      <c r="R613" s="333"/>
      <c r="S613" s="333"/>
      <c r="T613" s="333"/>
      <c r="U613" s="333"/>
      <c r="V613" s="333"/>
      <c r="W613" s="333"/>
      <c r="X613" s="333"/>
      <c r="Y613" s="333"/>
      <c r="Z613" s="333"/>
    </row>
    <row r="614" spans="1:26" ht="15.6">
      <c r="A614" s="333"/>
      <c r="B614" s="348"/>
      <c r="C614" s="348"/>
      <c r="D614" s="348"/>
      <c r="E614" s="348"/>
      <c r="F614" s="348"/>
      <c r="G614" s="348"/>
      <c r="H614" s="348"/>
      <c r="I614" s="348"/>
      <c r="J614" s="348"/>
      <c r="K614" s="348"/>
      <c r="L614" s="333"/>
      <c r="M614" s="333"/>
      <c r="N614" s="333"/>
      <c r="O614" s="333"/>
      <c r="P614" s="333"/>
      <c r="Q614" s="333"/>
      <c r="R614" s="333"/>
      <c r="S614" s="333"/>
      <c r="T614" s="333"/>
      <c r="U614" s="333"/>
      <c r="V614" s="333"/>
      <c r="W614" s="333"/>
      <c r="X614" s="333"/>
      <c r="Y614" s="333"/>
      <c r="Z614" s="333"/>
    </row>
    <row r="615" spans="1:26" ht="15.6">
      <c r="A615" s="333"/>
      <c r="B615" s="348"/>
      <c r="C615" s="348"/>
      <c r="D615" s="348"/>
      <c r="E615" s="348"/>
      <c r="F615" s="348"/>
      <c r="G615" s="348"/>
      <c r="H615" s="348"/>
      <c r="I615" s="348"/>
      <c r="J615" s="348"/>
      <c r="K615" s="348"/>
      <c r="L615" s="333"/>
      <c r="M615" s="333"/>
      <c r="N615" s="333"/>
      <c r="O615" s="333"/>
      <c r="P615" s="333"/>
      <c r="Q615" s="333"/>
      <c r="R615" s="333"/>
      <c r="S615" s="333"/>
      <c r="T615" s="333"/>
      <c r="U615" s="333"/>
      <c r="V615" s="333"/>
      <c r="W615" s="333"/>
      <c r="X615" s="333"/>
      <c r="Y615" s="333"/>
      <c r="Z615" s="333"/>
    </row>
    <row r="616" spans="1:26" ht="15.6">
      <c r="A616" s="333"/>
      <c r="B616" s="348"/>
      <c r="C616" s="348"/>
      <c r="D616" s="348"/>
      <c r="E616" s="348"/>
      <c r="F616" s="348"/>
      <c r="G616" s="348"/>
      <c r="H616" s="348"/>
      <c r="I616" s="348"/>
      <c r="J616" s="348"/>
      <c r="K616" s="348"/>
      <c r="L616" s="333"/>
      <c r="M616" s="333"/>
      <c r="N616" s="333"/>
      <c r="O616" s="333"/>
      <c r="P616" s="333"/>
      <c r="Q616" s="333"/>
      <c r="R616" s="333"/>
      <c r="S616" s="333"/>
      <c r="T616" s="333"/>
      <c r="U616" s="333"/>
      <c r="V616" s="333"/>
      <c r="W616" s="333"/>
      <c r="X616" s="333"/>
      <c r="Y616" s="333"/>
      <c r="Z616" s="333"/>
    </row>
    <row r="617" spans="1:26" ht="15.6">
      <c r="A617" s="333"/>
      <c r="B617" s="348"/>
      <c r="C617" s="348"/>
      <c r="D617" s="348"/>
      <c r="E617" s="348"/>
      <c r="F617" s="348"/>
      <c r="G617" s="348"/>
      <c r="H617" s="348"/>
      <c r="I617" s="348"/>
      <c r="J617" s="348"/>
      <c r="K617" s="348"/>
      <c r="L617" s="333"/>
      <c r="M617" s="333"/>
      <c r="N617" s="333"/>
      <c r="O617" s="333"/>
      <c r="P617" s="333"/>
      <c r="Q617" s="333"/>
      <c r="R617" s="333"/>
      <c r="S617" s="333"/>
      <c r="T617" s="333"/>
      <c r="U617" s="333"/>
      <c r="V617" s="333"/>
      <c r="W617" s="333"/>
      <c r="X617" s="333"/>
      <c r="Y617" s="333"/>
      <c r="Z617" s="333"/>
    </row>
    <row r="618" spans="1:26" ht="15.6">
      <c r="A618" s="333"/>
      <c r="B618" s="348"/>
      <c r="C618" s="348"/>
      <c r="D618" s="348"/>
      <c r="E618" s="348"/>
      <c r="F618" s="348"/>
      <c r="G618" s="348"/>
      <c r="H618" s="348"/>
      <c r="I618" s="348"/>
      <c r="J618" s="348"/>
      <c r="K618" s="348"/>
      <c r="L618" s="333"/>
      <c r="M618" s="333"/>
      <c r="N618" s="333"/>
      <c r="O618" s="333"/>
      <c r="P618" s="333"/>
      <c r="Q618" s="333"/>
      <c r="R618" s="333"/>
      <c r="S618" s="333"/>
      <c r="T618" s="333"/>
      <c r="U618" s="333"/>
      <c r="V618" s="333"/>
      <c r="W618" s="333"/>
      <c r="X618" s="333"/>
      <c r="Y618" s="333"/>
      <c r="Z618" s="333"/>
    </row>
    <row r="619" spans="1:26" ht="15.6">
      <c r="A619" s="333"/>
      <c r="B619" s="348"/>
      <c r="C619" s="348"/>
      <c r="D619" s="348"/>
      <c r="E619" s="348"/>
      <c r="F619" s="348"/>
      <c r="G619" s="348"/>
      <c r="H619" s="348"/>
      <c r="I619" s="348"/>
      <c r="J619" s="348"/>
      <c r="K619" s="348"/>
      <c r="L619" s="333"/>
      <c r="M619" s="333"/>
      <c r="N619" s="333"/>
      <c r="O619" s="333"/>
      <c r="P619" s="333"/>
      <c r="Q619" s="333"/>
      <c r="R619" s="333"/>
      <c r="S619" s="333"/>
      <c r="T619" s="333"/>
      <c r="U619" s="333"/>
      <c r="V619" s="333"/>
      <c r="W619" s="333"/>
      <c r="X619" s="333"/>
      <c r="Y619" s="333"/>
      <c r="Z619" s="333"/>
    </row>
    <row r="620" spans="1:26" ht="15.6">
      <c r="A620" s="333"/>
      <c r="B620" s="348"/>
      <c r="C620" s="348"/>
      <c r="D620" s="348"/>
      <c r="E620" s="348"/>
      <c r="F620" s="348"/>
      <c r="G620" s="348"/>
      <c r="H620" s="348"/>
      <c r="I620" s="348"/>
      <c r="J620" s="348"/>
      <c r="K620" s="348"/>
      <c r="L620" s="333"/>
      <c r="M620" s="333"/>
      <c r="N620" s="333"/>
      <c r="O620" s="333"/>
      <c r="P620" s="333"/>
      <c r="Q620" s="333"/>
      <c r="R620" s="333"/>
      <c r="S620" s="333"/>
      <c r="T620" s="333"/>
      <c r="U620" s="333"/>
      <c r="V620" s="333"/>
      <c r="W620" s="333"/>
      <c r="X620" s="333"/>
      <c r="Y620" s="333"/>
      <c r="Z620" s="333"/>
    </row>
    <row r="621" spans="1:26" ht="15.6">
      <c r="A621" s="333"/>
      <c r="B621" s="348"/>
      <c r="C621" s="348"/>
      <c r="D621" s="348"/>
      <c r="E621" s="348"/>
      <c r="F621" s="348"/>
      <c r="G621" s="348"/>
      <c r="H621" s="348"/>
      <c r="I621" s="348"/>
      <c r="J621" s="348"/>
      <c r="K621" s="348"/>
      <c r="L621" s="333"/>
      <c r="M621" s="333"/>
      <c r="N621" s="333"/>
      <c r="O621" s="333"/>
      <c r="P621" s="333"/>
      <c r="Q621" s="333"/>
      <c r="R621" s="333"/>
      <c r="S621" s="333"/>
      <c r="T621" s="333"/>
      <c r="U621" s="333"/>
      <c r="V621" s="333"/>
      <c r="W621" s="333"/>
      <c r="X621" s="333"/>
      <c r="Y621" s="333"/>
      <c r="Z621" s="333"/>
    </row>
    <row r="622" spans="1:26" ht="15.6">
      <c r="A622" s="333"/>
      <c r="B622" s="348"/>
      <c r="C622" s="348"/>
      <c r="D622" s="348"/>
      <c r="E622" s="348"/>
      <c r="F622" s="348"/>
      <c r="G622" s="348"/>
      <c r="H622" s="348"/>
      <c r="I622" s="348"/>
      <c r="J622" s="348"/>
      <c r="K622" s="348"/>
      <c r="L622" s="333"/>
      <c r="M622" s="333"/>
      <c r="N622" s="333"/>
      <c r="O622" s="333"/>
      <c r="P622" s="333"/>
      <c r="Q622" s="333"/>
      <c r="R622" s="333"/>
      <c r="S622" s="333"/>
      <c r="T622" s="333"/>
      <c r="U622" s="333"/>
      <c r="V622" s="333"/>
      <c r="W622" s="333"/>
      <c r="X622" s="333"/>
      <c r="Y622" s="333"/>
      <c r="Z622" s="333"/>
    </row>
    <row r="623" spans="1:26" ht="15.6">
      <c r="A623" s="333"/>
      <c r="B623" s="348"/>
      <c r="C623" s="348"/>
      <c r="D623" s="348"/>
      <c r="E623" s="348"/>
      <c r="F623" s="348"/>
      <c r="G623" s="348"/>
      <c r="H623" s="348"/>
      <c r="I623" s="348"/>
      <c r="J623" s="348"/>
      <c r="K623" s="348"/>
      <c r="L623" s="333"/>
      <c r="M623" s="333"/>
      <c r="N623" s="333"/>
      <c r="O623" s="333"/>
      <c r="P623" s="333"/>
      <c r="Q623" s="333"/>
      <c r="R623" s="333"/>
      <c r="S623" s="333"/>
      <c r="T623" s="333"/>
      <c r="U623" s="333"/>
      <c r="V623" s="333"/>
      <c r="W623" s="333"/>
      <c r="X623" s="333"/>
      <c r="Y623" s="333"/>
      <c r="Z623" s="333"/>
    </row>
    <row r="624" spans="1:26" ht="15.6">
      <c r="A624" s="333"/>
      <c r="B624" s="348"/>
      <c r="C624" s="348"/>
      <c r="D624" s="348"/>
      <c r="E624" s="348"/>
      <c r="F624" s="348"/>
      <c r="G624" s="348"/>
      <c r="H624" s="348"/>
      <c r="I624" s="348"/>
      <c r="J624" s="348"/>
      <c r="K624" s="348"/>
      <c r="L624" s="333"/>
      <c r="M624" s="333"/>
      <c r="N624" s="333"/>
      <c r="O624" s="333"/>
      <c r="P624" s="333"/>
      <c r="Q624" s="333"/>
      <c r="R624" s="333"/>
      <c r="S624" s="333"/>
      <c r="T624" s="333"/>
      <c r="U624" s="333"/>
      <c r="V624" s="333"/>
      <c r="W624" s="333"/>
      <c r="X624" s="333"/>
      <c r="Y624" s="333"/>
      <c r="Z624" s="333"/>
    </row>
    <row r="625" spans="1:26" ht="15.6">
      <c r="A625" s="333"/>
      <c r="B625" s="348"/>
      <c r="C625" s="348"/>
      <c r="D625" s="348"/>
      <c r="E625" s="348"/>
      <c r="F625" s="348"/>
      <c r="G625" s="348"/>
      <c r="H625" s="348"/>
      <c r="I625" s="348"/>
      <c r="J625" s="348"/>
      <c r="K625" s="348"/>
      <c r="L625" s="333"/>
      <c r="M625" s="333"/>
      <c r="N625" s="333"/>
      <c r="O625" s="333"/>
      <c r="P625" s="333"/>
      <c r="Q625" s="333"/>
      <c r="R625" s="333"/>
      <c r="S625" s="333"/>
      <c r="T625" s="333"/>
      <c r="U625" s="333"/>
      <c r="V625" s="333"/>
      <c r="W625" s="333"/>
      <c r="X625" s="333"/>
      <c r="Y625" s="333"/>
      <c r="Z625" s="333"/>
    </row>
    <row r="626" spans="1:26" ht="15.6">
      <c r="A626" s="333"/>
      <c r="B626" s="348"/>
      <c r="C626" s="348"/>
      <c r="D626" s="348"/>
      <c r="E626" s="348"/>
      <c r="F626" s="348"/>
      <c r="G626" s="348"/>
      <c r="H626" s="348"/>
      <c r="I626" s="348"/>
      <c r="J626" s="348"/>
      <c r="K626" s="348"/>
      <c r="L626" s="333"/>
      <c r="M626" s="333"/>
      <c r="N626" s="333"/>
      <c r="O626" s="333"/>
      <c r="P626" s="333"/>
      <c r="Q626" s="333"/>
      <c r="R626" s="333"/>
      <c r="S626" s="333"/>
      <c r="T626" s="333"/>
      <c r="U626" s="333"/>
      <c r="V626" s="333"/>
      <c r="W626" s="333"/>
      <c r="X626" s="333"/>
      <c r="Y626" s="333"/>
      <c r="Z626" s="333"/>
    </row>
    <row r="627" spans="1:26" ht="15.6">
      <c r="A627" s="333"/>
      <c r="B627" s="348"/>
      <c r="C627" s="348"/>
      <c r="D627" s="348"/>
      <c r="E627" s="348"/>
      <c r="F627" s="348"/>
      <c r="G627" s="348"/>
      <c r="H627" s="348"/>
      <c r="I627" s="348"/>
      <c r="J627" s="348"/>
      <c r="K627" s="348"/>
      <c r="L627" s="333"/>
      <c r="M627" s="333"/>
      <c r="N627" s="333"/>
      <c r="O627" s="333"/>
      <c r="P627" s="333"/>
      <c r="Q627" s="333"/>
      <c r="R627" s="333"/>
      <c r="S627" s="333"/>
      <c r="T627" s="333"/>
      <c r="U627" s="333"/>
      <c r="V627" s="333"/>
      <c r="W627" s="333"/>
      <c r="X627" s="333"/>
      <c r="Y627" s="333"/>
      <c r="Z627" s="333"/>
    </row>
    <row r="628" spans="1:26" ht="15.6">
      <c r="A628" s="333"/>
      <c r="B628" s="348"/>
      <c r="C628" s="348"/>
      <c r="D628" s="348"/>
      <c r="E628" s="348"/>
      <c r="F628" s="348"/>
      <c r="G628" s="348"/>
      <c r="H628" s="348"/>
      <c r="I628" s="348"/>
      <c r="J628" s="348"/>
      <c r="K628" s="348"/>
      <c r="L628" s="333"/>
      <c r="M628" s="333"/>
      <c r="N628" s="333"/>
      <c r="O628" s="333"/>
      <c r="P628" s="333"/>
      <c r="Q628" s="333"/>
      <c r="R628" s="333"/>
      <c r="S628" s="333"/>
      <c r="T628" s="333"/>
      <c r="U628" s="333"/>
      <c r="V628" s="333"/>
      <c r="W628" s="333"/>
      <c r="X628" s="333"/>
      <c r="Y628" s="333"/>
      <c r="Z628" s="333"/>
    </row>
    <row r="629" spans="1:26" ht="15.6">
      <c r="A629" s="333"/>
      <c r="B629" s="348"/>
      <c r="C629" s="348"/>
      <c r="D629" s="348"/>
      <c r="E629" s="348"/>
      <c r="F629" s="348"/>
      <c r="G629" s="348"/>
      <c r="H629" s="348"/>
      <c r="I629" s="348"/>
      <c r="J629" s="348"/>
      <c r="K629" s="348"/>
      <c r="L629" s="333"/>
      <c r="M629" s="333"/>
      <c r="N629" s="333"/>
      <c r="O629" s="333"/>
      <c r="P629" s="333"/>
      <c r="Q629" s="333"/>
      <c r="R629" s="333"/>
      <c r="S629" s="333"/>
      <c r="T629" s="333"/>
      <c r="U629" s="333"/>
      <c r="V629" s="333"/>
      <c r="W629" s="333"/>
      <c r="X629" s="333"/>
      <c r="Y629" s="333"/>
      <c r="Z629" s="333"/>
    </row>
    <row r="630" spans="1:26" ht="15.6">
      <c r="A630" s="333"/>
      <c r="B630" s="348"/>
      <c r="C630" s="348"/>
      <c r="D630" s="348"/>
      <c r="E630" s="348"/>
      <c r="F630" s="348"/>
      <c r="G630" s="348"/>
      <c r="H630" s="348"/>
      <c r="I630" s="348"/>
      <c r="J630" s="348"/>
      <c r="K630" s="348"/>
      <c r="L630" s="333"/>
      <c r="M630" s="333"/>
      <c r="N630" s="333"/>
      <c r="O630" s="333"/>
      <c r="P630" s="333"/>
      <c r="Q630" s="333"/>
      <c r="R630" s="333"/>
      <c r="S630" s="333"/>
      <c r="T630" s="333"/>
      <c r="U630" s="333"/>
      <c r="V630" s="333"/>
      <c r="W630" s="333"/>
      <c r="X630" s="333"/>
      <c r="Y630" s="333"/>
      <c r="Z630" s="333"/>
    </row>
    <row r="631" spans="1:26" ht="15.6">
      <c r="A631" s="333"/>
      <c r="B631" s="348"/>
      <c r="C631" s="348"/>
      <c r="D631" s="348"/>
      <c r="E631" s="348"/>
      <c r="F631" s="348"/>
      <c r="G631" s="348"/>
      <c r="H631" s="348"/>
      <c r="I631" s="348"/>
      <c r="J631" s="348"/>
      <c r="K631" s="348"/>
      <c r="L631" s="333"/>
      <c r="M631" s="333"/>
      <c r="N631" s="333"/>
      <c r="O631" s="333"/>
      <c r="P631" s="333"/>
      <c r="Q631" s="333"/>
      <c r="R631" s="333"/>
      <c r="S631" s="333"/>
      <c r="T631" s="333"/>
      <c r="U631" s="333"/>
      <c r="V631" s="333"/>
      <c r="W631" s="333"/>
      <c r="X631" s="333"/>
      <c r="Y631" s="333"/>
      <c r="Z631" s="333"/>
    </row>
    <row r="632" spans="1:26" ht="15.6">
      <c r="A632" s="333"/>
      <c r="B632" s="348"/>
      <c r="C632" s="348"/>
      <c r="D632" s="348"/>
      <c r="E632" s="348"/>
      <c r="F632" s="348"/>
      <c r="G632" s="348"/>
      <c r="H632" s="348"/>
      <c r="I632" s="348"/>
      <c r="J632" s="348"/>
      <c r="K632" s="348"/>
      <c r="L632" s="333"/>
      <c r="M632" s="333"/>
      <c r="N632" s="333"/>
      <c r="O632" s="333"/>
      <c r="P632" s="333"/>
      <c r="Q632" s="333"/>
      <c r="R632" s="333"/>
      <c r="S632" s="333"/>
      <c r="T632" s="333"/>
      <c r="U632" s="333"/>
      <c r="V632" s="333"/>
      <c r="W632" s="333"/>
      <c r="X632" s="333"/>
      <c r="Y632" s="333"/>
      <c r="Z632" s="333"/>
    </row>
    <row r="633" spans="1:26" ht="15.6">
      <c r="A633" s="333"/>
      <c r="B633" s="348"/>
      <c r="C633" s="348"/>
      <c r="D633" s="348"/>
      <c r="E633" s="348"/>
      <c r="F633" s="348"/>
      <c r="G633" s="348"/>
      <c r="H633" s="348"/>
      <c r="I633" s="348"/>
      <c r="J633" s="348"/>
      <c r="K633" s="348"/>
      <c r="L633" s="333"/>
      <c r="M633" s="333"/>
      <c r="N633" s="333"/>
      <c r="O633" s="333"/>
      <c r="P633" s="333"/>
      <c r="Q633" s="333"/>
      <c r="R633" s="333"/>
      <c r="S633" s="333"/>
      <c r="T633" s="333"/>
      <c r="U633" s="333"/>
      <c r="V633" s="333"/>
      <c r="W633" s="333"/>
      <c r="X633" s="333"/>
      <c r="Y633" s="333"/>
      <c r="Z633" s="333"/>
    </row>
    <row r="634" spans="1:26" ht="15.6">
      <c r="A634" s="333"/>
      <c r="B634" s="348"/>
      <c r="C634" s="348"/>
      <c r="D634" s="348"/>
      <c r="E634" s="348"/>
      <c r="F634" s="348"/>
      <c r="G634" s="348"/>
      <c r="H634" s="348"/>
      <c r="I634" s="348"/>
      <c r="J634" s="348"/>
      <c r="K634" s="348"/>
      <c r="L634" s="333"/>
      <c r="M634" s="333"/>
      <c r="N634" s="333"/>
      <c r="O634" s="333"/>
      <c r="P634" s="333"/>
      <c r="Q634" s="333"/>
      <c r="R634" s="333"/>
      <c r="S634" s="333"/>
      <c r="T634" s="333"/>
      <c r="U634" s="333"/>
      <c r="V634" s="333"/>
      <c r="W634" s="333"/>
      <c r="X634" s="333"/>
      <c r="Y634" s="333"/>
      <c r="Z634" s="333"/>
    </row>
    <row r="635" spans="1:26" ht="15.6">
      <c r="A635" s="333"/>
      <c r="B635" s="348"/>
      <c r="C635" s="348"/>
      <c r="D635" s="348"/>
      <c r="E635" s="348"/>
      <c r="F635" s="348"/>
      <c r="G635" s="348"/>
      <c r="H635" s="348"/>
      <c r="I635" s="348"/>
      <c r="J635" s="348"/>
      <c r="K635" s="348"/>
      <c r="L635" s="333"/>
      <c r="M635" s="333"/>
      <c r="N635" s="333"/>
      <c r="O635" s="333"/>
      <c r="P635" s="333"/>
      <c r="Q635" s="333"/>
      <c r="R635" s="333"/>
      <c r="S635" s="333"/>
      <c r="T635" s="333"/>
      <c r="U635" s="333"/>
      <c r="V635" s="333"/>
      <c r="W635" s="333"/>
      <c r="X635" s="333"/>
      <c r="Y635" s="333"/>
      <c r="Z635" s="333"/>
    </row>
    <row r="636" spans="1:26" ht="15.6">
      <c r="A636" s="333"/>
      <c r="B636" s="348"/>
      <c r="C636" s="348"/>
      <c r="D636" s="348"/>
      <c r="E636" s="348"/>
      <c r="F636" s="348"/>
      <c r="G636" s="348"/>
      <c r="H636" s="348"/>
      <c r="I636" s="348"/>
      <c r="J636" s="348"/>
      <c r="K636" s="348"/>
      <c r="L636" s="333"/>
      <c r="M636" s="333"/>
      <c r="N636" s="333"/>
      <c r="O636" s="333"/>
      <c r="P636" s="333"/>
      <c r="Q636" s="333"/>
      <c r="R636" s="333"/>
      <c r="S636" s="333"/>
      <c r="T636" s="333"/>
      <c r="U636" s="333"/>
      <c r="V636" s="333"/>
      <c r="W636" s="333"/>
      <c r="X636" s="333"/>
      <c r="Y636" s="333"/>
      <c r="Z636" s="333"/>
    </row>
    <row r="637" spans="1:26" ht="15.6">
      <c r="A637" s="333"/>
      <c r="B637" s="348"/>
      <c r="C637" s="348"/>
      <c r="D637" s="348"/>
      <c r="E637" s="348"/>
      <c r="F637" s="348"/>
      <c r="G637" s="348"/>
      <c r="H637" s="348"/>
      <c r="I637" s="348"/>
      <c r="J637" s="348"/>
      <c r="K637" s="348"/>
      <c r="L637" s="333"/>
      <c r="M637" s="333"/>
      <c r="N637" s="333"/>
      <c r="O637" s="333"/>
      <c r="P637" s="333"/>
      <c r="Q637" s="333"/>
      <c r="R637" s="333"/>
      <c r="S637" s="333"/>
      <c r="T637" s="333"/>
      <c r="U637" s="333"/>
      <c r="V637" s="333"/>
      <c r="W637" s="333"/>
      <c r="X637" s="333"/>
      <c r="Y637" s="333"/>
      <c r="Z637" s="333"/>
    </row>
    <row r="638" spans="1:26" ht="15.6">
      <c r="A638" s="333"/>
      <c r="B638" s="348"/>
      <c r="C638" s="348"/>
      <c r="D638" s="348"/>
      <c r="E638" s="348"/>
      <c r="F638" s="348"/>
      <c r="G638" s="348"/>
      <c r="H638" s="348"/>
      <c r="I638" s="348"/>
      <c r="J638" s="348"/>
      <c r="K638" s="348"/>
      <c r="L638" s="333"/>
      <c r="M638" s="333"/>
      <c r="N638" s="333"/>
      <c r="O638" s="333"/>
      <c r="P638" s="333"/>
      <c r="Q638" s="333"/>
      <c r="R638" s="333"/>
      <c r="S638" s="333"/>
      <c r="T638" s="333"/>
      <c r="U638" s="333"/>
      <c r="V638" s="333"/>
      <c r="W638" s="333"/>
      <c r="X638" s="333"/>
      <c r="Y638" s="333"/>
      <c r="Z638" s="333"/>
    </row>
    <row r="639" spans="1:26" ht="15.6">
      <c r="A639" s="333"/>
      <c r="B639" s="348"/>
      <c r="C639" s="348"/>
      <c r="D639" s="348"/>
      <c r="E639" s="348"/>
      <c r="F639" s="348"/>
      <c r="G639" s="348"/>
      <c r="H639" s="348"/>
      <c r="I639" s="348"/>
      <c r="J639" s="348"/>
      <c r="K639" s="348"/>
      <c r="L639" s="333"/>
      <c r="M639" s="333"/>
      <c r="N639" s="333"/>
      <c r="O639" s="333"/>
      <c r="P639" s="333"/>
      <c r="Q639" s="333"/>
      <c r="R639" s="333"/>
      <c r="S639" s="333"/>
      <c r="T639" s="333"/>
      <c r="U639" s="333"/>
      <c r="V639" s="333"/>
      <c r="W639" s="333"/>
      <c r="X639" s="333"/>
      <c r="Y639" s="333"/>
      <c r="Z639" s="333"/>
    </row>
    <row r="640" spans="1:26" ht="15.6">
      <c r="A640" s="333"/>
      <c r="B640" s="348"/>
      <c r="C640" s="348"/>
      <c r="D640" s="348"/>
      <c r="E640" s="348"/>
      <c r="F640" s="348"/>
      <c r="G640" s="348"/>
      <c r="H640" s="348"/>
      <c r="I640" s="348"/>
      <c r="J640" s="348"/>
      <c r="K640" s="348"/>
      <c r="L640" s="333"/>
      <c r="M640" s="333"/>
      <c r="N640" s="333"/>
      <c r="O640" s="333"/>
      <c r="P640" s="333"/>
      <c r="Q640" s="333"/>
      <c r="R640" s="333"/>
      <c r="S640" s="333"/>
      <c r="T640" s="333"/>
      <c r="U640" s="333"/>
      <c r="V640" s="333"/>
      <c r="W640" s="333"/>
      <c r="X640" s="333"/>
      <c r="Y640" s="333"/>
      <c r="Z640" s="333"/>
    </row>
    <row r="641" spans="1:26" ht="15.6">
      <c r="A641" s="333"/>
      <c r="B641" s="348"/>
      <c r="C641" s="348"/>
      <c r="D641" s="348"/>
      <c r="E641" s="348"/>
      <c r="F641" s="348"/>
      <c r="G641" s="348"/>
      <c r="H641" s="348"/>
      <c r="I641" s="348"/>
      <c r="J641" s="348"/>
      <c r="K641" s="348"/>
      <c r="L641" s="333"/>
      <c r="M641" s="333"/>
      <c r="N641" s="333"/>
      <c r="O641" s="333"/>
      <c r="P641" s="333"/>
      <c r="Q641" s="333"/>
      <c r="R641" s="333"/>
      <c r="S641" s="333"/>
      <c r="T641" s="333"/>
      <c r="U641" s="333"/>
      <c r="V641" s="333"/>
      <c r="W641" s="333"/>
      <c r="X641" s="333"/>
      <c r="Y641" s="333"/>
      <c r="Z641" s="333"/>
    </row>
    <row r="642" spans="1:26" ht="15.6">
      <c r="A642" s="333"/>
      <c r="B642" s="348"/>
      <c r="C642" s="348"/>
      <c r="D642" s="348"/>
      <c r="E642" s="348"/>
      <c r="F642" s="348"/>
      <c r="G642" s="348"/>
      <c r="H642" s="348"/>
      <c r="I642" s="348"/>
      <c r="J642" s="348"/>
      <c r="K642" s="348"/>
      <c r="L642" s="333"/>
      <c r="M642" s="333"/>
      <c r="N642" s="333"/>
      <c r="O642" s="333"/>
      <c r="P642" s="333"/>
      <c r="Q642" s="333"/>
      <c r="R642" s="333"/>
      <c r="S642" s="333"/>
      <c r="T642" s="333"/>
      <c r="U642" s="333"/>
      <c r="V642" s="333"/>
      <c r="W642" s="333"/>
      <c r="X642" s="333"/>
      <c r="Y642" s="333"/>
      <c r="Z642" s="333"/>
    </row>
    <row r="643" spans="1:26" ht="15.6">
      <c r="A643" s="333"/>
      <c r="B643" s="348"/>
      <c r="C643" s="348"/>
      <c r="D643" s="348"/>
      <c r="E643" s="348"/>
      <c r="F643" s="348"/>
      <c r="G643" s="348"/>
      <c r="H643" s="348"/>
      <c r="I643" s="348"/>
      <c r="J643" s="348"/>
      <c r="K643" s="348"/>
      <c r="L643" s="333"/>
      <c r="M643" s="333"/>
      <c r="N643" s="333"/>
      <c r="O643" s="333"/>
      <c r="P643" s="333"/>
      <c r="Q643" s="333"/>
      <c r="R643" s="333"/>
      <c r="S643" s="333"/>
      <c r="T643" s="333"/>
      <c r="U643" s="333"/>
      <c r="V643" s="333"/>
      <c r="W643" s="333"/>
      <c r="X643" s="333"/>
      <c r="Y643" s="333"/>
      <c r="Z643" s="333"/>
    </row>
    <row r="644" spans="1:26" ht="15.6">
      <c r="A644" s="333"/>
      <c r="B644" s="348"/>
      <c r="C644" s="348"/>
      <c r="D644" s="348"/>
      <c r="E644" s="348"/>
      <c r="F644" s="348"/>
      <c r="G644" s="348"/>
      <c r="H644" s="348"/>
      <c r="I644" s="348"/>
      <c r="J644" s="348"/>
      <c r="K644" s="348"/>
      <c r="L644" s="333"/>
      <c r="M644" s="333"/>
      <c r="N644" s="333"/>
      <c r="O644" s="333"/>
      <c r="P644" s="333"/>
      <c r="Q644" s="333"/>
      <c r="R644" s="333"/>
      <c r="S644" s="333"/>
      <c r="T644" s="333"/>
      <c r="U644" s="333"/>
      <c r="V644" s="333"/>
      <c r="W644" s="333"/>
      <c r="X644" s="333"/>
      <c r="Y644" s="333"/>
      <c r="Z644" s="333"/>
    </row>
    <row r="645" spans="1:26" ht="15.6">
      <c r="A645" s="333"/>
      <c r="B645" s="348"/>
      <c r="C645" s="348"/>
      <c r="D645" s="348"/>
      <c r="E645" s="348"/>
      <c r="F645" s="348"/>
      <c r="G645" s="348"/>
      <c r="H645" s="348"/>
      <c r="I645" s="348"/>
      <c r="J645" s="348"/>
      <c r="K645" s="348"/>
      <c r="L645" s="333"/>
      <c r="M645" s="333"/>
      <c r="N645" s="333"/>
      <c r="O645" s="333"/>
      <c r="P645" s="333"/>
      <c r="Q645" s="333"/>
      <c r="R645" s="333"/>
      <c r="S645" s="333"/>
      <c r="T645" s="333"/>
      <c r="U645" s="333"/>
      <c r="V645" s="333"/>
      <c r="W645" s="333"/>
      <c r="X645" s="333"/>
      <c r="Y645" s="333"/>
      <c r="Z645" s="333"/>
    </row>
    <row r="646" spans="1:26" ht="15.6">
      <c r="A646" s="333"/>
      <c r="B646" s="348"/>
      <c r="C646" s="348"/>
      <c r="D646" s="348"/>
      <c r="E646" s="348"/>
      <c r="F646" s="348"/>
      <c r="G646" s="348"/>
      <c r="H646" s="348"/>
      <c r="I646" s="348"/>
      <c r="J646" s="348"/>
      <c r="K646" s="348"/>
      <c r="L646" s="333"/>
      <c r="M646" s="333"/>
      <c r="N646" s="333"/>
      <c r="O646" s="333"/>
      <c r="P646" s="333"/>
      <c r="Q646" s="333"/>
      <c r="R646" s="333"/>
      <c r="S646" s="333"/>
      <c r="T646" s="333"/>
      <c r="U646" s="333"/>
      <c r="V646" s="333"/>
      <c r="W646" s="333"/>
      <c r="X646" s="333"/>
      <c r="Y646" s="333"/>
      <c r="Z646" s="333"/>
    </row>
    <row r="647" spans="1:26" ht="15.6">
      <c r="A647" s="333"/>
      <c r="B647" s="348"/>
      <c r="C647" s="348"/>
      <c r="D647" s="348"/>
      <c r="E647" s="348"/>
      <c r="F647" s="348"/>
      <c r="G647" s="348"/>
      <c r="H647" s="348"/>
      <c r="I647" s="348"/>
      <c r="J647" s="348"/>
      <c r="K647" s="348"/>
      <c r="L647" s="333"/>
      <c r="M647" s="333"/>
      <c r="N647" s="333"/>
      <c r="O647" s="333"/>
      <c r="P647" s="333"/>
      <c r="Q647" s="333"/>
      <c r="R647" s="333"/>
      <c r="S647" s="333"/>
      <c r="T647" s="333"/>
      <c r="U647" s="333"/>
      <c r="V647" s="333"/>
      <c r="W647" s="333"/>
      <c r="X647" s="333"/>
      <c r="Y647" s="333"/>
      <c r="Z647" s="333"/>
    </row>
    <row r="648" spans="1:26" ht="15.6">
      <c r="A648" s="333"/>
      <c r="B648" s="348"/>
      <c r="C648" s="348"/>
      <c r="D648" s="348"/>
      <c r="E648" s="348"/>
      <c r="F648" s="348"/>
      <c r="G648" s="348"/>
      <c r="H648" s="348"/>
      <c r="I648" s="348"/>
      <c r="J648" s="348"/>
      <c r="K648" s="348"/>
      <c r="L648" s="333"/>
      <c r="M648" s="333"/>
      <c r="N648" s="333"/>
      <c r="O648" s="333"/>
      <c r="P648" s="333"/>
      <c r="Q648" s="333"/>
      <c r="R648" s="333"/>
      <c r="S648" s="333"/>
      <c r="T648" s="333"/>
      <c r="U648" s="333"/>
      <c r="V648" s="333"/>
      <c r="W648" s="333"/>
      <c r="X648" s="333"/>
      <c r="Y648" s="333"/>
      <c r="Z648" s="333"/>
    </row>
    <row r="649" spans="1:26" ht="15.6">
      <c r="A649" s="333"/>
      <c r="B649" s="348"/>
      <c r="C649" s="348"/>
      <c r="D649" s="348"/>
      <c r="E649" s="348"/>
      <c r="F649" s="348"/>
      <c r="G649" s="348"/>
      <c r="H649" s="348"/>
      <c r="I649" s="348"/>
      <c r="J649" s="348"/>
      <c r="K649" s="348"/>
      <c r="L649" s="333"/>
      <c r="M649" s="333"/>
      <c r="N649" s="333"/>
      <c r="O649" s="333"/>
      <c r="P649" s="333"/>
      <c r="Q649" s="333"/>
      <c r="R649" s="333"/>
      <c r="S649" s="333"/>
      <c r="T649" s="333"/>
      <c r="U649" s="333"/>
      <c r="V649" s="333"/>
      <c r="W649" s="333"/>
      <c r="X649" s="333"/>
      <c r="Y649" s="333"/>
      <c r="Z649" s="333"/>
    </row>
    <row r="650" spans="1:26" ht="15.6">
      <c r="A650" s="333"/>
      <c r="B650" s="348"/>
      <c r="C650" s="348"/>
      <c r="D650" s="348"/>
      <c r="E650" s="348"/>
      <c r="F650" s="348"/>
      <c r="G650" s="348"/>
      <c r="H650" s="348"/>
      <c r="I650" s="348"/>
      <c r="J650" s="348"/>
      <c r="K650" s="348"/>
      <c r="L650" s="333"/>
      <c r="M650" s="333"/>
      <c r="N650" s="333"/>
      <c r="O650" s="333"/>
      <c r="P650" s="333"/>
      <c r="Q650" s="333"/>
      <c r="R650" s="333"/>
      <c r="S650" s="333"/>
      <c r="T650" s="333"/>
      <c r="U650" s="333"/>
      <c r="V650" s="333"/>
      <c r="W650" s="333"/>
      <c r="X650" s="333"/>
      <c r="Y650" s="333"/>
      <c r="Z650" s="333"/>
    </row>
    <row r="651" spans="1:26" ht="15.6">
      <c r="A651" s="333"/>
      <c r="B651" s="348"/>
      <c r="C651" s="348"/>
      <c r="D651" s="348"/>
      <c r="E651" s="348"/>
      <c r="F651" s="348"/>
      <c r="G651" s="348"/>
      <c r="H651" s="348"/>
      <c r="I651" s="348"/>
      <c r="J651" s="348"/>
      <c r="K651" s="348"/>
      <c r="L651" s="333"/>
      <c r="M651" s="333"/>
      <c r="N651" s="333"/>
      <c r="O651" s="333"/>
      <c r="P651" s="333"/>
      <c r="Q651" s="333"/>
      <c r="R651" s="333"/>
      <c r="S651" s="333"/>
      <c r="T651" s="333"/>
      <c r="U651" s="333"/>
      <c r="V651" s="333"/>
      <c r="W651" s="333"/>
      <c r="X651" s="333"/>
      <c r="Y651" s="333"/>
      <c r="Z651" s="333"/>
    </row>
    <row r="652" spans="1:26" ht="15.6">
      <c r="A652" s="333"/>
      <c r="B652" s="348"/>
      <c r="C652" s="348"/>
      <c r="D652" s="348"/>
      <c r="E652" s="348"/>
      <c r="F652" s="348"/>
      <c r="G652" s="348"/>
      <c r="H652" s="348"/>
      <c r="I652" s="348"/>
      <c r="J652" s="348"/>
      <c r="K652" s="348"/>
      <c r="L652" s="333"/>
      <c r="M652" s="333"/>
      <c r="N652" s="333"/>
      <c r="O652" s="333"/>
      <c r="P652" s="333"/>
      <c r="Q652" s="333"/>
      <c r="R652" s="333"/>
      <c r="S652" s="333"/>
      <c r="T652" s="333"/>
      <c r="U652" s="333"/>
      <c r="V652" s="333"/>
      <c r="W652" s="333"/>
      <c r="X652" s="333"/>
      <c r="Y652" s="333"/>
      <c r="Z652" s="333"/>
    </row>
    <row r="653" spans="1:26" ht="15.6">
      <c r="A653" s="333"/>
      <c r="B653" s="348"/>
      <c r="C653" s="348"/>
      <c r="D653" s="348"/>
      <c r="E653" s="348"/>
      <c r="F653" s="348"/>
      <c r="G653" s="348"/>
      <c r="H653" s="348"/>
      <c r="I653" s="348"/>
      <c r="J653" s="348"/>
      <c r="K653" s="348"/>
      <c r="L653" s="333"/>
      <c r="M653" s="333"/>
      <c r="N653" s="333"/>
      <c r="O653" s="333"/>
      <c r="P653" s="333"/>
      <c r="Q653" s="333"/>
      <c r="R653" s="333"/>
      <c r="S653" s="333"/>
      <c r="T653" s="333"/>
      <c r="U653" s="333"/>
      <c r="V653" s="333"/>
      <c r="W653" s="333"/>
      <c r="X653" s="333"/>
      <c r="Y653" s="333"/>
      <c r="Z653" s="333"/>
    </row>
    <row r="654" spans="1:26" ht="15.6">
      <c r="A654" s="333"/>
      <c r="B654" s="348"/>
      <c r="C654" s="348"/>
      <c r="D654" s="348"/>
      <c r="E654" s="348"/>
      <c r="F654" s="348"/>
      <c r="G654" s="348"/>
      <c r="H654" s="348"/>
      <c r="I654" s="348"/>
      <c r="J654" s="348"/>
      <c r="K654" s="348"/>
      <c r="L654" s="333"/>
      <c r="M654" s="333"/>
      <c r="N654" s="333"/>
      <c r="O654" s="333"/>
      <c r="P654" s="333"/>
      <c r="Q654" s="333"/>
      <c r="R654" s="333"/>
      <c r="S654" s="333"/>
      <c r="T654" s="333"/>
      <c r="U654" s="333"/>
      <c r="V654" s="333"/>
      <c r="W654" s="333"/>
      <c r="X654" s="333"/>
      <c r="Y654" s="333"/>
      <c r="Z654" s="333"/>
    </row>
    <row r="655" spans="1:26" ht="15.6">
      <c r="A655" s="333"/>
      <c r="B655" s="348"/>
      <c r="C655" s="348"/>
      <c r="D655" s="348"/>
      <c r="E655" s="348"/>
      <c r="F655" s="348"/>
      <c r="G655" s="348"/>
      <c r="H655" s="348"/>
      <c r="I655" s="348"/>
      <c r="J655" s="348"/>
      <c r="K655" s="348"/>
      <c r="L655" s="333"/>
      <c r="M655" s="333"/>
      <c r="N655" s="333"/>
      <c r="O655" s="333"/>
      <c r="P655" s="333"/>
      <c r="Q655" s="333"/>
      <c r="R655" s="333"/>
      <c r="S655" s="333"/>
      <c r="T655" s="333"/>
      <c r="U655" s="333"/>
      <c r="V655" s="333"/>
      <c r="W655" s="333"/>
      <c r="X655" s="333"/>
      <c r="Y655" s="333"/>
      <c r="Z655" s="333"/>
    </row>
    <row r="656" spans="1:26" ht="15.6">
      <c r="A656" s="333"/>
      <c r="B656" s="348"/>
      <c r="C656" s="348"/>
      <c r="D656" s="348"/>
      <c r="E656" s="348"/>
      <c r="F656" s="348"/>
      <c r="G656" s="348"/>
      <c r="H656" s="348"/>
      <c r="I656" s="348"/>
      <c r="J656" s="348"/>
      <c r="K656" s="348"/>
      <c r="L656" s="333"/>
      <c r="M656" s="333"/>
      <c r="N656" s="333"/>
      <c r="O656" s="333"/>
      <c r="P656" s="333"/>
      <c r="Q656" s="333"/>
      <c r="R656" s="333"/>
      <c r="S656" s="333"/>
      <c r="T656" s="333"/>
      <c r="U656" s="333"/>
      <c r="V656" s="333"/>
      <c r="W656" s="333"/>
      <c r="X656" s="333"/>
      <c r="Y656" s="333"/>
      <c r="Z656" s="333"/>
    </row>
    <row r="657" spans="1:26" ht="15.6">
      <c r="A657" s="333"/>
      <c r="B657" s="348"/>
      <c r="C657" s="348"/>
      <c r="D657" s="348"/>
      <c r="E657" s="348"/>
      <c r="F657" s="348"/>
      <c r="G657" s="348"/>
      <c r="H657" s="348"/>
      <c r="I657" s="348"/>
      <c r="J657" s="348"/>
      <c r="K657" s="348"/>
      <c r="L657" s="333"/>
      <c r="M657" s="333"/>
      <c r="N657" s="333"/>
      <c r="O657" s="333"/>
      <c r="P657" s="333"/>
      <c r="Q657" s="333"/>
      <c r="R657" s="333"/>
      <c r="S657" s="333"/>
      <c r="T657" s="333"/>
      <c r="U657" s="333"/>
      <c r="V657" s="333"/>
      <c r="W657" s="333"/>
      <c r="X657" s="333"/>
      <c r="Y657" s="333"/>
      <c r="Z657" s="333"/>
    </row>
    <row r="658" spans="1:26" ht="15.6">
      <c r="A658" s="333"/>
      <c r="B658" s="348"/>
      <c r="C658" s="348"/>
      <c r="D658" s="348"/>
      <c r="E658" s="348"/>
      <c r="F658" s="348"/>
      <c r="G658" s="348"/>
      <c r="H658" s="348"/>
      <c r="I658" s="348"/>
      <c r="J658" s="348"/>
      <c r="K658" s="348"/>
      <c r="L658" s="333"/>
      <c r="M658" s="333"/>
      <c r="N658" s="333"/>
      <c r="O658" s="333"/>
      <c r="P658" s="333"/>
      <c r="Q658" s="333"/>
      <c r="R658" s="333"/>
      <c r="S658" s="333"/>
      <c r="T658" s="333"/>
      <c r="U658" s="333"/>
      <c r="V658" s="333"/>
      <c r="W658" s="333"/>
      <c r="X658" s="333"/>
      <c r="Y658" s="333"/>
      <c r="Z658" s="333"/>
    </row>
    <row r="659" spans="1:26" ht="15.6">
      <c r="A659" s="333"/>
      <c r="B659" s="348"/>
      <c r="C659" s="348"/>
      <c r="D659" s="348"/>
      <c r="E659" s="348"/>
      <c r="F659" s="348"/>
      <c r="G659" s="348"/>
      <c r="H659" s="348"/>
      <c r="I659" s="348"/>
      <c r="J659" s="348"/>
      <c r="K659" s="348"/>
      <c r="L659" s="333"/>
      <c r="M659" s="333"/>
      <c r="N659" s="333"/>
      <c r="O659" s="333"/>
      <c r="P659" s="333"/>
      <c r="Q659" s="333"/>
      <c r="R659" s="333"/>
      <c r="S659" s="333"/>
      <c r="T659" s="333"/>
      <c r="U659" s="333"/>
      <c r="V659" s="333"/>
      <c r="W659" s="333"/>
      <c r="X659" s="333"/>
      <c r="Y659" s="333"/>
      <c r="Z659" s="333"/>
    </row>
    <row r="660" spans="1:26" ht="15.6">
      <c r="A660" s="333"/>
      <c r="B660" s="348"/>
      <c r="C660" s="348"/>
      <c r="D660" s="348"/>
      <c r="E660" s="348"/>
      <c r="F660" s="348"/>
      <c r="G660" s="348"/>
      <c r="H660" s="348"/>
      <c r="I660" s="348"/>
      <c r="J660" s="348"/>
      <c r="K660" s="348"/>
      <c r="L660" s="333"/>
      <c r="M660" s="333"/>
      <c r="N660" s="333"/>
      <c r="O660" s="333"/>
      <c r="P660" s="333"/>
      <c r="Q660" s="333"/>
      <c r="R660" s="333"/>
      <c r="S660" s="333"/>
      <c r="T660" s="333"/>
      <c r="U660" s="333"/>
      <c r="V660" s="333"/>
      <c r="W660" s="333"/>
      <c r="X660" s="333"/>
      <c r="Y660" s="333"/>
      <c r="Z660" s="333"/>
    </row>
    <row r="661" spans="1:26" ht="15.6">
      <c r="A661" s="333"/>
      <c r="B661" s="348"/>
      <c r="C661" s="348"/>
      <c r="D661" s="348"/>
      <c r="E661" s="348"/>
      <c r="F661" s="348"/>
      <c r="G661" s="348"/>
      <c r="H661" s="348"/>
      <c r="I661" s="348"/>
      <c r="J661" s="348"/>
      <c r="K661" s="348"/>
      <c r="L661" s="333"/>
      <c r="M661" s="333"/>
      <c r="N661" s="333"/>
      <c r="O661" s="333"/>
      <c r="P661" s="333"/>
      <c r="Q661" s="333"/>
      <c r="R661" s="333"/>
      <c r="S661" s="333"/>
      <c r="T661" s="333"/>
      <c r="U661" s="333"/>
      <c r="V661" s="333"/>
      <c r="W661" s="333"/>
      <c r="X661" s="333"/>
      <c r="Y661" s="333"/>
      <c r="Z661" s="333"/>
    </row>
    <row r="662" spans="1:26" ht="15.6">
      <c r="A662" s="333"/>
      <c r="B662" s="348"/>
      <c r="C662" s="348"/>
      <c r="D662" s="348"/>
      <c r="E662" s="348"/>
      <c r="F662" s="348"/>
      <c r="G662" s="348"/>
      <c r="H662" s="348"/>
      <c r="I662" s="348"/>
      <c r="J662" s="348"/>
      <c r="K662" s="348"/>
      <c r="L662" s="333"/>
      <c r="M662" s="333"/>
      <c r="N662" s="333"/>
      <c r="O662" s="333"/>
      <c r="P662" s="333"/>
      <c r="Q662" s="333"/>
      <c r="R662" s="333"/>
      <c r="S662" s="333"/>
      <c r="T662" s="333"/>
      <c r="U662" s="333"/>
      <c r="V662" s="333"/>
      <c r="W662" s="333"/>
      <c r="X662" s="333"/>
      <c r="Y662" s="333"/>
      <c r="Z662" s="333"/>
    </row>
    <row r="663" spans="1:26" ht="15.6">
      <c r="A663" s="333"/>
      <c r="B663" s="348"/>
      <c r="C663" s="348"/>
      <c r="D663" s="348"/>
      <c r="E663" s="348"/>
      <c r="F663" s="348"/>
      <c r="G663" s="348"/>
      <c r="H663" s="348"/>
      <c r="I663" s="348"/>
      <c r="J663" s="348"/>
      <c r="K663" s="348"/>
      <c r="L663" s="333"/>
      <c r="M663" s="333"/>
      <c r="N663" s="333"/>
      <c r="O663" s="333"/>
      <c r="P663" s="333"/>
      <c r="Q663" s="333"/>
      <c r="R663" s="333"/>
      <c r="S663" s="333"/>
      <c r="T663" s="333"/>
      <c r="U663" s="333"/>
      <c r="V663" s="333"/>
      <c r="W663" s="333"/>
      <c r="X663" s="333"/>
      <c r="Y663" s="333"/>
      <c r="Z663" s="333"/>
    </row>
    <row r="664" spans="1:26" ht="15.6">
      <c r="A664" s="333"/>
      <c r="B664" s="348"/>
      <c r="C664" s="348"/>
      <c r="D664" s="348"/>
      <c r="E664" s="348"/>
      <c r="F664" s="348"/>
      <c r="G664" s="348"/>
      <c r="H664" s="348"/>
      <c r="I664" s="348"/>
      <c r="J664" s="348"/>
      <c r="K664" s="348"/>
      <c r="L664" s="333"/>
      <c r="M664" s="333"/>
      <c r="N664" s="333"/>
      <c r="O664" s="333"/>
      <c r="P664" s="333"/>
      <c r="Q664" s="333"/>
      <c r="R664" s="333"/>
      <c r="S664" s="333"/>
      <c r="T664" s="333"/>
      <c r="U664" s="333"/>
      <c r="V664" s="333"/>
      <c r="W664" s="333"/>
      <c r="X664" s="333"/>
      <c r="Y664" s="333"/>
      <c r="Z664" s="333"/>
    </row>
    <row r="665" spans="1:26" ht="15.6">
      <c r="A665" s="333"/>
      <c r="B665" s="348"/>
      <c r="C665" s="348"/>
      <c r="D665" s="348"/>
      <c r="E665" s="348"/>
      <c r="F665" s="348"/>
      <c r="G665" s="348"/>
      <c r="H665" s="348"/>
      <c r="I665" s="348"/>
      <c r="J665" s="348"/>
      <c r="K665" s="348"/>
      <c r="L665" s="333"/>
      <c r="M665" s="333"/>
      <c r="N665" s="333"/>
      <c r="O665" s="333"/>
      <c r="P665" s="333"/>
      <c r="Q665" s="333"/>
      <c r="R665" s="333"/>
      <c r="S665" s="333"/>
      <c r="T665" s="333"/>
      <c r="U665" s="333"/>
      <c r="V665" s="333"/>
      <c r="W665" s="333"/>
      <c r="X665" s="333"/>
      <c r="Y665" s="333"/>
      <c r="Z665" s="333"/>
    </row>
    <row r="666" spans="1:26" ht="15.6">
      <c r="A666" s="333"/>
      <c r="B666" s="348"/>
      <c r="C666" s="348"/>
      <c r="D666" s="348"/>
      <c r="E666" s="348"/>
      <c r="F666" s="348"/>
      <c r="G666" s="348"/>
      <c r="H666" s="348"/>
      <c r="I666" s="348"/>
      <c r="J666" s="348"/>
      <c r="K666" s="348"/>
      <c r="L666" s="333"/>
      <c r="M666" s="333"/>
      <c r="N666" s="333"/>
      <c r="O666" s="333"/>
      <c r="P666" s="333"/>
      <c r="Q666" s="333"/>
      <c r="R666" s="333"/>
      <c r="S666" s="333"/>
      <c r="T666" s="333"/>
      <c r="U666" s="333"/>
      <c r="V666" s="333"/>
      <c r="W666" s="333"/>
      <c r="X666" s="333"/>
      <c r="Y666" s="333"/>
      <c r="Z666" s="333"/>
    </row>
    <row r="667" spans="1:26" ht="15.6">
      <c r="A667" s="333"/>
      <c r="B667" s="348"/>
      <c r="C667" s="348"/>
      <c r="D667" s="348"/>
      <c r="E667" s="348"/>
      <c r="F667" s="348"/>
      <c r="G667" s="348"/>
      <c r="H667" s="348"/>
      <c r="I667" s="348"/>
      <c r="J667" s="348"/>
      <c r="K667" s="348"/>
      <c r="L667" s="333"/>
      <c r="M667" s="333"/>
      <c r="N667" s="333"/>
      <c r="O667" s="333"/>
      <c r="P667" s="333"/>
      <c r="Q667" s="333"/>
      <c r="R667" s="333"/>
      <c r="S667" s="333"/>
      <c r="T667" s="333"/>
      <c r="U667" s="333"/>
      <c r="V667" s="333"/>
      <c r="W667" s="333"/>
      <c r="X667" s="333"/>
      <c r="Y667" s="333"/>
      <c r="Z667" s="333"/>
    </row>
    <row r="668" spans="1:26" ht="15.6">
      <c r="A668" s="333"/>
      <c r="B668" s="348"/>
      <c r="C668" s="348"/>
      <c r="D668" s="348"/>
      <c r="E668" s="348"/>
      <c r="F668" s="348"/>
      <c r="G668" s="348"/>
      <c r="H668" s="348"/>
      <c r="I668" s="348"/>
      <c r="J668" s="348"/>
      <c r="K668" s="348"/>
      <c r="L668" s="333"/>
      <c r="M668" s="333"/>
      <c r="N668" s="333"/>
      <c r="O668" s="333"/>
      <c r="P668" s="333"/>
      <c r="Q668" s="333"/>
      <c r="R668" s="333"/>
      <c r="S668" s="333"/>
      <c r="T668" s="333"/>
      <c r="U668" s="333"/>
      <c r="V668" s="333"/>
      <c r="W668" s="333"/>
      <c r="X668" s="333"/>
      <c r="Y668" s="333"/>
      <c r="Z668" s="333"/>
    </row>
    <row r="669" spans="1:26" ht="15.6">
      <c r="A669" s="333"/>
      <c r="B669" s="348"/>
      <c r="C669" s="348"/>
      <c r="D669" s="348"/>
      <c r="E669" s="348"/>
      <c r="F669" s="348"/>
      <c r="G669" s="348"/>
      <c r="H669" s="348"/>
      <c r="I669" s="348"/>
      <c r="J669" s="348"/>
      <c r="K669" s="348"/>
      <c r="L669" s="333"/>
      <c r="M669" s="333"/>
      <c r="N669" s="333"/>
      <c r="O669" s="333"/>
      <c r="P669" s="333"/>
      <c r="Q669" s="333"/>
      <c r="R669" s="333"/>
      <c r="S669" s="333"/>
      <c r="T669" s="333"/>
      <c r="U669" s="333"/>
      <c r="V669" s="333"/>
      <c r="W669" s="333"/>
      <c r="X669" s="333"/>
      <c r="Y669" s="333"/>
      <c r="Z669" s="333"/>
    </row>
    <row r="670" spans="1:26" ht="15.6">
      <c r="A670" s="333"/>
      <c r="B670" s="348"/>
      <c r="C670" s="348"/>
      <c r="D670" s="348"/>
      <c r="E670" s="348"/>
      <c r="F670" s="348"/>
      <c r="G670" s="348"/>
      <c r="H670" s="348"/>
      <c r="I670" s="348"/>
      <c r="J670" s="348"/>
      <c r="K670" s="348"/>
      <c r="L670" s="333"/>
      <c r="M670" s="333"/>
      <c r="N670" s="333"/>
      <c r="O670" s="333"/>
      <c r="P670" s="333"/>
      <c r="Q670" s="333"/>
      <c r="R670" s="333"/>
      <c r="S670" s="333"/>
      <c r="T670" s="333"/>
      <c r="U670" s="333"/>
      <c r="V670" s="333"/>
      <c r="W670" s="333"/>
      <c r="X670" s="333"/>
      <c r="Y670" s="333"/>
      <c r="Z670" s="333"/>
    </row>
    <row r="671" spans="1:26" ht="15.6">
      <c r="A671" s="333"/>
      <c r="B671" s="348"/>
      <c r="C671" s="348"/>
      <c r="D671" s="348"/>
      <c r="E671" s="348"/>
      <c r="F671" s="348"/>
      <c r="G671" s="348"/>
      <c r="H671" s="348"/>
      <c r="I671" s="348"/>
      <c r="J671" s="348"/>
      <c r="K671" s="348"/>
      <c r="L671" s="333"/>
      <c r="M671" s="333"/>
      <c r="N671" s="333"/>
      <c r="O671" s="333"/>
      <c r="P671" s="333"/>
      <c r="Q671" s="333"/>
      <c r="R671" s="333"/>
      <c r="S671" s="333"/>
      <c r="T671" s="333"/>
      <c r="U671" s="333"/>
      <c r="V671" s="333"/>
      <c r="W671" s="333"/>
      <c r="X671" s="333"/>
      <c r="Y671" s="333"/>
      <c r="Z671" s="333"/>
    </row>
    <row r="672" spans="1:26" ht="15.6">
      <c r="A672" s="333"/>
      <c r="B672" s="348"/>
      <c r="C672" s="348"/>
      <c r="D672" s="348"/>
      <c r="E672" s="348"/>
      <c r="F672" s="348"/>
      <c r="G672" s="348"/>
      <c r="H672" s="348"/>
      <c r="I672" s="348"/>
      <c r="J672" s="348"/>
      <c r="K672" s="348"/>
      <c r="L672" s="333"/>
      <c r="M672" s="333"/>
      <c r="N672" s="333"/>
      <c r="O672" s="333"/>
      <c r="P672" s="333"/>
      <c r="Q672" s="333"/>
      <c r="R672" s="333"/>
      <c r="S672" s="333"/>
      <c r="T672" s="333"/>
      <c r="U672" s="333"/>
      <c r="V672" s="333"/>
      <c r="W672" s="333"/>
      <c r="X672" s="333"/>
      <c r="Y672" s="333"/>
      <c r="Z672" s="333"/>
    </row>
    <row r="673" spans="1:26" ht="15.6">
      <c r="A673" s="333"/>
      <c r="B673" s="348"/>
      <c r="C673" s="348"/>
      <c r="D673" s="348"/>
      <c r="E673" s="348"/>
      <c r="F673" s="348"/>
      <c r="G673" s="348"/>
      <c r="H673" s="348"/>
      <c r="I673" s="348"/>
      <c r="J673" s="348"/>
      <c r="K673" s="348"/>
      <c r="L673" s="333"/>
      <c r="M673" s="333"/>
      <c r="N673" s="333"/>
      <c r="O673" s="333"/>
      <c r="P673" s="333"/>
      <c r="Q673" s="333"/>
      <c r="R673" s="333"/>
      <c r="S673" s="333"/>
      <c r="T673" s="333"/>
      <c r="U673" s="333"/>
      <c r="V673" s="333"/>
      <c r="W673" s="333"/>
      <c r="X673" s="333"/>
      <c r="Y673" s="333"/>
      <c r="Z673" s="333"/>
    </row>
    <row r="674" spans="1:26" ht="15.6">
      <c r="A674" s="333"/>
      <c r="B674" s="348"/>
      <c r="C674" s="348"/>
      <c r="D674" s="348"/>
      <c r="E674" s="348"/>
      <c r="F674" s="348"/>
      <c r="G674" s="348"/>
      <c r="H674" s="348"/>
      <c r="I674" s="348"/>
      <c r="J674" s="348"/>
      <c r="K674" s="348"/>
      <c r="L674" s="333"/>
      <c r="M674" s="333"/>
      <c r="N674" s="333"/>
      <c r="O674" s="333"/>
      <c r="P674" s="333"/>
      <c r="Q674" s="333"/>
      <c r="R674" s="333"/>
      <c r="S674" s="333"/>
      <c r="T674" s="333"/>
      <c r="U674" s="333"/>
      <c r="V674" s="333"/>
      <c r="W674" s="333"/>
      <c r="X674" s="333"/>
      <c r="Y674" s="333"/>
      <c r="Z674" s="333"/>
    </row>
    <row r="675" spans="1:26" ht="15.6">
      <c r="A675" s="333"/>
      <c r="B675" s="348"/>
      <c r="C675" s="348"/>
      <c r="D675" s="348"/>
      <c r="E675" s="348"/>
      <c r="F675" s="348"/>
      <c r="G675" s="348"/>
      <c r="H675" s="348"/>
      <c r="I675" s="348"/>
      <c r="J675" s="348"/>
      <c r="K675" s="348"/>
      <c r="L675" s="333"/>
      <c r="M675" s="333"/>
      <c r="N675" s="333"/>
      <c r="O675" s="333"/>
      <c r="P675" s="333"/>
      <c r="Q675" s="333"/>
      <c r="R675" s="333"/>
      <c r="S675" s="333"/>
      <c r="T675" s="333"/>
      <c r="U675" s="333"/>
      <c r="V675" s="333"/>
      <c r="W675" s="333"/>
      <c r="X675" s="333"/>
      <c r="Y675" s="333"/>
      <c r="Z675" s="333"/>
    </row>
    <row r="676" spans="1:26" ht="15.6">
      <c r="A676" s="333"/>
      <c r="B676" s="348"/>
      <c r="C676" s="348"/>
      <c r="D676" s="348"/>
      <c r="E676" s="348"/>
      <c r="F676" s="348"/>
      <c r="G676" s="348"/>
      <c r="H676" s="348"/>
      <c r="I676" s="348"/>
      <c r="J676" s="348"/>
      <c r="K676" s="348"/>
      <c r="L676" s="333"/>
      <c r="M676" s="333"/>
      <c r="N676" s="333"/>
      <c r="O676" s="333"/>
      <c r="P676" s="333"/>
      <c r="Q676" s="333"/>
      <c r="R676" s="333"/>
      <c r="S676" s="333"/>
      <c r="T676" s="333"/>
      <c r="U676" s="333"/>
      <c r="V676" s="333"/>
      <c r="W676" s="333"/>
      <c r="X676" s="333"/>
      <c r="Y676" s="333"/>
      <c r="Z676" s="333"/>
    </row>
    <row r="677" spans="1:26" ht="15.6">
      <c r="A677" s="333"/>
      <c r="B677" s="348"/>
      <c r="C677" s="348"/>
      <c r="D677" s="348"/>
      <c r="E677" s="348"/>
      <c r="F677" s="348"/>
      <c r="G677" s="348"/>
      <c r="H677" s="348"/>
      <c r="I677" s="348"/>
      <c r="J677" s="348"/>
      <c r="K677" s="348"/>
      <c r="L677" s="333"/>
      <c r="M677" s="333"/>
      <c r="N677" s="333"/>
      <c r="O677" s="333"/>
      <c r="P677" s="333"/>
      <c r="Q677" s="333"/>
      <c r="R677" s="333"/>
      <c r="S677" s="333"/>
      <c r="T677" s="333"/>
      <c r="U677" s="333"/>
      <c r="V677" s="333"/>
      <c r="W677" s="333"/>
      <c r="X677" s="333"/>
      <c r="Y677" s="333"/>
      <c r="Z677" s="333"/>
    </row>
    <row r="678" spans="1:26" ht="15.6">
      <c r="A678" s="333"/>
      <c r="B678" s="348"/>
      <c r="C678" s="348"/>
      <c r="D678" s="348"/>
      <c r="E678" s="348"/>
      <c r="F678" s="348"/>
      <c r="G678" s="348"/>
      <c r="H678" s="348"/>
      <c r="I678" s="348"/>
      <c r="J678" s="348"/>
      <c r="K678" s="348"/>
      <c r="L678" s="333"/>
      <c r="M678" s="333"/>
      <c r="N678" s="333"/>
      <c r="O678" s="333"/>
      <c r="P678" s="333"/>
      <c r="Q678" s="333"/>
      <c r="R678" s="333"/>
      <c r="S678" s="333"/>
      <c r="T678" s="333"/>
      <c r="U678" s="333"/>
      <c r="V678" s="333"/>
      <c r="W678" s="333"/>
      <c r="X678" s="333"/>
      <c r="Y678" s="333"/>
      <c r="Z678" s="333"/>
    </row>
    <row r="679" spans="1:26" ht="15.6">
      <c r="A679" s="333"/>
      <c r="B679" s="348"/>
      <c r="C679" s="348"/>
      <c r="D679" s="348"/>
      <c r="E679" s="348"/>
      <c r="F679" s="348"/>
      <c r="G679" s="348"/>
      <c r="H679" s="348"/>
      <c r="I679" s="348"/>
      <c r="J679" s="348"/>
      <c r="K679" s="348"/>
      <c r="L679" s="333"/>
      <c r="M679" s="333"/>
      <c r="N679" s="333"/>
      <c r="O679" s="333"/>
      <c r="P679" s="333"/>
      <c r="Q679" s="333"/>
      <c r="R679" s="333"/>
      <c r="S679" s="333"/>
      <c r="T679" s="333"/>
      <c r="U679" s="333"/>
      <c r="V679" s="333"/>
      <c r="W679" s="333"/>
      <c r="X679" s="333"/>
      <c r="Y679" s="333"/>
      <c r="Z679" s="333"/>
    </row>
    <row r="680" spans="1:26" ht="15.6">
      <c r="A680" s="333"/>
      <c r="B680" s="348"/>
      <c r="C680" s="348"/>
      <c r="D680" s="348"/>
      <c r="E680" s="348"/>
      <c r="F680" s="348"/>
      <c r="G680" s="348"/>
      <c r="H680" s="348"/>
      <c r="I680" s="348"/>
      <c r="J680" s="348"/>
      <c r="K680" s="348"/>
      <c r="L680" s="333"/>
      <c r="M680" s="333"/>
      <c r="N680" s="333"/>
      <c r="O680" s="333"/>
      <c r="P680" s="333"/>
      <c r="Q680" s="333"/>
      <c r="R680" s="333"/>
      <c r="S680" s="333"/>
      <c r="T680" s="333"/>
      <c r="U680" s="333"/>
      <c r="V680" s="333"/>
      <c r="W680" s="333"/>
      <c r="X680" s="333"/>
      <c r="Y680" s="333"/>
      <c r="Z680" s="333"/>
    </row>
    <row r="681" spans="1:26" ht="15.6">
      <c r="A681" s="333"/>
      <c r="B681" s="348"/>
      <c r="C681" s="348"/>
      <c r="D681" s="348"/>
      <c r="E681" s="348"/>
      <c r="F681" s="348"/>
      <c r="G681" s="348"/>
      <c r="H681" s="348"/>
      <c r="I681" s="348"/>
      <c r="J681" s="348"/>
      <c r="K681" s="348"/>
      <c r="L681" s="333"/>
      <c r="M681" s="333"/>
      <c r="N681" s="333"/>
      <c r="O681" s="333"/>
      <c r="P681" s="333"/>
      <c r="Q681" s="333"/>
      <c r="R681" s="333"/>
      <c r="S681" s="333"/>
      <c r="T681" s="333"/>
      <c r="U681" s="333"/>
      <c r="V681" s="333"/>
      <c r="W681" s="333"/>
      <c r="X681" s="333"/>
      <c r="Y681" s="333"/>
      <c r="Z681" s="333"/>
    </row>
    <row r="682" spans="1:26" ht="15.6">
      <c r="A682" s="333"/>
      <c r="B682" s="348"/>
      <c r="C682" s="348"/>
      <c r="D682" s="348"/>
      <c r="E682" s="348"/>
      <c r="F682" s="348"/>
      <c r="G682" s="348"/>
      <c r="H682" s="348"/>
      <c r="I682" s="348"/>
      <c r="J682" s="348"/>
      <c r="K682" s="348"/>
      <c r="L682" s="333"/>
      <c r="M682" s="333"/>
      <c r="N682" s="333"/>
      <c r="O682" s="333"/>
      <c r="P682" s="333"/>
      <c r="Q682" s="333"/>
      <c r="R682" s="333"/>
      <c r="S682" s="333"/>
      <c r="T682" s="333"/>
      <c r="U682" s="333"/>
      <c r="V682" s="333"/>
      <c r="W682" s="333"/>
      <c r="X682" s="333"/>
      <c r="Y682" s="333"/>
      <c r="Z682" s="333"/>
    </row>
    <row r="683" spans="1:26" ht="15.6">
      <c r="A683" s="333"/>
      <c r="B683" s="348"/>
      <c r="C683" s="348"/>
      <c r="D683" s="348"/>
      <c r="E683" s="348"/>
      <c r="F683" s="348"/>
      <c r="G683" s="348"/>
      <c r="H683" s="348"/>
      <c r="I683" s="348"/>
      <c r="J683" s="348"/>
      <c r="K683" s="348"/>
      <c r="L683" s="333"/>
      <c r="M683" s="333"/>
      <c r="N683" s="333"/>
      <c r="O683" s="333"/>
      <c r="P683" s="333"/>
      <c r="Q683" s="333"/>
      <c r="R683" s="333"/>
      <c r="S683" s="333"/>
      <c r="T683" s="333"/>
      <c r="U683" s="333"/>
      <c r="V683" s="333"/>
      <c r="W683" s="333"/>
      <c r="X683" s="333"/>
      <c r="Y683" s="333"/>
      <c r="Z683" s="333"/>
    </row>
    <row r="684" spans="1:26" ht="15.6">
      <c r="A684" s="333"/>
      <c r="B684" s="348"/>
      <c r="C684" s="348"/>
      <c r="D684" s="348"/>
      <c r="E684" s="348"/>
      <c r="F684" s="348"/>
      <c r="G684" s="348"/>
      <c r="H684" s="348"/>
      <c r="I684" s="348"/>
      <c r="J684" s="348"/>
      <c r="K684" s="348"/>
      <c r="L684" s="333"/>
      <c r="M684" s="333"/>
      <c r="N684" s="333"/>
      <c r="O684" s="333"/>
      <c r="P684" s="333"/>
      <c r="Q684" s="333"/>
      <c r="R684" s="333"/>
      <c r="S684" s="333"/>
      <c r="T684" s="333"/>
      <c r="U684" s="333"/>
      <c r="V684" s="333"/>
      <c r="W684" s="333"/>
      <c r="X684" s="333"/>
      <c r="Y684" s="333"/>
      <c r="Z684" s="333"/>
    </row>
    <row r="685" spans="1:26" ht="15.6">
      <c r="A685" s="333"/>
      <c r="B685" s="348"/>
      <c r="C685" s="348"/>
      <c r="D685" s="348"/>
      <c r="E685" s="348"/>
      <c r="F685" s="348"/>
      <c r="G685" s="348"/>
      <c r="H685" s="348"/>
      <c r="I685" s="348"/>
      <c r="J685" s="348"/>
      <c r="K685" s="348"/>
      <c r="L685" s="333"/>
      <c r="M685" s="333"/>
      <c r="N685" s="333"/>
      <c r="O685" s="333"/>
      <c r="P685" s="333"/>
      <c r="Q685" s="333"/>
      <c r="R685" s="333"/>
      <c r="S685" s="333"/>
      <c r="T685" s="333"/>
      <c r="U685" s="333"/>
      <c r="V685" s="333"/>
      <c r="W685" s="333"/>
      <c r="X685" s="333"/>
      <c r="Y685" s="333"/>
      <c r="Z685" s="333"/>
    </row>
    <row r="686" spans="1:26" ht="15.6">
      <c r="A686" s="333"/>
      <c r="B686" s="348"/>
      <c r="C686" s="348"/>
      <c r="D686" s="348"/>
      <c r="E686" s="348"/>
      <c r="F686" s="348"/>
      <c r="G686" s="348"/>
      <c r="H686" s="348"/>
      <c r="I686" s="348"/>
      <c r="J686" s="348"/>
      <c r="K686" s="348"/>
      <c r="L686" s="333"/>
      <c r="M686" s="333"/>
      <c r="N686" s="333"/>
      <c r="O686" s="333"/>
      <c r="P686" s="333"/>
      <c r="Q686" s="333"/>
      <c r="R686" s="333"/>
      <c r="S686" s="333"/>
      <c r="T686" s="333"/>
      <c r="U686" s="333"/>
      <c r="V686" s="333"/>
      <c r="W686" s="333"/>
      <c r="X686" s="333"/>
      <c r="Y686" s="333"/>
      <c r="Z686" s="333"/>
    </row>
    <row r="687" spans="1:26" ht="15.6">
      <c r="A687" s="333"/>
      <c r="B687" s="348"/>
      <c r="C687" s="348"/>
      <c r="D687" s="348"/>
      <c r="E687" s="348"/>
      <c r="F687" s="348"/>
      <c r="G687" s="348"/>
      <c r="H687" s="348"/>
      <c r="I687" s="348"/>
      <c r="J687" s="348"/>
      <c r="K687" s="348"/>
      <c r="L687" s="333"/>
      <c r="M687" s="333"/>
      <c r="N687" s="333"/>
      <c r="O687" s="333"/>
      <c r="P687" s="333"/>
      <c r="Q687" s="333"/>
      <c r="R687" s="333"/>
      <c r="S687" s="333"/>
      <c r="T687" s="333"/>
      <c r="U687" s="333"/>
      <c r="V687" s="333"/>
      <c r="W687" s="333"/>
      <c r="X687" s="333"/>
      <c r="Y687" s="333"/>
      <c r="Z687" s="333"/>
    </row>
    <row r="688" spans="1:26" ht="15.6">
      <c r="A688" s="333"/>
      <c r="B688" s="348"/>
      <c r="C688" s="348"/>
      <c r="D688" s="348"/>
      <c r="E688" s="348"/>
      <c r="F688" s="348"/>
      <c r="G688" s="348"/>
      <c r="H688" s="348"/>
      <c r="I688" s="348"/>
      <c r="J688" s="348"/>
      <c r="K688" s="348"/>
      <c r="L688" s="333"/>
      <c r="M688" s="333"/>
      <c r="N688" s="333"/>
      <c r="O688" s="333"/>
      <c r="P688" s="333"/>
      <c r="Q688" s="333"/>
      <c r="R688" s="333"/>
      <c r="S688" s="333"/>
      <c r="T688" s="333"/>
      <c r="U688" s="333"/>
      <c r="V688" s="333"/>
      <c r="W688" s="333"/>
      <c r="X688" s="333"/>
      <c r="Y688" s="333"/>
      <c r="Z688" s="333"/>
    </row>
    <row r="689" spans="1:26" ht="15.6">
      <c r="A689" s="333"/>
      <c r="B689" s="348"/>
      <c r="C689" s="348"/>
      <c r="D689" s="348"/>
      <c r="E689" s="348"/>
      <c r="F689" s="348"/>
      <c r="G689" s="348"/>
      <c r="H689" s="348"/>
      <c r="I689" s="348"/>
      <c r="J689" s="348"/>
      <c r="K689" s="348"/>
      <c r="L689" s="333"/>
      <c r="M689" s="333"/>
      <c r="N689" s="333"/>
      <c r="O689" s="333"/>
      <c r="P689" s="333"/>
      <c r="Q689" s="333"/>
      <c r="R689" s="333"/>
      <c r="S689" s="333"/>
      <c r="T689" s="333"/>
      <c r="U689" s="333"/>
      <c r="V689" s="333"/>
      <c r="W689" s="333"/>
      <c r="X689" s="333"/>
      <c r="Y689" s="333"/>
      <c r="Z689" s="333"/>
    </row>
    <row r="690" spans="1:26" ht="15.6">
      <c r="A690" s="333"/>
      <c r="B690" s="348"/>
      <c r="C690" s="348"/>
      <c r="D690" s="348"/>
      <c r="E690" s="348"/>
      <c r="F690" s="348"/>
      <c r="G690" s="348"/>
      <c r="H690" s="348"/>
      <c r="I690" s="348"/>
      <c r="J690" s="348"/>
      <c r="K690" s="348"/>
      <c r="L690" s="333"/>
      <c r="M690" s="333"/>
      <c r="N690" s="333"/>
      <c r="O690" s="333"/>
      <c r="P690" s="333"/>
      <c r="Q690" s="333"/>
      <c r="R690" s="333"/>
      <c r="S690" s="333"/>
      <c r="T690" s="333"/>
      <c r="U690" s="333"/>
      <c r="V690" s="333"/>
      <c r="W690" s="333"/>
      <c r="X690" s="333"/>
      <c r="Y690" s="333"/>
      <c r="Z690" s="333"/>
    </row>
    <row r="691" spans="1:26" ht="15.6">
      <c r="A691" s="333"/>
      <c r="B691" s="348"/>
      <c r="C691" s="348"/>
      <c r="D691" s="348"/>
      <c r="E691" s="348"/>
      <c r="F691" s="348"/>
      <c r="G691" s="348"/>
      <c r="H691" s="348"/>
      <c r="I691" s="348"/>
      <c r="J691" s="348"/>
      <c r="K691" s="348"/>
      <c r="L691" s="333"/>
      <c r="M691" s="333"/>
      <c r="N691" s="333"/>
      <c r="O691" s="333"/>
      <c r="P691" s="333"/>
      <c r="Q691" s="333"/>
      <c r="R691" s="333"/>
      <c r="S691" s="333"/>
      <c r="T691" s="333"/>
      <c r="U691" s="333"/>
      <c r="V691" s="333"/>
      <c r="W691" s="333"/>
      <c r="X691" s="333"/>
      <c r="Y691" s="333"/>
      <c r="Z691" s="333"/>
    </row>
    <row r="692" spans="1:26" ht="15.6">
      <c r="A692" s="333"/>
      <c r="B692" s="348"/>
      <c r="C692" s="348"/>
      <c r="D692" s="348"/>
      <c r="E692" s="348"/>
      <c r="F692" s="348"/>
      <c r="G692" s="348"/>
      <c r="H692" s="348"/>
      <c r="I692" s="348"/>
      <c r="J692" s="348"/>
      <c r="K692" s="348"/>
      <c r="L692" s="333"/>
      <c r="M692" s="333"/>
      <c r="N692" s="333"/>
      <c r="O692" s="333"/>
      <c r="P692" s="333"/>
      <c r="Q692" s="333"/>
      <c r="R692" s="333"/>
      <c r="S692" s="333"/>
      <c r="T692" s="333"/>
      <c r="U692" s="333"/>
      <c r="V692" s="333"/>
      <c r="W692" s="333"/>
      <c r="X692" s="333"/>
      <c r="Y692" s="333"/>
      <c r="Z692" s="333"/>
    </row>
    <row r="693" spans="1:26" ht="15.6">
      <c r="A693" s="333"/>
      <c r="B693" s="348"/>
      <c r="C693" s="348"/>
      <c r="D693" s="348"/>
      <c r="E693" s="348"/>
      <c r="F693" s="348"/>
      <c r="G693" s="348"/>
      <c r="H693" s="348"/>
      <c r="I693" s="348"/>
      <c r="J693" s="348"/>
      <c r="K693" s="348"/>
      <c r="L693" s="333"/>
      <c r="M693" s="333"/>
      <c r="N693" s="333"/>
      <c r="O693" s="333"/>
      <c r="P693" s="333"/>
      <c r="Q693" s="333"/>
      <c r="R693" s="333"/>
      <c r="S693" s="333"/>
      <c r="T693" s="333"/>
      <c r="U693" s="333"/>
      <c r="V693" s="333"/>
      <c r="W693" s="333"/>
      <c r="X693" s="333"/>
      <c r="Y693" s="333"/>
      <c r="Z693" s="333"/>
    </row>
    <row r="694" spans="1:26" ht="15.6">
      <c r="A694" s="333"/>
      <c r="B694" s="348"/>
      <c r="C694" s="348"/>
      <c r="D694" s="348"/>
      <c r="E694" s="348"/>
      <c r="F694" s="348"/>
      <c r="G694" s="348"/>
      <c r="H694" s="348"/>
      <c r="I694" s="348"/>
      <c r="J694" s="348"/>
      <c r="K694" s="348"/>
      <c r="L694" s="333"/>
      <c r="M694" s="333"/>
      <c r="N694" s="333"/>
      <c r="O694" s="333"/>
      <c r="P694" s="333"/>
      <c r="Q694" s="333"/>
      <c r="R694" s="333"/>
      <c r="S694" s="333"/>
      <c r="T694" s="333"/>
      <c r="U694" s="333"/>
      <c r="V694" s="333"/>
      <c r="W694" s="333"/>
      <c r="X694" s="333"/>
      <c r="Y694" s="333"/>
      <c r="Z694" s="333"/>
    </row>
    <row r="695" spans="1:26" ht="15.6">
      <c r="A695" s="333"/>
      <c r="B695" s="348"/>
      <c r="C695" s="348"/>
      <c r="D695" s="348"/>
      <c r="E695" s="348"/>
      <c r="F695" s="348"/>
      <c r="G695" s="348"/>
      <c r="H695" s="348"/>
      <c r="I695" s="348"/>
      <c r="J695" s="348"/>
      <c r="K695" s="348"/>
      <c r="L695" s="333"/>
      <c r="M695" s="333"/>
      <c r="N695" s="333"/>
      <c r="O695" s="333"/>
      <c r="P695" s="333"/>
      <c r="Q695" s="333"/>
      <c r="R695" s="333"/>
      <c r="S695" s="333"/>
      <c r="T695" s="333"/>
      <c r="U695" s="333"/>
      <c r="V695" s="333"/>
      <c r="W695" s="333"/>
      <c r="X695" s="333"/>
      <c r="Y695" s="333"/>
      <c r="Z695" s="333"/>
    </row>
    <row r="696" spans="1:26" ht="15.6">
      <c r="A696" s="333"/>
      <c r="B696" s="348"/>
      <c r="C696" s="348"/>
      <c r="D696" s="348"/>
      <c r="E696" s="348"/>
      <c r="F696" s="348"/>
      <c r="G696" s="348"/>
      <c r="H696" s="348"/>
      <c r="I696" s="348"/>
      <c r="J696" s="348"/>
      <c r="K696" s="348"/>
      <c r="L696" s="333"/>
      <c r="M696" s="333"/>
      <c r="N696" s="333"/>
      <c r="O696" s="333"/>
      <c r="P696" s="333"/>
      <c r="Q696" s="333"/>
      <c r="R696" s="333"/>
      <c r="S696" s="333"/>
      <c r="T696" s="333"/>
      <c r="U696" s="333"/>
      <c r="V696" s="333"/>
      <c r="W696" s="333"/>
      <c r="X696" s="333"/>
      <c r="Y696" s="333"/>
      <c r="Z696" s="333"/>
    </row>
    <row r="697" spans="1:26" ht="15.6">
      <c r="A697" s="333"/>
      <c r="B697" s="348"/>
      <c r="C697" s="348"/>
      <c r="D697" s="348"/>
      <c r="E697" s="348"/>
      <c r="F697" s="348"/>
      <c r="G697" s="348"/>
      <c r="H697" s="348"/>
      <c r="I697" s="348"/>
      <c r="J697" s="348"/>
      <c r="K697" s="348"/>
      <c r="L697" s="333"/>
      <c r="M697" s="333"/>
      <c r="N697" s="333"/>
      <c r="O697" s="333"/>
      <c r="P697" s="333"/>
      <c r="Q697" s="333"/>
      <c r="R697" s="333"/>
      <c r="S697" s="333"/>
      <c r="T697" s="333"/>
      <c r="U697" s="333"/>
      <c r="V697" s="333"/>
      <c r="W697" s="333"/>
      <c r="X697" s="333"/>
      <c r="Y697" s="333"/>
      <c r="Z697" s="333"/>
    </row>
    <row r="698" spans="1:26" ht="15.6">
      <c r="A698" s="333"/>
      <c r="B698" s="348"/>
      <c r="C698" s="348"/>
      <c r="D698" s="348"/>
      <c r="E698" s="348"/>
      <c r="F698" s="348"/>
      <c r="G698" s="348"/>
      <c r="H698" s="348"/>
      <c r="I698" s="348"/>
      <c r="J698" s="348"/>
      <c r="K698" s="348"/>
      <c r="L698" s="333"/>
      <c r="M698" s="333"/>
      <c r="N698" s="333"/>
      <c r="O698" s="333"/>
      <c r="P698" s="333"/>
      <c r="Q698" s="333"/>
      <c r="R698" s="333"/>
      <c r="S698" s="333"/>
      <c r="T698" s="333"/>
      <c r="U698" s="333"/>
      <c r="V698" s="333"/>
      <c r="W698" s="333"/>
      <c r="X698" s="333"/>
      <c r="Y698" s="333"/>
      <c r="Z698" s="333"/>
    </row>
    <row r="699" spans="1:26" ht="15.6">
      <c r="A699" s="333"/>
      <c r="B699" s="348"/>
      <c r="C699" s="348"/>
      <c r="D699" s="348"/>
      <c r="E699" s="348"/>
      <c r="F699" s="348"/>
      <c r="G699" s="348"/>
      <c r="H699" s="348"/>
      <c r="I699" s="348"/>
      <c r="J699" s="348"/>
      <c r="K699" s="348"/>
      <c r="L699" s="333"/>
      <c r="M699" s="333"/>
      <c r="N699" s="333"/>
      <c r="O699" s="333"/>
      <c r="P699" s="333"/>
      <c r="Q699" s="333"/>
      <c r="R699" s="333"/>
      <c r="S699" s="333"/>
      <c r="T699" s="333"/>
      <c r="U699" s="333"/>
      <c r="V699" s="333"/>
      <c r="W699" s="333"/>
      <c r="X699" s="333"/>
      <c r="Y699" s="333"/>
      <c r="Z699" s="333"/>
    </row>
    <row r="700" spans="1:26" ht="15.6">
      <c r="A700" s="333"/>
      <c r="B700" s="348"/>
      <c r="C700" s="348"/>
      <c r="D700" s="348"/>
      <c r="E700" s="348"/>
      <c r="F700" s="348"/>
      <c r="G700" s="348"/>
      <c r="H700" s="348"/>
      <c r="I700" s="348"/>
      <c r="J700" s="348"/>
      <c r="K700" s="348"/>
      <c r="L700" s="333"/>
      <c r="M700" s="333"/>
      <c r="N700" s="333"/>
      <c r="O700" s="333"/>
      <c r="P700" s="333"/>
      <c r="Q700" s="333"/>
      <c r="R700" s="333"/>
      <c r="S700" s="333"/>
      <c r="T700" s="333"/>
      <c r="U700" s="333"/>
      <c r="V700" s="333"/>
      <c r="W700" s="333"/>
      <c r="X700" s="333"/>
      <c r="Y700" s="333"/>
      <c r="Z700" s="333"/>
    </row>
    <row r="701" spans="1:26" ht="15.6">
      <c r="A701" s="333"/>
      <c r="B701" s="348"/>
      <c r="C701" s="348"/>
      <c r="D701" s="348"/>
      <c r="E701" s="348"/>
      <c r="F701" s="348"/>
      <c r="G701" s="348"/>
      <c r="H701" s="348"/>
      <c r="I701" s="348"/>
      <c r="J701" s="348"/>
      <c r="K701" s="348"/>
      <c r="L701" s="333"/>
      <c r="M701" s="333"/>
      <c r="N701" s="333"/>
      <c r="O701" s="333"/>
      <c r="P701" s="333"/>
      <c r="Q701" s="333"/>
      <c r="R701" s="333"/>
      <c r="S701" s="333"/>
      <c r="T701" s="333"/>
      <c r="U701" s="333"/>
      <c r="V701" s="333"/>
      <c r="W701" s="333"/>
      <c r="X701" s="333"/>
      <c r="Y701" s="333"/>
      <c r="Z701" s="333"/>
    </row>
    <row r="702" spans="1:26" ht="15.6">
      <c r="A702" s="333"/>
      <c r="B702" s="348"/>
      <c r="C702" s="348"/>
      <c r="D702" s="348"/>
      <c r="E702" s="348"/>
      <c r="F702" s="348"/>
      <c r="G702" s="348"/>
      <c r="H702" s="348"/>
      <c r="I702" s="348"/>
      <c r="J702" s="348"/>
      <c r="K702" s="348"/>
      <c r="L702" s="333"/>
      <c r="M702" s="333"/>
      <c r="N702" s="333"/>
      <c r="O702" s="333"/>
      <c r="P702" s="333"/>
      <c r="Q702" s="333"/>
      <c r="R702" s="333"/>
      <c r="S702" s="333"/>
      <c r="T702" s="333"/>
      <c r="U702" s="333"/>
      <c r="V702" s="333"/>
      <c r="W702" s="333"/>
      <c r="X702" s="333"/>
      <c r="Y702" s="333"/>
      <c r="Z702" s="333"/>
    </row>
    <row r="703" spans="1:26" ht="15.6">
      <c r="A703" s="333"/>
      <c r="B703" s="348"/>
      <c r="C703" s="348"/>
      <c r="D703" s="348"/>
      <c r="E703" s="348"/>
      <c r="F703" s="348"/>
      <c r="G703" s="348"/>
      <c r="H703" s="348"/>
      <c r="I703" s="348"/>
      <c r="J703" s="348"/>
      <c r="K703" s="348"/>
      <c r="L703" s="333"/>
      <c r="M703" s="333"/>
      <c r="N703" s="333"/>
      <c r="O703" s="333"/>
      <c r="P703" s="333"/>
      <c r="Q703" s="333"/>
      <c r="R703" s="333"/>
      <c r="S703" s="333"/>
      <c r="T703" s="333"/>
      <c r="U703" s="333"/>
      <c r="V703" s="333"/>
      <c r="W703" s="333"/>
      <c r="X703" s="333"/>
      <c r="Y703" s="333"/>
      <c r="Z703" s="333"/>
    </row>
    <row r="704" spans="1:26" ht="15.6">
      <c r="A704" s="333"/>
      <c r="B704" s="348"/>
      <c r="C704" s="348"/>
      <c r="D704" s="348"/>
      <c r="E704" s="348"/>
      <c r="F704" s="348"/>
      <c r="G704" s="348"/>
      <c r="H704" s="348"/>
      <c r="I704" s="348"/>
      <c r="J704" s="348"/>
      <c r="K704" s="348"/>
      <c r="L704" s="333"/>
      <c r="M704" s="333"/>
      <c r="N704" s="333"/>
      <c r="O704" s="333"/>
      <c r="P704" s="333"/>
      <c r="Q704" s="333"/>
      <c r="R704" s="333"/>
      <c r="S704" s="333"/>
      <c r="T704" s="333"/>
      <c r="U704" s="333"/>
      <c r="V704" s="333"/>
      <c r="W704" s="333"/>
      <c r="X704" s="333"/>
      <c r="Y704" s="333"/>
      <c r="Z704" s="333"/>
    </row>
    <row r="705" spans="1:26" ht="15.6">
      <c r="A705" s="333"/>
      <c r="B705" s="348"/>
      <c r="C705" s="348"/>
      <c r="D705" s="348"/>
      <c r="E705" s="348"/>
      <c r="F705" s="348"/>
      <c r="G705" s="348"/>
      <c r="H705" s="348"/>
      <c r="I705" s="348"/>
      <c r="J705" s="348"/>
      <c r="K705" s="348"/>
      <c r="L705" s="333"/>
      <c r="M705" s="333"/>
      <c r="N705" s="333"/>
      <c r="O705" s="333"/>
      <c r="P705" s="333"/>
      <c r="Q705" s="333"/>
      <c r="R705" s="333"/>
      <c r="S705" s="333"/>
      <c r="T705" s="333"/>
      <c r="U705" s="333"/>
      <c r="V705" s="333"/>
      <c r="W705" s="333"/>
      <c r="X705" s="333"/>
      <c r="Y705" s="333"/>
      <c r="Z705" s="333"/>
    </row>
    <row r="706" spans="1:26" ht="15.6">
      <c r="A706" s="333"/>
      <c r="B706" s="348"/>
      <c r="C706" s="348"/>
      <c r="D706" s="348"/>
      <c r="E706" s="348"/>
      <c r="F706" s="348"/>
      <c r="G706" s="348"/>
      <c r="H706" s="348"/>
      <c r="I706" s="348"/>
      <c r="J706" s="348"/>
      <c r="K706" s="348"/>
      <c r="L706" s="333"/>
      <c r="M706" s="333"/>
      <c r="N706" s="333"/>
      <c r="O706" s="333"/>
      <c r="P706" s="333"/>
      <c r="Q706" s="333"/>
      <c r="R706" s="333"/>
      <c r="S706" s="333"/>
      <c r="T706" s="333"/>
      <c r="U706" s="333"/>
      <c r="V706" s="333"/>
      <c r="W706" s="333"/>
      <c r="X706" s="333"/>
      <c r="Y706" s="333"/>
      <c r="Z706" s="333"/>
    </row>
    <row r="707" spans="1:26" ht="15.6">
      <c r="A707" s="333"/>
      <c r="B707" s="348"/>
      <c r="C707" s="348"/>
      <c r="D707" s="348"/>
      <c r="E707" s="348"/>
      <c r="F707" s="348"/>
      <c r="G707" s="348"/>
      <c r="H707" s="348"/>
      <c r="I707" s="348"/>
      <c r="J707" s="348"/>
      <c r="K707" s="348"/>
      <c r="L707" s="333"/>
      <c r="M707" s="333"/>
      <c r="N707" s="333"/>
      <c r="O707" s="333"/>
      <c r="P707" s="333"/>
      <c r="Q707" s="333"/>
      <c r="R707" s="333"/>
      <c r="S707" s="333"/>
      <c r="T707" s="333"/>
      <c r="U707" s="333"/>
      <c r="V707" s="333"/>
      <c r="W707" s="333"/>
      <c r="X707" s="333"/>
      <c r="Y707" s="333"/>
      <c r="Z707" s="333"/>
    </row>
    <row r="708" spans="1:26" ht="15.6">
      <c r="A708" s="333"/>
      <c r="B708" s="348"/>
      <c r="C708" s="348"/>
      <c r="D708" s="348"/>
      <c r="E708" s="348"/>
      <c r="F708" s="348"/>
      <c r="G708" s="348"/>
      <c r="H708" s="348"/>
      <c r="I708" s="348"/>
      <c r="J708" s="348"/>
      <c r="K708" s="348"/>
      <c r="L708" s="333"/>
      <c r="M708" s="333"/>
      <c r="N708" s="333"/>
      <c r="O708" s="333"/>
      <c r="P708" s="333"/>
      <c r="Q708" s="333"/>
      <c r="R708" s="333"/>
      <c r="S708" s="333"/>
      <c r="T708" s="333"/>
      <c r="U708" s="333"/>
      <c r="V708" s="333"/>
      <c r="W708" s="333"/>
      <c r="X708" s="333"/>
      <c r="Y708" s="333"/>
      <c r="Z708" s="333"/>
    </row>
    <row r="709" spans="1:26" ht="15.6">
      <c r="A709" s="333"/>
      <c r="B709" s="348"/>
      <c r="C709" s="348"/>
      <c r="D709" s="348"/>
      <c r="E709" s="348"/>
      <c r="F709" s="348"/>
      <c r="G709" s="348"/>
      <c r="H709" s="348"/>
      <c r="I709" s="348"/>
      <c r="J709" s="348"/>
      <c r="K709" s="348"/>
      <c r="L709" s="333"/>
      <c r="M709" s="333"/>
      <c r="N709" s="333"/>
      <c r="O709" s="333"/>
      <c r="P709" s="333"/>
      <c r="Q709" s="333"/>
      <c r="R709" s="333"/>
      <c r="S709" s="333"/>
      <c r="T709" s="333"/>
      <c r="U709" s="333"/>
      <c r="V709" s="333"/>
      <c r="W709" s="333"/>
      <c r="X709" s="333"/>
      <c r="Y709" s="333"/>
      <c r="Z709" s="333"/>
    </row>
    <row r="710" spans="1:26" ht="15.6">
      <c r="A710" s="333"/>
      <c r="B710" s="348"/>
      <c r="C710" s="348"/>
      <c r="D710" s="348"/>
      <c r="E710" s="348"/>
      <c r="F710" s="348"/>
      <c r="G710" s="348"/>
      <c r="H710" s="348"/>
      <c r="I710" s="348"/>
      <c r="J710" s="348"/>
      <c r="K710" s="348"/>
      <c r="L710" s="333"/>
      <c r="M710" s="333"/>
      <c r="N710" s="333"/>
      <c r="O710" s="333"/>
      <c r="P710" s="333"/>
      <c r="Q710" s="333"/>
      <c r="R710" s="333"/>
      <c r="S710" s="333"/>
      <c r="T710" s="333"/>
      <c r="U710" s="333"/>
      <c r="V710" s="333"/>
      <c r="W710" s="333"/>
      <c r="X710" s="333"/>
      <c r="Y710" s="333"/>
      <c r="Z710" s="333"/>
    </row>
    <row r="711" spans="1:26" ht="15.6">
      <c r="A711" s="333"/>
      <c r="B711" s="348"/>
      <c r="C711" s="348"/>
      <c r="D711" s="348"/>
      <c r="E711" s="348"/>
      <c r="F711" s="348"/>
      <c r="G711" s="348"/>
      <c r="H711" s="348"/>
      <c r="I711" s="348"/>
      <c r="J711" s="348"/>
      <c r="K711" s="348"/>
      <c r="L711" s="333"/>
      <c r="M711" s="333"/>
      <c r="N711" s="333"/>
      <c r="O711" s="333"/>
      <c r="P711" s="333"/>
      <c r="Q711" s="333"/>
      <c r="R711" s="333"/>
      <c r="S711" s="333"/>
      <c r="T711" s="333"/>
      <c r="U711" s="333"/>
      <c r="V711" s="333"/>
      <c r="W711" s="333"/>
      <c r="X711" s="333"/>
      <c r="Y711" s="333"/>
      <c r="Z711" s="333"/>
    </row>
    <row r="712" spans="1:26" ht="15.6">
      <c r="A712" s="333"/>
      <c r="B712" s="348"/>
      <c r="C712" s="348"/>
      <c r="D712" s="348"/>
      <c r="E712" s="348"/>
      <c r="F712" s="348"/>
      <c r="G712" s="348"/>
      <c r="H712" s="348"/>
      <c r="I712" s="348"/>
      <c r="J712" s="348"/>
      <c r="K712" s="348"/>
      <c r="L712" s="333"/>
      <c r="M712" s="333"/>
      <c r="N712" s="333"/>
      <c r="O712" s="333"/>
      <c r="P712" s="333"/>
      <c r="Q712" s="333"/>
      <c r="R712" s="333"/>
      <c r="S712" s="333"/>
      <c r="T712" s="333"/>
      <c r="U712" s="333"/>
      <c r="V712" s="333"/>
      <c r="W712" s="333"/>
      <c r="X712" s="333"/>
      <c r="Y712" s="333"/>
      <c r="Z712" s="333"/>
    </row>
    <row r="713" spans="1:26" ht="15.6">
      <c r="A713" s="333"/>
      <c r="B713" s="348"/>
      <c r="C713" s="348"/>
      <c r="D713" s="348"/>
      <c r="E713" s="348"/>
      <c r="F713" s="348"/>
      <c r="G713" s="348"/>
      <c r="H713" s="348"/>
      <c r="I713" s="348"/>
      <c r="J713" s="348"/>
      <c r="K713" s="348"/>
      <c r="L713" s="333"/>
      <c r="M713" s="333"/>
      <c r="N713" s="333"/>
      <c r="O713" s="333"/>
      <c r="P713" s="333"/>
      <c r="Q713" s="333"/>
      <c r="R713" s="333"/>
      <c r="S713" s="333"/>
      <c r="T713" s="333"/>
      <c r="U713" s="333"/>
      <c r="V713" s="333"/>
      <c r="W713" s="333"/>
      <c r="X713" s="333"/>
      <c r="Y713" s="333"/>
      <c r="Z713" s="333"/>
    </row>
    <row r="714" spans="1:26" ht="15.6">
      <c r="A714" s="333"/>
      <c r="B714" s="348"/>
      <c r="C714" s="348"/>
      <c r="D714" s="348"/>
      <c r="E714" s="348"/>
      <c r="F714" s="348"/>
      <c r="G714" s="348"/>
      <c r="H714" s="348"/>
      <c r="I714" s="348"/>
      <c r="J714" s="348"/>
      <c r="K714" s="348"/>
      <c r="L714" s="333"/>
      <c r="M714" s="333"/>
      <c r="N714" s="333"/>
      <c r="O714" s="333"/>
      <c r="P714" s="333"/>
      <c r="Q714" s="333"/>
      <c r="R714" s="333"/>
      <c r="S714" s="333"/>
      <c r="T714" s="333"/>
      <c r="U714" s="333"/>
      <c r="V714" s="333"/>
      <c r="W714" s="333"/>
      <c r="X714" s="333"/>
      <c r="Y714" s="333"/>
      <c r="Z714" s="333"/>
    </row>
    <row r="715" spans="1:26" ht="15.6">
      <c r="A715" s="333"/>
      <c r="B715" s="348"/>
      <c r="C715" s="348"/>
      <c r="D715" s="348"/>
      <c r="E715" s="348"/>
      <c r="F715" s="348"/>
      <c r="G715" s="348"/>
      <c r="H715" s="348"/>
      <c r="I715" s="348"/>
      <c r="J715" s="348"/>
      <c r="K715" s="348"/>
      <c r="L715" s="333"/>
      <c r="M715" s="333"/>
      <c r="N715" s="333"/>
      <c r="O715" s="333"/>
      <c r="P715" s="333"/>
      <c r="Q715" s="333"/>
      <c r="R715" s="333"/>
      <c r="S715" s="333"/>
      <c r="T715" s="333"/>
      <c r="U715" s="333"/>
      <c r="V715" s="333"/>
      <c r="W715" s="333"/>
      <c r="X715" s="333"/>
      <c r="Y715" s="333"/>
      <c r="Z715" s="333"/>
    </row>
    <row r="716" spans="1:26" ht="15.6">
      <c r="A716" s="333"/>
      <c r="B716" s="348"/>
      <c r="C716" s="348"/>
      <c r="D716" s="348"/>
      <c r="E716" s="348"/>
      <c r="F716" s="348"/>
      <c r="G716" s="348"/>
      <c r="H716" s="348"/>
      <c r="I716" s="348"/>
      <c r="J716" s="348"/>
      <c r="K716" s="348"/>
      <c r="L716" s="333"/>
      <c r="M716" s="333"/>
      <c r="N716" s="333"/>
      <c r="O716" s="333"/>
      <c r="P716" s="333"/>
      <c r="Q716" s="333"/>
      <c r="R716" s="333"/>
      <c r="S716" s="333"/>
      <c r="T716" s="333"/>
      <c r="U716" s="333"/>
      <c r="V716" s="333"/>
      <c r="W716" s="333"/>
      <c r="X716" s="333"/>
      <c r="Y716" s="333"/>
      <c r="Z716" s="333"/>
    </row>
    <row r="717" spans="1:26" ht="15.6">
      <c r="A717" s="333"/>
      <c r="B717" s="348"/>
      <c r="C717" s="348"/>
      <c r="D717" s="348"/>
      <c r="E717" s="348"/>
      <c r="F717" s="348"/>
      <c r="G717" s="348"/>
      <c r="H717" s="348"/>
      <c r="I717" s="348"/>
      <c r="J717" s="348"/>
      <c r="K717" s="348"/>
      <c r="L717" s="333"/>
      <c r="M717" s="333"/>
      <c r="N717" s="333"/>
      <c r="O717" s="333"/>
      <c r="P717" s="333"/>
      <c r="Q717" s="333"/>
      <c r="R717" s="333"/>
      <c r="S717" s="333"/>
      <c r="T717" s="333"/>
      <c r="U717" s="333"/>
      <c r="V717" s="333"/>
      <c r="W717" s="333"/>
      <c r="X717" s="333"/>
      <c r="Y717" s="333"/>
      <c r="Z717" s="333"/>
    </row>
    <row r="718" spans="1:26" ht="15.6">
      <c r="A718" s="333"/>
      <c r="B718" s="348"/>
      <c r="C718" s="348"/>
      <c r="D718" s="348"/>
      <c r="E718" s="348"/>
      <c r="F718" s="348"/>
      <c r="G718" s="348"/>
      <c r="H718" s="348"/>
      <c r="I718" s="348"/>
      <c r="J718" s="348"/>
      <c r="K718" s="348"/>
      <c r="L718" s="333"/>
      <c r="M718" s="333"/>
      <c r="N718" s="333"/>
      <c r="O718" s="333"/>
      <c r="P718" s="333"/>
      <c r="Q718" s="333"/>
      <c r="R718" s="333"/>
      <c r="S718" s="333"/>
      <c r="T718" s="333"/>
      <c r="U718" s="333"/>
      <c r="V718" s="333"/>
      <c r="W718" s="333"/>
      <c r="X718" s="333"/>
      <c r="Y718" s="333"/>
      <c r="Z718" s="333"/>
    </row>
    <row r="719" spans="1:26" ht="15.6">
      <c r="A719" s="333"/>
      <c r="B719" s="348"/>
      <c r="C719" s="348"/>
      <c r="D719" s="348"/>
      <c r="E719" s="348"/>
      <c r="F719" s="348"/>
      <c r="G719" s="348"/>
      <c r="H719" s="348"/>
      <c r="I719" s="348"/>
      <c r="J719" s="348"/>
      <c r="K719" s="348"/>
      <c r="L719" s="333"/>
      <c r="M719" s="333"/>
      <c r="N719" s="333"/>
      <c r="O719" s="333"/>
      <c r="P719" s="333"/>
      <c r="Q719" s="333"/>
      <c r="R719" s="333"/>
      <c r="S719" s="333"/>
      <c r="T719" s="333"/>
      <c r="U719" s="333"/>
      <c r="V719" s="333"/>
      <c r="W719" s="333"/>
      <c r="X719" s="333"/>
      <c r="Y719" s="333"/>
      <c r="Z719" s="333"/>
    </row>
    <row r="720" spans="1:26" ht="15.6">
      <c r="A720" s="333"/>
      <c r="B720" s="348"/>
      <c r="C720" s="348"/>
      <c r="D720" s="348"/>
      <c r="E720" s="348"/>
      <c r="F720" s="348"/>
      <c r="G720" s="348"/>
      <c r="H720" s="348"/>
      <c r="I720" s="348"/>
      <c r="J720" s="348"/>
      <c r="K720" s="348"/>
      <c r="L720" s="333"/>
      <c r="M720" s="333"/>
      <c r="N720" s="333"/>
      <c r="O720" s="333"/>
      <c r="P720" s="333"/>
      <c r="Q720" s="333"/>
      <c r="R720" s="333"/>
      <c r="S720" s="333"/>
      <c r="T720" s="333"/>
      <c r="U720" s="333"/>
      <c r="V720" s="333"/>
      <c r="W720" s="333"/>
      <c r="X720" s="333"/>
      <c r="Y720" s="333"/>
      <c r="Z720" s="333"/>
    </row>
    <row r="721" spans="1:26" ht="15.6">
      <c r="A721" s="333"/>
      <c r="B721" s="348"/>
      <c r="C721" s="348"/>
      <c r="D721" s="348"/>
      <c r="E721" s="348"/>
      <c r="F721" s="348"/>
      <c r="G721" s="348"/>
      <c r="H721" s="348"/>
      <c r="I721" s="348"/>
      <c r="J721" s="348"/>
      <c r="K721" s="348"/>
      <c r="L721" s="333"/>
      <c r="M721" s="333"/>
      <c r="N721" s="333"/>
      <c r="O721" s="333"/>
      <c r="P721" s="333"/>
      <c r="Q721" s="333"/>
      <c r="R721" s="333"/>
      <c r="S721" s="333"/>
      <c r="T721" s="333"/>
      <c r="U721" s="333"/>
      <c r="V721" s="333"/>
      <c r="W721" s="333"/>
      <c r="X721" s="333"/>
      <c r="Y721" s="333"/>
      <c r="Z721" s="333"/>
    </row>
    <row r="722" spans="1:26" ht="15.6">
      <c r="A722" s="333"/>
      <c r="B722" s="348"/>
      <c r="C722" s="348"/>
      <c r="D722" s="348"/>
      <c r="E722" s="348"/>
      <c r="F722" s="348"/>
      <c r="G722" s="348"/>
      <c r="H722" s="348"/>
      <c r="I722" s="348"/>
      <c r="J722" s="348"/>
      <c r="K722" s="348"/>
      <c r="L722" s="333"/>
      <c r="M722" s="333"/>
      <c r="N722" s="333"/>
      <c r="O722" s="333"/>
      <c r="P722" s="333"/>
      <c r="Q722" s="333"/>
      <c r="R722" s="333"/>
      <c r="S722" s="333"/>
      <c r="T722" s="333"/>
      <c r="U722" s="333"/>
      <c r="V722" s="333"/>
      <c r="W722" s="333"/>
      <c r="X722" s="333"/>
      <c r="Y722" s="333"/>
      <c r="Z722" s="333"/>
    </row>
    <row r="723" spans="1:26" ht="15.6">
      <c r="A723" s="333"/>
      <c r="B723" s="348"/>
      <c r="C723" s="348"/>
      <c r="D723" s="348"/>
      <c r="E723" s="348"/>
      <c r="F723" s="348"/>
      <c r="G723" s="348"/>
      <c r="H723" s="348"/>
      <c r="I723" s="348"/>
      <c r="J723" s="348"/>
      <c r="K723" s="348"/>
      <c r="L723" s="333"/>
      <c r="M723" s="333"/>
      <c r="N723" s="333"/>
      <c r="O723" s="333"/>
      <c r="P723" s="333"/>
      <c r="Q723" s="333"/>
      <c r="R723" s="333"/>
      <c r="S723" s="333"/>
      <c r="T723" s="333"/>
      <c r="U723" s="333"/>
      <c r="V723" s="333"/>
      <c r="W723" s="333"/>
      <c r="X723" s="333"/>
      <c r="Y723" s="333"/>
      <c r="Z723" s="333"/>
    </row>
    <row r="724" spans="1:26" ht="15.6">
      <c r="A724" s="333"/>
      <c r="B724" s="348"/>
      <c r="C724" s="348"/>
      <c r="D724" s="348"/>
      <c r="E724" s="348"/>
      <c r="F724" s="348"/>
      <c r="G724" s="348"/>
      <c r="H724" s="348"/>
      <c r="I724" s="348"/>
      <c r="J724" s="348"/>
      <c r="K724" s="348"/>
      <c r="L724" s="333"/>
      <c r="M724" s="333"/>
      <c r="N724" s="333"/>
      <c r="O724" s="333"/>
      <c r="P724" s="333"/>
      <c r="Q724" s="333"/>
      <c r="R724" s="333"/>
      <c r="S724" s="333"/>
      <c r="T724" s="333"/>
      <c r="U724" s="333"/>
      <c r="V724" s="333"/>
      <c r="W724" s="333"/>
      <c r="X724" s="333"/>
      <c r="Y724" s="333"/>
      <c r="Z724" s="333"/>
    </row>
    <row r="725" spans="1:26" ht="15.6">
      <c r="A725" s="333"/>
      <c r="B725" s="348"/>
      <c r="C725" s="348"/>
      <c r="D725" s="348"/>
      <c r="E725" s="348"/>
      <c r="F725" s="348"/>
      <c r="G725" s="348"/>
      <c r="H725" s="348"/>
      <c r="I725" s="348"/>
      <c r="J725" s="348"/>
      <c r="K725" s="348"/>
      <c r="L725" s="333"/>
      <c r="M725" s="333"/>
      <c r="N725" s="333"/>
      <c r="O725" s="333"/>
      <c r="P725" s="333"/>
      <c r="Q725" s="333"/>
      <c r="R725" s="333"/>
      <c r="S725" s="333"/>
      <c r="T725" s="333"/>
      <c r="U725" s="333"/>
      <c r="V725" s="333"/>
      <c r="W725" s="333"/>
      <c r="X725" s="333"/>
      <c r="Y725" s="333"/>
      <c r="Z725" s="333"/>
    </row>
    <row r="726" spans="1:26" ht="15.6">
      <c r="A726" s="333"/>
      <c r="B726" s="348"/>
      <c r="C726" s="348"/>
      <c r="D726" s="348"/>
      <c r="E726" s="348"/>
      <c r="F726" s="348"/>
      <c r="G726" s="348"/>
      <c r="H726" s="348"/>
      <c r="I726" s="348"/>
      <c r="J726" s="348"/>
      <c r="K726" s="348"/>
      <c r="L726" s="333"/>
      <c r="M726" s="333"/>
      <c r="N726" s="333"/>
      <c r="O726" s="333"/>
      <c r="P726" s="333"/>
      <c r="Q726" s="333"/>
      <c r="R726" s="333"/>
      <c r="S726" s="333"/>
      <c r="T726" s="333"/>
      <c r="U726" s="333"/>
      <c r="V726" s="333"/>
      <c r="W726" s="333"/>
      <c r="X726" s="333"/>
      <c r="Y726" s="333"/>
      <c r="Z726" s="333"/>
    </row>
    <row r="727" spans="1:26" ht="15.6">
      <c r="A727" s="333"/>
      <c r="B727" s="348"/>
      <c r="C727" s="348"/>
      <c r="D727" s="348"/>
      <c r="E727" s="348"/>
      <c r="F727" s="348"/>
      <c r="G727" s="348"/>
      <c r="H727" s="348"/>
      <c r="I727" s="348"/>
      <c r="J727" s="348"/>
      <c r="K727" s="348"/>
      <c r="L727" s="333"/>
      <c r="M727" s="333"/>
      <c r="N727" s="333"/>
      <c r="O727" s="333"/>
      <c r="P727" s="333"/>
      <c r="Q727" s="333"/>
      <c r="R727" s="333"/>
      <c r="S727" s="333"/>
      <c r="T727" s="333"/>
      <c r="U727" s="333"/>
      <c r="V727" s="333"/>
      <c r="W727" s="333"/>
      <c r="X727" s="333"/>
      <c r="Y727" s="333"/>
      <c r="Z727" s="333"/>
    </row>
    <row r="728" spans="1:26" ht="15.6">
      <c r="A728" s="333"/>
      <c r="B728" s="348"/>
      <c r="C728" s="348"/>
      <c r="D728" s="348"/>
      <c r="E728" s="348"/>
      <c r="F728" s="348"/>
      <c r="G728" s="348"/>
      <c r="H728" s="348"/>
      <c r="I728" s="348"/>
      <c r="J728" s="348"/>
      <c r="K728" s="348"/>
      <c r="L728" s="333"/>
      <c r="M728" s="333"/>
      <c r="N728" s="333"/>
      <c r="O728" s="333"/>
      <c r="P728" s="333"/>
      <c r="Q728" s="333"/>
      <c r="R728" s="333"/>
      <c r="S728" s="333"/>
      <c r="T728" s="333"/>
      <c r="U728" s="333"/>
      <c r="V728" s="333"/>
      <c r="W728" s="333"/>
      <c r="X728" s="333"/>
      <c r="Y728" s="333"/>
      <c r="Z728" s="333"/>
    </row>
    <row r="729" spans="1:26" ht="15.6">
      <c r="A729" s="333"/>
      <c r="B729" s="348"/>
      <c r="C729" s="348"/>
      <c r="D729" s="348"/>
      <c r="E729" s="348"/>
      <c r="F729" s="348"/>
      <c r="G729" s="348"/>
      <c r="H729" s="348"/>
      <c r="I729" s="348"/>
      <c r="J729" s="348"/>
      <c r="K729" s="348"/>
      <c r="L729" s="333"/>
      <c r="M729" s="333"/>
      <c r="N729" s="333"/>
      <c r="O729" s="333"/>
      <c r="P729" s="333"/>
      <c r="Q729" s="333"/>
      <c r="R729" s="333"/>
      <c r="S729" s="333"/>
      <c r="T729" s="333"/>
      <c r="U729" s="333"/>
      <c r="V729" s="333"/>
      <c r="W729" s="333"/>
      <c r="X729" s="333"/>
      <c r="Y729" s="333"/>
      <c r="Z729" s="333"/>
    </row>
    <row r="730" spans="1:26" ht="15.6">
      <c r="A730" s="333"/>
      <c r="B730" s="348"/>
      <c r="C730" s="348"/>
      <c r="D730" s="348"/>
      <c r="E730" s="348"/>
      <c r="F730" s="348"/>
      <c r="G730" s="348"/>
      <c r="H730" s="348"/>
      <c r="I730" s="348"/>
      <c r="J730" s="348"/>
      <c r="K730" s="348"/>
      <c r="L730" s="333"/>
      <c r="M730" s="333"/>
      <c r="N730" s="333"/>
      <c r="O730" s="333"/>
      <c r="P730" s="333"/>
      <c r="Q730" s="333"/>
      <c r="R730" s="333"/>
      <c r="S730" s="333"/>
      <c r="T730" s="333"/>
      <c r="U730" s="333"/>
      <c r="V730" s="333"/>
      <c r="W730" s="333"/>
      <c r="X730" s="333"/>
      <c r="Y730" s="333"/>
      <c r="Z730" s="333"/>
    </row>
    <row r="731" spans="1:26" ht="15.6">
      <c r="A731" s="333"/>
      <c r="B731" s="348"/>
      <c r="C731" s="348"/>
      <c r="D731" s="348"/>
      <c r="E731" s="348"/>
      <c r="F731" s="348"/>
      <c r="G731" s="348"/>
      <c r="H731" s="348"/>
      <c r="I731" s="348"/>
      <c r="J731" s="348"/>
      <c r="K731" s="348"/>
      <c r="L731" s="333"/>
      <c r="M731" s="333"/>
      <c r="N731" s="333"/>
      <c r="O731" s="333"/>
      <c r="P731" s="333"/>
      <c r="Q731" s="333"/>
      <c r="R731" s="333"/>
      <c r="S731" s="333"/>
      <c r="T731" s="333"/>
      <c r="U731" s="333"/>
      <c r="V731" s="333"/>
      <c r="W731" s="333"/>
      <c r="X731" s="333"/>
      <c r="Y731" s="333"/>
      <c r="Z731" s="333"/>
    </row>
    <row r="732" spans="1:26" ht="15.6">
      <c r="A732" s="333"/>
      <c r="B732" s="348"/>
      <c r="C732" s="348"/>
      <c r="D732" s="348"/>
      <c r="E732" s="348"/>
      <c r="F732" s="348"/>
      <c r="G732" s="348"/>
      <c r="H732" s="348"/>
      <c r="I732" s="348"/>
      <c r="J732" s="348"/>
      <c r="K732" s="348"/>
      <c r="L732" s="333"/>
      <c r="M732" s="333"/>
      <c r="N732" s="333"/>
      <c r="O732" s="333"/>
      <c r="P732" s="333"/>
      <c r="Q732" s="333"/>
      <c r="R732" s="333"/>
      <c r="S732" s="333"/>
      <c r="T732" s="333"/>
      <c r="U732" s="333"/>
      <c r="V732" s="333"/>
      <c r="W732" s="333"/>
      <c r="X732" s="333"/>
      <c r="Y732" s="333"/>
      <c r="Z732" s="333"/>
    </row>
    <row r="733" spans="1:26" ht="15.6">
      <c r="A733" s="333"/>
      <c r="B733" s="348"/>
      <c r="C733" s="348"/>
      <c r="D733" s="348"/>
      <c r="E733" s="348"/>
      <c r="F733" s="348"/>
      <c r="G733" s="348"/>
      <c r="H733" s="348"/>
      <c r="I733" s="348"/>
      <c r="J733" s="348"/>
      <c r="K733" s="348"/>
      <c r="L733" s="333"/>
      <c r="M733" s="333"/>
      <c r="N733" s="333"/>
      <c r="O733" s="333"/>
      <c r="P733" s="333"/>
      <c r="Q733" s="333"/>
      <c r="R733" s="333"/>
      <c r="S733" s="333"/>
      <c r="T733" s="333"/>
      <c r="U733" s="333"/>
      <c r="V733" s="333"/>
      <c r="W733" s="333"/>
      <c r="X733" s="333"/>
      <c r="Y733" s="333"/>
      <c r="Z733" s="333"/>
    </row>
    <row r="734" spans="1:26" ht="15.6">
      <c r="A734" s="333"/>
      <c r="B734" s="348"/>
      <c r="C734" s="348"/>
      <c r="D734" s="348"/>
      <c r="E734" s="348"/>
      <c r="F734" s="348"/>
      <c r="G734" s="348"/>
      <c r="H734" s="348"/>
      <c r="I734" s="348"/>
      <c r="J734" s="348"/>
      <c r="K734" s="348"/>
      <c r="L734" s="333"/>
      <c r="M734" s="333"/>
      <c r="N734" s="333"/>
      <c r="O734" s="333"/>
      <c r="P734" s="333"/>
      <c r="Q734" s="333"/>
      <c r="R734" s="333"/>
      <c r="S734" s="333"/>
      <c r="T734" s="333"/>
      <c r="U734" s="333"/>
      <c r="V734" s="333"/>
      <c r="W734" s="333"/>
      <c r="X734" s="333"/>
      <c r="Y734" s="333"/>
      <c r="Z734" s="333"/>
    </row>
    <row r="735" spans="1:26" ht="15.6">
      <c r="A735" s="333"/>
      <c r="B735" s="348"/>
      <c r="C735" s="348"/>
      <c r="D735" s="348"/>
      <c r="E735" s="348"/>
      <c r="F735" s="348"/>
      <c r="G735" s="348"/>
      <c r="H735" s="348"/>
      <c r="I735" s="348"/>
      <c r="J735" s="348"/>
      <c r="K735" s="348"/>
      <c r="L735" s="333"/>
      <c r="M735" s="333"/>
      <c r="N735" s="333"/>
      <c r="O735" s="333"/>
      <c r="P735" s="333"/>
      <c r="Q735" s="333"/>
      <c r="R735" s="333"/>
      <c r="S735" s="333"/>
      <c r="T735" s="333"/>
      <c r="U735" s="333"/>
      <c r="V735" s="333"/>
      <c r="W735" s="333"/>
      <c r="X735" s="333"/>
      <c r="Y735" s="333"/>
      <c r="Z735" s="333"/>
    </row>
    <row r="736" spans="1:26" ht="15.6">
      <c r="A736" s="333"/>
      <c r="B736" s="348"/>
      <c r="C736" s="348"/>
      <c r="D736" s="348"/>
      <c r="E736" s="348"/>
      <c r="F736" s="348"/>
      <c r="G736" s="348"/>
      <c r="H736" s="348"/>
      <c r="I736" s="348"/>
      <c r="J736" s="348"/>
      <c r="K736" s="348"/>
      <c r="L736" s="333"/>
      <c r="M736" s="333"/>
      <c r="N736" s="333"/>
      <c r="O736" s="333"/>
      <c r="P736" s="333"/>
      <c r="Q736" s="333"/>
      <c r="R736" s="333"/>
      <c r="S736" s="333"/>
      <c r="T736" s="333"/>
      <c r="U736" s="333"/>
      <c r="V736" s="333"/>
      <c r="W736" s="333"/>
      <c r="X736" s="333"/>
      <c r="Y736" s="333"/>
      <c r="Z736" s="333"/>
    </row>
    <row r="737" spans="1:26" ht="15.6">
      <c r="A737" s="333"/>
      <c r="B737" s="348"/>
      <c r="C737" s="348"/>
      <c r="D737" s="348"/>
      <c r="E737" s="348"/>
      <c r="F737" s="348"/>
      <c r="G737" s="348"/>
      <c r="H737" s="348"/>
      <c r="I737" s="348"/>
      <c r="J737" s="348"/>
      <c r="K737" s="348"/>
      <c r="L737" s="333"/>
      <c r="M737" s="333"/>
      <c r="N737" s="333"/>
      <c r="O737" s="333"/>
      <c r="P737" s="333"/>
      <c r="Q737" s="333"/>
      <c r="R737" s="333"/>
      <c r="S737" s="333"/>
      <c r="T737" s="333"/>
      <c r="U737" s="333"/>
      <c r="V737" s="333"/>
      <c r="W737" s="333"/>
      <c r="X737" s="333"/>
      <c r="Y737" s="333"/>
      <c r="Z737" s="333"/>
    </row>
    <row r="738" spans="1:26" ht="15.6">
      <c r="A738" s="333"/>
      <c r="B738" s="348"/>
      <c r="C738" s="348"/>
      <c r="D738" s="348"/>
      <c r="E738" s="348"/>
      <c r="F738" s="348"/>
      <c r="G738" s="348"/>
      <c r="H738" s="348"/>
      <c r="I738" s="348"/>
      <c r="J738" s="348"/>
      <c r="K738" s="348"/>
      <c r="L738" s="333"/>
      <c r="M738" s="333"/>
      <c r="N738" s="333"/>
      <c r="O738" s="333"/>
      <c r="P738" s="333"/>
      <c r="Q738" s="333"/>
      <c r="R738" s="333"/>
      <c r="S738" s="333"/>
      <c r="T738" s="333"/>
      <c r="U738" s="333"/>
      <c r="V738" s="333"/>
      <c r="W738" s="333"/>
      <c r="X738" s="333"/>
      <c r="Y738" s="333"/>
      <c r="Z738" s="333"/>
    </row>
    <row r="739" spans="1:26" ht="15.6">
      <c r="A739" s="333"/>
      <c r="B739" s="348"/>
      <c r="C739" s="348"/>
      <c r="D739" s="348"/>
      <c r="E739" s="348"/>
      <c r="F739" s="348"/>
      <c r="G739" s="348"/>
      <c r="H739" s="348"/>
      <c r="I739" s="348"/>
      <c r="J739" s="348"/>
      <c r="K739" s="348"/>
      <c r="L739" s="333"/>
      <c r="M739" s="333"/>
      <c r="N739" s="333"/>
      <c r="O739" s="333"/>
      <c r="P739" s="333"/>
      <c r="Q739" s="333"/>
      <c r="R739" s="333"/>
      <c r="S739" s="333"/>
      <c r="T739" s="333"/>
      <c r="U739" s="333"/>
      <c r="V739" s="333"/>
      <c r="W739" s="333"/>
      <c r="X739" s="333"/>
      <c r="Y739" s="333"/>
      <c r="Z739" s="333"/>
    </row>
    <row r="740" spans="1:26" ht="15.6">
      <c r="A740" s="333"/>
      <c r="B740" s="348"/>
      <c r="C740" s="348"/>
      <c r="D740" s="348"/>
      <c r="E740" s="348"/>
      <c r="F740" s="348"/>
      <c r="G740" s="348"/>
      <c r="H740" s="348"/>
      <c r="I740" s="348"/>
      <c r="J740" s="348"/>
      <c r="K740" s="348"/>
      <c r="L740" s="333"/>
      <c r="M740" s="333"/>
      <c r="N740" s="333"/>
      <c r="O740" s="333"/>
      <c r="P740" s="333"/>
      <c r="Q740" s="333"/>
      <c r="R740" s="333"/>
      <c r="S740" s="333"/>
      <c r="T740" s="333"/>
      <c r="U740" s="333"/>
      <c r="V740" s="333"/>
      <c r="W740" s="333"/>
      <c r="X740" s="333"/>
      <c r="Y740" s="333"/>
      <c r="Z740" s="333"/>
    </row>
    <row r="741" spans="1:26" ht="15.6">
      <c r="A741" s="333"/>
      <c r="B741" s="348"/>
      <c r="C741" s="348"/>
      <c r="D741" s="348"/>
      <c r="E741" s="348"/>
      <c r="F741" s="348"/>
      <c r="G741" s="348"/>
      <c r="H741" s="348"/>
      <c r="I741" s="348"/>
      <c r="J741" s="348"/>
      <c r="K741" s="348"/>
      <c r="L741" s="333"/>
      <c r="M741" s="333"/>
      <c r="N741" s="333"/>
      <c r="O741" s="333"/>
      <c r="P741" s="333"/>
      <c r="Q741" s="333"/>
      <c r="R741" s="333"/>
      <c r="S741" s="333"/>
      <c r="T741" s="333"/>
      <c r="U741" s="333"/>
      <c r="V741" s="333"/>
      <c r="W741" s="333"/>
      <c r="X741" s="333"/>
      <c r="Y741" s="333"/>
      <c r="Z741" s="333"/>
    </row>
    <row r="742" spans="1:26" ht="15.6">
      <c r="A742" s="333"/>
      <c r="B742" s="348"/>
      <c r="C742" s="348"/>
      <c r="D742" s="348"/>
      <c r="E742" s="348"/>
      <c r="F742" s="348"/>
      <c r="G742" s="348"/>
      <c r="H742" s="348"/>
      <c r="I742" s="348"/>
      <c r="J742" s="348"/>
      <c r="K742" s="348"/>
      <c r="L742" s="333"/>
      <c r="M742" s="333"/>
      <c r="N742" s="333"/>
      <c r="O742" s="333"/>
      <c r="P742" s="333"/>
      <c r="Q742" s="333"/>
      <c r="R742" s="333"/>
      <c r="S742" s="333"/>
      <c r="T742" s="333"/>
      <c r="U742" s="333"/>
      <c r="V742" s="333"/>
      <c r="W742" s="333"/>
      <c r="X742" s="333"/>
      <c r="Y742" s="333"/>
      <c r="Z742" s="333"/>
    </row>
    <row r="743" spans="1:26" ht="15.6">
      <c r="A743" s="333"/>
      <c r="B743" s="348"/>
      <c r="C743" s="348"/>
      <c r="D743" s="348"/>
      <c r="E743" s="348"/>
      <c r="F743" s="348"/>
      <c r="G743" s="348"/>
      <c r="H743" s="348"/>
      <c r="I743" s="348"/>
      <c r="J743" s="348"/>
      <c r="K743" s="348"/>
      <c r="L743" s="333"/>
      <c r="M743" s="333"/>
      <c r="N743" s="333"/>
      <c r="O743" s="333"/>
      <c r="P743" s="333"/>
      <c r="Q743" s="333"/>
      <c r="R743" s="333"/>
      <c r="S743" s="333"/>
      <c r="T743" s="333"/>
      <c r="U743" s="333"/>
      <c r="V743" s="333"/>
      <c r="W743" s="333"/>
      <c r="X743" s="333"/>
      <c r="Y743" s="333"/>
      <c r="Z743" s="333"/>
    </row>
    <row r="744" spans="1:26" ht="15.6">
      <c r="A744" s="333"/>
      <c r="B744" s="348"/>
      <c r="C744" s="348"/>
      <c r="D744" s="348"/>
      <c r="E744" s="348"/>
      <c r="F744" s="348"/>
      <c r="G744" s="348"/>
      <c r="H744" s="348"/>
      <c r="I744" s="348"/>
      <c r="J744" s="348"/>
      <c r="K744" s="348"/>
      <c r="L744" s="333"/>
      <c r="M744" s="333"/>
      <c r="N744" s="333"/>
      <c r="O744" s="333"/>
      <c r="P744" s="333"/>
      <c r="Q744" s="333"/>
      <c r="R744" s="333"/>
      <c r="S744" s="333"/>
      <c r="T744" s="333"/>
      <c r="U744" s="333"/>
      <c r="V744" s="333"/>
      <c r="W744" s="333"/>
      <c r="X744" s="333"/>
      <c r="Y744" s="333"/>
      <c r="Z744" s="333"/>
    </row>
    <row r="745" spans="1:26" ht="15.6">
      <c r="A745" s="333"/>
      <c r="B745" s="348"/>
      <c r="C745" s="348"/>
      <c r="D745" s="348"/>
      <c r="E745" s="348"/>
      <c r="F745" s="348"/>
      <c r="G745" s="348"/>
      <c r="H745" s="348"/>
      <c r="I745" s="348"/>
      <c r="J745" s="348"/>
      <c r="K745" s="348"/>
      <c r="L745" s="333"/>
      <c r="M745" s="333"/>
      <c r="N745" s="333"/>
      <c r="O745" s="333"/>
      <c r="P745" s="333"/>
      <c r="Q745" s="333"/>
      <c r="R745" s="333"/>
      <c r="S745" s="333"/>
      <c r="T745" s="333"/>
      <c r="U745" s="333"/>
      <c r="V745" s="333"/>
      <c r="W745" s="333"/>
      <c r="X745" s="333"/>
      <c r="Y745" s="333"/>
      <c r="Z745" s="333"/>
    </row>
    <row r="746" spans="1:26" ht="15.6">
      <c r="A746" s="333"/>
      <c r="B746" s="348"/>
      <c r="C746" s="348"/>
      <c r="D746" s="348"/>
      <c r="E746" s="348"/>
      <c r="F746" s="348"/>
      <c r="G746" s="348"/>
      <c r="H746" s="348"/>
      <c r="I746" s="348"/>
      <c r="J746" s="348"/>
      <c r="K746" s="348"/>
      <c r="L746" s="333"/>
      <c r="M746" s="333"/>
      <c r="N746" s="333"/>
      <c r="O746" s="333"/>
      <c r="P746" s="333"/>
      <c r="Q746" s="333"/>
      <c r="R746" s="333"/>
      <c r="S746" s="333"/>
      <c r="T746" s="333"/>
      <c r="U746" s="333"/>
      <c r="V746" s="333"/>
      <c r="W746" s="333"/>
      <c r="X746" s="333"/>
      <c r="Y746" s="333"/>
      <c r="Z746" s="333"/>
    </row>
    <row r="747" spans="1:26" ht="15.6">
      <c r="A747" s="333"/>
      <c r="B747" s="348"/>
      <c r="C747" s="348"/>
      <c r="D747" s="348"/>
      <c r="E747" s="348"/>
      <c r="F747" s="348"/>
      <c r="G747" s="348"/>
      <c r="H747" s="348"/>
      <c r="I747" s="348"/>
      <c r="J747" s="348"/>
      <c r="K747" s="348"/>
      <c r="L747" s="333"/>
      <c r="M747" s="333"/>
      <c r="N747" s="333"/>
      <c r="O747" s="333"/>
      <c r="P747" s="333"/>
      <c r="Q747" s="333"/>
      <c r="R747" s="333"/>
      <c r="S747" s="333"/>
      <c r="T747" s="333"/>
      <c r="U747" s="333"/>
      <c r="V747" s="333"/>
      <c r="W747" s="333"/>
      <c r="X747" s="333"/>
      <c r="Y747" s="333"/>
      <c r="Z747" s="333"/>
    </row>
    <row r="748" spans="1:26" ht="15.6">
      <c r="A748" s="333"/>
      <c r="B748" s="348"/>
      <c r="C748" s="348"/>
      <c r="D748" s="348"/>
      <c r="E748" s="348"/>
      <c r="F748" s="348"/>
      <c r="G748" s="348"/>
      <c r="H748" s="348"/>
      <c r="I748" s="348"/>
      <c r="J748" s="348"/>
      <c r="K748" s="348"/>
      <c r="L748" s="333"/>
      <c r="M748" s="333"/>
      <c r="N748" s="333"/>
      <c r="O748" s="333"/>
      <c r="P748" s="333"/>
      <c r="Q748" s="333"/>
      <c r="R748" s="333"/>
      <c r="S748" s="333"/>
      <c r="T748" s="333"/>
      <c r="U748" s="333"/>
      <c r="V748" s="333"/>
      <c r="W748" s="333"/>
      <c r="X748" s="333"/>
      <c r="Y748" s="333"/>
      <c r="Z748" s="333"/>
    </row>
    <row r="749" spans="1:26" ht="15.6">
      <c r="A749" s="333"/>
      <c r="B749" s="348"/>
      <c r="C749" s="348"/>
      <c r="D749" s="348"/>
      <c r="E749" s="348"/>
      <c r="F749" s="348"/>
      <c r="G749" s="348"/>
      <c r="H749" s="348"/>
      <c r="I749" s="348"/>
      <c r="J749" s="348"/>
      <c r="K749" s="348"/>
      <c r="L749" s="333"/>
      <c r="M749" s="333"/>
      <c r="N749" s="333"/>
      <c r="O749" s="333"/>
      <c r="P749" s="333"/>
      <c r="Q749" s="333"/>
      <c r="R749" s="333"/>
      <c r="S749" s="333"/>
      <c r="T749" s="333"/>
      <c r="U749" s="333"/>
      <c r="V749" s="333"/>
      <c r="W749" s="333"/>
      <c r="X749" s="333"/>
      <c r="Y749" s="333"/>
      <c r="Z749" s="333"/>
    </row>
    <row r="750" spans="1:26" ht="15.6">
      <c r="A750" s="333"/>
      <c r="B750" s="348"/>
      <c r="C750" s="348"/>
      <c r="D750" s="348"/>
      <c r="E750" s="348"/>
      <c r="F750" s="348"/>
      <c r="G750" s="348"/>
      <c r="H750" s="348"/>
      <c r="I750" s="348"/>
      <c r="J750" s="348"/>
      <c r="K750" s="348"/>
      <c r="L750" s="333"/>
      <c r="M750" s="333"/>
      <c r="N750" s="333"/>
      <c r="O750" s="333"/>
      <c r="P750" s="333"/>
      <c r="Q750" s="333"/>
      <c r="R750" s="333"/>
      <c r="S750" s="333"/>
      <c r="T750" s="333"/>
      <c r="U750" s="333"/>
      <c r="V750" s="333"/>
      <c r="W750" s="333"/>
      <c r="X750" s="333"/>
      <c r="Y750" s="333"/>
      <c r="Z750" s="333"/>
    </row>
    <row r="751" spans="1:26" ht="15.6">
      <c r="A751" s="333"/>
      <c r="B751" s="348"/>
      <c r="C751" s="348"/>
      <c r="D751" s="348"/>
      <c r="E751" s="348"/>
      <c r="F751" s="348"/>
      <c r="G751" s="348"/>
      <c r="H751" s="348"/>
      <c r="I751" s="348"/>
      <c r="J751" s="348"/>
      <c r="K751" s="348"/>
      <c r="L751" s="333"/>
      <c r="M751" s="333"/>
      <c r="N751" s="333"/>
      <c r="O751" s="333"/>
      <c r="P751" s="333"/>
      <c r="Q751" s="333"/>
      <c r="R751" s="333"/>
      <c r="S751" s="333"/>
      <c r="T751" s="333"/>
      <c r="U751" s="333"/>
      <c r="V751" s="333"/>
      <c r="W751" s="333"/>
      <c r="X751" s="333"/>
      <c r="Y751" s="333"/>
      <c r="Z751" s="333"/>
    </row>
    <row r="752" spans="1:26" ht="15.6">
      <c r="A752" s="333"/>
      <c r="B752" s="348"/>
      <c r="C752" s="348"/>
      <c r="D752" s="348"/>
      <c r="E752" s="348"/>
      <c r="F752" s="348"/>
      <c r="G752" s="348"/>
      <c r="H752" s="348"/>
      <c r="I752" s="348"/>
      <c r="J752" s="348"/>
      <c r="K752" s="348"/>
      <c r="L752" s="333"/>
      <c r="M752" s="333"/>
      <c r="N752" s="333"/>
      <c r="O752" s="333"/>
      <c r="P752" s="333"/>
      <c r="Q752" s="333"/>
      <c r="R752" s="333"/>
      <c r="S752" s="333"/>
      <c r="T752" s="333"/>
      <c r="U752" s="333"/>
      <c r="V752" s="333"/>
      <c r="W752" s="333"/>
      <c r="X752" s="333"/>
      <c r="Y752" s="333"/>
      <c r="Z752" s="333"/>
    </row>
    <row r="753" spans="1:26" ht="15.6">
      <c r="A753" s="333"/>
      <c r="B753" s="348"/>
      <c r="C753" s="348"/>
      <c r="D753" s="348"/>
      <c r="E753" s="348"/>
      <c r="F753" s="348"/>
      <c r="G753" s="348"/>
      <c r="H753" s="348"/>
      <c r="I753" s="348"/>
      <c r="J753" s="348"/>
      <c r="K753" s="348"/>
      <c r="L753" s="333"/>
      <c r="M753" s="333"/>
      <c r="N753" s="333"/>
      <c r="O753" s="333"/>
      <c r="P753" s="333"/>
      <c r="Q753" s="333"/>
      <c r="R753" s="333"/>
      <c r="S753" s="333"/>
      <c r="T753" s="333"/>
      <c r="U753" s="333"/>
      <c r="V753" s="333"/>
      <c r="W753" s="333"/>
      <c r="X753" s="333"/>
      <c r="Y753" s="333"/>
      <c r="Z753" s="333"/>
    </row>
    <row r="754" spans="1:26" ht="15.6">
      <c r="A754" s="333"/>
      <c r="B754" s="348"/>
      <c r="C754" s="348"/>
      <c r="D754" s="348"/>
      <c r="E754" s="348"/>
      <c r="F754" s="348"/>
      <c r="G754" s="348"/>
      <c r="H754" s="348"/>
      <c r="I754" s="348"/>
      <c r="J754" s="348"/>
      <c r="K754" s="348"/>
      <c r="L754" s="333"/>
      <c r="M754" s="333"/>
      <c r="N754" s="333"/>
      <c r="O754" s="333"/>
      <c r="P754" s="333"/>
      <c r="Q754" s="333"/>
      <c r="R754" s="333"/>
      <c r="S754" s="333"/>
      <c r="T754" s="333"/>
      <c r="U754" s="333"/>
      <c r="V754" s="333"/>
      <c r="W754" s="333"/>
      <c r="X754" s="333"/>
      <c r="Y754" s="333"/>
      <c r="Z754" s="333"/>
    </row>
    <row r="755" spans="1:26" ht="15.6">
      <c r="A755" s="333"/>
      <c r="B755" s="348"/>
      <c r="C755" s="348"/>
      <c r="D755" s="348"/>
      <c r="E755" s="348"/>
      <c r="F755" s="348"/>
      <c r="G755" s="348"/>
      <c r="H755" s="348"/>
      <c r="I755" s="348"/>
      <c r="J755" s="348"/>
      <c r="K755" s="348"/>
      <c r="L755" s="333"/>
      <c r="M755" s="333"/>
      <c r="N755" s="333"/>
      <c r="O755" s="333"/>
      <c r="P755" s="333"/>
      <c r="Q755" s="333"/>
      <c r="R755" s="333"/>
      <c r="S755" s="333"/>
      <c r="T755" s="333"/>
      <c r="U755" s="333"/>
      <c r="V755" s="333"/>
      <c r="W755" s="333"/>
      <c r="X755" s="333"/>
      <c r="Y755" s="333"/>
      <c r="Z755" s="333"/>
    </row>
    <row r="756" spans="1:26" ht="15.6">
      <c r="A756" s="333"/>
      <c r="B756" s="348"/>
      <c r="C756" s="348"/>
      <c r="D756" s="348"/>
      <c r="E756" s="348"/>
      <c r="F756" s="348"/>
      <c r="G756" s="348"/>
      <c r="H756" s="348"/>
      <c r="I756" s="348"/>
      <c r="J756" s="348"/>
      <c r="K756" s="348"/>
      <c r="L756" s="333"/>
      <c r="M756" s="333"/>
      <c r="N756" s="333"/>
      <c r="O756" s="333"/>
      <c r="P756" s="333"/>
      <c r="Q756" s="333"/>
      <c r="R756" s="333"/>
      <c r="S756" s="333"/>
      <c r="T756" s="333"/>
      <c r="U756" s="333"/>
      <c r="V756" s="333"/>
      <c r="W756" s="333"/>
      <c r="X756" s="333"/>
      <c r="Y756" s="333"/>
      <c r="Z756" s="333"/>
    </row>
    <row r="757" spans="1:26" ht="15.6">
      <c r="A757" s="333"/>
      <c r="B757" s="348"/>
      <c r="C757" s="348"/>
      <c r="D757" s="348"/>
      <c r="E757" s="348"/>
      <c r="F757" s="348"/>
      <c r="G757" s="348"/>
      <c r="H757" s="348"/>
      <c r="I757" s="348"/>
      <c r="J757" s="348"/>
      <c r="K757" s="348"/>
      <c r="L757" s="333"/>
      <c r="M757" s="333"/>
      <c r="N757" s="333"/>
      <c r="O757" s="333"/>
      <c r="P757" s="333"/>
      <c r="Q757" s="333"/>
      <c r="R757" s="333"/>
      <c r="S757" s="333"/>
      <c r="T757" s="333"/>
      <c r="U757" s="333"/>
      <c r="V757" s="333"/>
      <c r="W757" s="333"/>
      <c r="X757" s="333"/>
      <c r="Y757" s="333"/>
      <c r="Z757" s="333"/>
    </row>
    <row r="758" spans="1:26" ht="15.6">
      <c r="A758" s="333"/>
      <c r="B758" s="348"/>
      <c r="C758" s="348"/>
      <c r="D758" s="348"/>
      <c r="E758" s="348"/>
      <c r="F758" s="348"/>
      <c r="G758" s="348"/>
      <c r="H758" s="348"/>
      <c r="I758" s="348"/>
      <c r="J758" s="348"/>
      <c r="K758" s="348"/>
      <c r="L758" s="333"/>
      <c r="M758" s="333"/>
      <c r="N758" s="333"/>
      <c r="O758" s="333"/>
      <c r="P758" s="333"/>
      <c r="Q758" s="333"/>
      <c r="R758" s="333"/>
      <c r="S758" s="333"/>
      <c r="T758" s="333"/>
      <c r="U758" s="333"/>
      <c r="V758" s="333"/>
      <c r="W758" s="333"/>
      <c r="X758" s="333"/>
      <c r="Y758" s="333"/>
      <c r="Z758" s="333"/>
    </row>
    <row r="759" spans="1:26" ht="15.6">
      <c r="A759" s="333"/>
      <c r="B759" s="348"/>
      <c r="C759" s="348"/>
      <c r="D759" s="348"/>
      <c r="E759" s="348"/>
      <c r="F759" s="348"/>
      <c r="G759" s="348"/>
      <c r="H759" s="348"/>
      <c r="I759" s="348"/>
      <c r="J759" s="348"/>
      <c r="K759" s="348"/>
      <c r="L759" s="333"/>
      <c r="M759" s="333"/>
      <c r="N759" s="333"/>
      <c r="O759" s="333"/>
      <c r="P759" s="333"/>
      <c r="Q759" s="333"/>
      <c r="R759" s="333"/>
      <c r="S759" s="333"/>
      <c r="T759" s="333"/>
      <c r="U759" s="333"/>
      <c r="V759" s="333"/>
      <c r="W759" s="333"/>
      <c r="X759" s="333"/>
      <c r="Y759" s="333"/>
      <c r="Z759" s="333"/>
    </row>
    <row r="760" spans="1:26" ht="15.6">
      <c r="A760" s="333"/>
      <c r="B760" s="348"/>
      <c r="C760" s="348"/>
      <c r="D760" s="348"/>
      <c r="E760" s="348"/>
      <c r="F760" s="348"/>
      <c r="G760" s="348"/>
      <c r="H760" s="348"/>
      <c r="I760" s="348"/>
      <c r="J760" s="348"/>
      <c r="K760" s="348"/>
      <c r="L760" s="333"/>
      <c r="M760" s="333"/>
      <c r="N760" s="333"/>
      <c r="O760" s="333"/>
      <c r="P760" s="333"/>
      <c r="Q760" s="333"/>
      <c r="R760" s="333"/>
      <c r="S760" s="333"/>
      <c r="T760" s="333"/>
      <c r="U760" s="333"/>
      <c r="V760" s="333"/>
      <c r="W760" s="333"/>
      <c r="X760" s="333"/>
      <c r="Y760" s="333"/>
      <c r="Z760" s="333"/>
    </row>
    <row r="761" spans="1:26" ht="15.6">
      <c r="A761" s="333"/>
      <c r="B761" s="348"/>
      <c r="C761" s="348"/>
      <c r="D761" s="348"/>
      <c r="E761" s="348"/>
      <c r="F761" s="348"/>
      <c r="G761" s="348"/>
      <c r="H761" s="348"/>
      <c r="I761" s="348"/>
      <c r="J761" s="348"/>
      <c r="K761" s="348"/>
      <c r="L761" s="333"/>
      <c r="M761" s="333"/>
      <c r="N761" s="333"/>
      <c r="O761" s="333"/>
      <c r="P761" s="333"/>
      <c r="Q761" s="333"/>
      <c r="R761" s="333"/>
      <c r="S761" s="333"/>
      <c r="T761" s="333"/>
      <c r="U761" s="333"/>
      <c r="V761" s="333"/>
      <c r="W761" s="333"/>
      <c r="X761" s="333"/>
      <c r="Y761" s="333"/>
      <c r="Z761" s="333"/>
    </row>
    <row r="762" spans="1:26" ht="15.6">
      <c r="A762" s="333"/>
      <c r="B762" s="348"/>
      <c r="C762" s="348"/>
      <c r="D762" s="348"/>
      <c r="E762" s="348"/>
      <c r="F762" s="348"/>
      <c r="G762" s="348"/>
      <c r="H762" s="348"/>
      <c r="I762" s="348"/>
      <c r="J762" s="348"/>
      <c r="K762" s="348"/>
      <c r="L762" s="333"/>
      <c r="M762" s="333"/>
      <c r="N762" s="333"/>
      <c r="O762" s="333"/>
      <c r="P762" s="333"/>
      <c r="Q762" s="333"/>
      <c r="R762" s="333"/>
      <c r="S762" s="333"/>
      <c r="T762" s="333"/>
      <c r="U762" s="333"/>
      <c r="V762" s="333"/>
      <c r="W762" s="333"/>
      <c r="X762" s="333"/>
      <c r="Y762" s="333"/>
      <c r="Z762" s="333"/>
    </row>
    <row r="763" spans="1:26" ht="15.6">
      <c r="A763" s="333"/>
      <c r="B763" s="348"/>
      <c r="C763" s="348"/>
      <c r="D763" s="348"/>
      <c r="E763" s="348"/>
      <c r="F763" s="348"/>
      <c r="G763" s="348"/>
      <c r="H763" s="348"/>
      <c r="I763" s="348"/>
      <c r="J763" s="348"/>
      <c r="K763" s="348"/>
      <c r="L763" s="333"/>
      <c r="M763" s="333"/>
      <c r="N763" s="333"/>
      <c r="O763" s="333"/>
      <c r="P763" s="333"/>
      <c r="Q763" s="333"/>
      <c r="R763" s="333"/>
      <c r="S763" s="333"/>
      <c r="T763" s="333"/>
      <c r="U763" s="333"/>
      <c r="V763" s="333"/>
      <c r="W763" s="333"/>
      <c r="X763" s="333"/>
      <c r="Y763" s="333"/>
      <c r="Z763" s="333"/>
    </row>
    <row r="764" spans="1:26" ht="15.6">
      <c r="A764" s="333"/>
      <c r="B764" s="348"/>
      <c r="C764" s="348"/>
      <c r="D764" s="348"/>
      <c r="E764" s="348"/>
      <c r="F764" s="348"/>
      <c r="G764" s="348"/>
      <c r="H764" s="348"/>
      <c r="I764" s="348"/>
      <c r="J764" s="348"/>
      <c r="K764" s="348"/>
      <c r="L764" s="333"/>
      <c r="M764" s="333"/>
      <c r="N764" s="333"/>
      <c r="O764" s="333"/>
      <c r="P764" s="333"/>
      <c r="Q764" s="333"/>
      <c r="R764" s="333"/>
      <c r="S764" s="333"/>
      <c r="T764" s="333"/>
      <c r="U764" s="333"/>
      <c r="V764" s="333"/>
      <c r="W764" s="333"/>
      <c r="X764" s="333"/>
      <c r="Y764" s="333"/>
      <c r="Z764" s="333"/>
    </row>
    <row r="765" spans="1:26" ht="15.6">
      <c r="A765" s="333"/>
      <c r="B765" s="348"/>
      <c r="C765" s="348"/>
      <c r="D765" s="348"/>
      <c r="E765" s="348"/>
      <c r="F765" s="348"/>
      <c r="G765" s="348"/>
      <c r="H765" s="348"/>
      <c r="I765" s="348"/>
      <c r="J765" s="348"/>
      <c r="K765" s="348"/>
      <c r="L765" s="333"/>
      <c r="M765" s="333"/>
      <c r="N765" s="333"/>
      <c r="O765" s="333"/>
      <c r="P765" s="333"/>
      <c r="Q765" s="333"/>
      <c r="R765" s="333"/>
      <c r="S765" s="333"/>
      <c r="T765" s="333"/>
      <c r="U765" s="333"/>
      <c r="V765" s="333"/>
      <c r="W765" s="333"/>
      <c r="X765" s="333"/>
      <c r="Y765" s="333"/>
      <c r="Z765" s="333"/>
    </row>
    <row r="766" spans="1:26" ht="15.6">
      <c r="A766" s="333"/>
      <c r="B766" s="348"/>
      <c r="C766" s="348"/>
      <c r="D766" s="348"/>
      <c r="E766" s="348"/>
      <c r="F766" s="348"/>
      <c r="G766" s="348"/>
      <c r="H766" s="348"/>
      <c r="I766" s="348"/>
      <c r="J766" s="348"/>
      <c r="K766" s="348"/>
      <c r="L766" s="333"/>
      <c r="M766" s="333"/>
      <c r="N766" s="333"/>
      <c r="O766" s="333"/>
      <c r="P766" s="333"/>
      <c r="Q766" s="333"/>
      <c r="R766" s="333"/>
      <c r="S766" s="333"/>
      <c r="T766" s="333"/>
      <c r="U766" s="333"/>
      <c r="V766" s="333"/>
      <c r="W766" s="333"/>
      <c r="X766" s="333"/>
      <c r="Y766" s="333"/>
      <c r="Z766" s="333"/>
    </row>
    <row r="767" spans="1:26" ht="15.6">
      <c r="A767" s="333"/>
      <c r="B767" s="348"/>
      <c r="C767" s="348"/>
      <c r="D767" s="348"/>
      <c r="E767" s="348"/>
      <c r="F767" s="348"/>
      <c r="G767" s="348"/>
      <c r="H767" s="348"/>
      <c r="I767" s="348"/>
      <c r="J767" s="348"/>
      <c r="K767" s="348"/>
      <c r="L767" s="333"/>
      <c r="M767" s="333"/>
      <c r="N767" s="333"/>
      <c r="O767" s="333"/>
      <c r="P767" s="333"/>
      <c r="Q767" s="333"/>
      <c r="R767" s="333"/>
      <c r="S767" s="333"/>
      <c r="T767" s="333"/>
      <c r="U767" s="333"/>
      <c r="V767" s="333"/>
      <c r="W767" s="333"/>
      <c r="X767" s="333"/>
      <c r="Y767" s="333"/>
      <c r="Z767" s="333"/>
    </row>
    <row r="768" spans="1:26" ht="15.6">
      <c r="A768" s="333"/>
      <c r="B768" s="348"/>
      <c r="C768" s="348"/>
      <c r="D768" s="348"/>
      <c r="E768" s="348"/>
      <c r="F768" s="348"/>
      <c r="G768" s="348"/>
      <c r="H768" s="348"/>
      <c r="I768" s="348"/>
      <c r="J768" s="348"/>
      <c r="K768" s="348"/>
      <c r="L768" s="333"/>
      <c r="M768" s="333"/>
      <c r="N768" s="333"/>
      <c r="O768" s="333"/>
      <c r="P768" s="333"/>
      <c r="Q768" s="333"/>
      <c r="R768" s="333"/>
      <c r="S768" s="333"/>
      <c r="T768" s="333"/>
      <c r="U768" s="333"/>
      <c r="V768" s="333"/>
      <c r="W768" s="333"/>
      <c r="X768" s="333"/>
      <c r="Y768" s="333"/>
      <c r="Z768" s="333"/>
    </row>
    <row r="769" spans="1:26" ht="15.6">
      <c r="A769" s="333"/>
      <c r="B769" s="348"/>
      <c r="C769" s="348"/>
      <c r="D769" s="348"/>
      <c r="E769" s="348"/>
      <c r="F769" s="348"/>
      <c r="G769" s="348"/>
      <c r="H769" s="348"/>
      <c r="I769" s="348"/>
      <c r="J769" s="348"/>
      <c r="K769" s="348"/>
      <c r="L769" s="333"/>
      <c r="M769" s="333"/>
      <c r="N769" s="333"/>
      <c r="O769" s="333"/>
      <c r="P769" s="333"/>
      <c r="Q769" s="333"/>
      <c r="R769" s="333"/>
      <c r="S769" s="333"/>
      <c r="T769" s="333"/>
      <c r="U769" s="333"/>
      <c r="V769" s="333"/>
      <c r="W769" s="333"/>
      <c r="X769" s="333"/>
      <c r="Y769" s="333"/>
      <c r="Z769" s="333"/>
    </row>
    <row r="770" spans="1:26" ht="15.6">
      <c r="A770" s="333"/>
      <c r="B770" s="348"/>
      <c r="C770" s="348"/>
      <c r="D770" s="348"/>
      <c r="E770" s="348"/>
      <c r="F770" s="348"/>
      <c r="G770" s="348"/>
      <c r="H770" s="348"/>
      <c r="I770" s="348"/>
      <c r="J770" s="348"/>
      <c r="K770" s="348"/>
      <c r="L770" s="333"/>
      <c r="M770" s="333"/>
      <c r="N770" s="333"/>
      <c r="O770" s="333"/>
      <c r="P770" s="333"/>
      <c r="Q770" s="333"/>
      <c r="R770" s="333"/>
      <c r="S770" s="333"/>
      <c r="T770" s="333"/>
      <c r="U770" s="333"/>
      <c r="V770" s="333"/>
      <c r="W770" s="333"/>
      <c r="X770" s="333"/>
      <c r="Y770" s="333"/>
      <c r="Z770" s="333"/>
    </row>
    <row r="771" spans="1:26" ht="15.6">
      <c r="A771" s="333"/>
      <c r="B771" s="348"/>
      <c r="C771" s="348"/>
      <c r="D771" s="348"/>
      <c r="E771" s="348"/>
      <c r="F771" s="348"/>
      <c r="G771" s="348"/>
      <c r="H771" s="348"/>
      <c r="I771" s="348"/>
      <c r="J771" s="348"/>
      <c r="K771" s="348"/>
      <c r="L771" s="333"/>
      <c r="M771" s="333"/>
      <c r="N771" s="333"/>
      <c r="O771" s="333"/>
      <c r="P771" s="333"/>
      <c r="Q771" s="333"/>
      <c r="R771" s="333"/>
      <c r="S771" s="333"/>
      <c r="T771" s="333"/>
      <c r="U771" s="333"/>
      <c r="V771" s="333"/>
      <c r="W771" s="333"/>
      <c r="X771" s="333"/>
      <c r="Y771" s="333"/>
      <c r="Z771" s="333"/>
    </row>
    <row r="772" spans="1:26" ht="15.6">
      <c r="A772" s="333"/>
      <c r="B772" s="348"/>
      <c r="C772" s="348"/>
      <c r="D772" s="348"/>
      <c r="E772" s="348"/>
      <c r="F772" s="348"/>
      <c r="G772" s="348"/>
      <c r="H772" s="348"/>
      <c r="I772" s="348"/>
      <c r="J772" s="348"/>
      <c r="K772" s="348"/>
      <c r="L772" s="333"/>
      <c r="M772" s="333"/>
      <c r="N772" s="333"/>
      <c r="O772" s="333"/>
      <c r="P772" s="333"/>
      <c r="Q772" s="333"/>
      <c r="R772" s="333"/>
      <c r="S772" s="333"/>
      <c r="T772" s="333"/>
      <c r="U772" s="333"/>
      <c r="V772" s="333"/>
      <c r="W772" s="333"/>
      <c r="X772" s="333"/>
      <c r="Y772" s="333"/>
      <c r="Z772" s="333"/>
    </row>
    <row r="773" spans="1:26" ht="15.6">
      <c r="A773" s="333"/>
      <c r="B773" s="348"/>
      <c r="C773" s="348"/>
      <c r="D773" s="348"/>
      <c r="E773" s="348"/>
      <c r="F773" s="348"/>
      <c r="G773" s="348"/>
      <c r="H773" s="348"/>
      <c r="I773" s="348"/>
      <c r="J773" s="348"/>
      <c r="K773" s="348"/>
      <c r="L773" s="333"/>
      <c r="M773" s="333"/>
      <c r="N773" s="333"/>
      <c r="O773" s="333"/>
      <c r="P773" s="333"/>
      <c r="Q773" s="333"/>
      <c r="R773" s="333"/>
      <c r="S773" s="333"/>
      <c r="T773" s="333"/>
      <c r="U773" s="333"/>
      <c r="V773" s="333"/>
      <c r="W773" s="333"/>
      <c r="X773" s="333"/>
      <c r="Y773" s="333"/>
      <c r="Z773" s="333"/>
    </row>
    <row r="774" spans="1:26" ht="15.6">
      <c r="A774" s="333"/>
      <c r="B774" s="348"/>
      <c r="C774" s="348"/>
      <c r="D774" s="348"/>
      <c r="E774" s="348"/>
      <c r="F774" s="348"/>
      <c r="G774" s="348"/>
      <c r="H774" s="348"/>
      <c r="I774" s="348"/>
      <c r="J774" s="348"/>
      <c r="K774" s="348"/>
      <c r="L774" s="333"/>
      <c r="M774" s="333"/>
      <c r="N774" s="333"/>
      <c r="O774" s="333"/>
      <c r="P774" s="333"/>
      <c r="Q774" s="333"/>
      <c r="R774" s="333"/>
      <c r="S774" s="333"/>
      <c r="T774" s="333"/>
      <c r="U774" s="333"/>
      <c r="V774" s="333"/>
      <c r="W774" s="333"/>
      <c r="X774" s="333"/>
      <c r="Y774" s="333"/>
      <c r="Z774" s="333"/>
    </row>
    <row r="775" spans="1:26" ht="15.6">
      <c r="A775" s="333"/>
      <c r="B775" s="348"/>
      <c r="C775" s="348"/>
      <c r="D775" s="348"/>
      <c r="E775" s="348"/>
      <c r="F775" s="348"/>
      <c r="G775" s="348"/>
      <c r="H775" s="348"/>
      <c r="I775" s="348"/>
      <c r="J775" s="348"/>
      <c r="K775" s="348"/>
      <c r="L775" s="333"/>
      <c r="M775" s="333"/>
      <c r="N775" s="333"/>
      <c r="O775" s="333"/>
      <c r="P775" s="333"/>
      <c r="Q775" s="333"/>
      <c r="R775" s="333"/>
      <c r="S775" s="333"/>
      <c r="T775" s="333"/>
      <c r="U775" s="333"/>
      <c r="V775" s="333"/>
      <c r="W775" s="333"/>
      <c r="X775" s="333"/>
      <c r="Y775" s="333"/>
      <c r="Z775" s="333"/>
    </row>
    <row r="776" spans="1:26" ht="15.6">
      <c r="A776" s="333"/>
      <c r="B776" s="348"/>
      <c r="C776" s="348"/>
      <c r="D776" s="348"/>
      <c r="E776" s="348"/>
      <c r="F776" s="348"/>
      <c r="G776" s="348"/>
      <c r="H776" s="348"/>
      <c r="I776" s="348"/>
      <c r="J776" s="348"/>
      <c r="K776" s="348"/>
      <c r="L776" s="333"/>
      <c r="M776" s="333"/>
      <c r="N776" s="333"/>
      <c r="O776" s="333"/>
      <c r="P776" s="333"/>
      <c r="Q776" s="333"/>
      <c r="R776" s="333"/>
      <c r="S776" s="333"/>
      <c r="T776" s="333"/>
      <c r="U776" s="333"/>
      <c r="V776" s="333"/>
      <c r="W776" s="333"/>
      <c r="X776" s="333"/>
      <c r="Y776" s="333"/>
      <c r="Z776" s="333"/>
    </row>
    <row r="777" spans="1:26" ht="15.6">
      <c r="A777" s="333"/>
      <c r="B777" s="348"/>
      <c r="C777" s="348"/>
      <c r="D777" s="348"/>
      <c r="E777" s="348"/>
      <c r="F777" s="348"/>
      <c r="G777" s="348"/>
      <c r="H777" s="348"/>
      <c r="I777" s="348"/>
      <c r="J777" s="348"/>
      <c r="K777" s="348"/>
      <c r="L777" s="333"/>
      <c r="M777" s="333"/>
      <c r="N777" s="333"/>
      <c r="O777" s="333"/>
      <c r="P777" s="333"/>
      <c r="Q777" s="333"/>
      <c r="R777" s="333"/>
      <c r="S777" s="333"/>
      <c r="T777" s="333"/>
      <c r="U777" s="333"/>
      <c r="V777" s="333"/>
      <c r="W777" s="333"/>
      <c r="X777" s="333"/>
      <c r="Y777" s="333"/>
      <c r="Z777" s="333"/>
    </row>
    <row r="778" spans="1:26" ht="15.6">
      <c r="A778" s="333"/>
      <c r="B778" s="348"/>
      <c r="C778" s="348"/>
      <c r="D778" s="348"/>
      <c r="E778" s="348"/>
      <c r="F778" s="348"/>
      <c r="G778" s="348"/>
      <c r="H778" s="348"/>
      <c r="I778" s="348"/>
      <c r="J778" s="348"/>
      <c r="K778" s="348"/>
      <c r="L778" s="333"/>
      <c r="M778" s="333"/>
      <c r="N778" s="333"/>
      <c r="O778" s="333"/>
      <c r="P778" s="333"/>
      <c r="Q778" s="333"/>
      <c r="R778" s="333"/>
      <c r="S778" s="333"/>
      <c r="T778" s="333"/>
      <c r="U778" s="333"/>
      <c r="V778" s="333"/>
      <c r="W778" s="333"/>
      <c r="X778" s="333"/>
      <c r="Y778" s="333"/>
      <c r="Z778" s="333"/>
    </row>
    <row r="779" spans="1:26" ht="15.6">
      <c r="A779" s="333"/>
      <c r="B779" s="348"/>
      <c r="C779" s="348"/>
      <c r="D779" s="348"/>
      <c r="E779" s="348"/>
      <c r="F779" s="348"/>
      <c r="G779" s="348"/>
      <c r="H779" s="348"/>
      <c r="I779" s="348"/>
      <c r="J779" s="348"/>
      <c r="K779" s="348"/>
      <c r="L779" s="333"/>
      <c r="M779" s="333"/>
      <c r="N779" s="333"/>
      <c r="O779" s="333"/>
      <c r="P779" s="333"/>
      <c r="Q779" s="333"/>
      <c r="R779" s="333"/>
      <c r="S779" s="333"/>
      <c r="T779" s="333"/>
      <c r="U779" s="333"/>
      <c r="V779" s="333"/>
      <c r="W779" s="333"/>
      <c r="X779" s="333"/>
      <c r="Y779" s="333"/>
      <c r="Z779" s="333"/>
    </row>
    <row r="780" spans="1:26" ht="15.6">
      <c r="A780" s="333"/>
      <c r="B780" s="348"/>
      <c r="C780" s="348"/>
      <c r="D780" s="348"/>
      <c r="E780" s="348"/>
      <c r="F780" s="348"/>
      <c r="G780" s="348"/>
      <c r="H780" s="348"/>
      <c r="I780" s="348"/>
      <c r="J780" s="348"/>
      <c r="K780" s="348"/>
      <c r="L780" s="333"/>
      <c r="M780" s="333"/>
      <c r="N780" s="333"/>
      <c r="O780" s="333"/>
      <c r="P780" s="333"/>
      <c r="Q780" s="333"/>
      <c r="R780" s="333"/>
      <c r="S780" s="333"/>
      <c r="T780" s="333"/>
      <c r="U780" s="333"/>
      <c r="V780" s="333"/>
      <c r="W780" s="333"/>
      <c r="X780" s="333"/>
      <c r="Y780" s="333"/>
      <c r="Z780" s="333"/>
    </row>
    <row r="781" spans="1:26" ht="15.6">
      <c r="A781" s="333"/>
      <c r="B781" s="348"/>
      <c r="C781" s="348"/>
      <c r="D781" s="348"/>
      <c r="E781" s="348"/>
      <c r="F781" s="348"/>
      <c r="G781" s="348"/>
      <c r="H781" s="348"/>
      <c r="I781" s="348"/>
      <c r="J781" s="348"/>
      <c r="K781" s="348"/>
      <c r="L781" s="333"/>
      <c r="M781" s="333"/>
      <c r="N781" s="333"/>
      <c r="O781" s="333"/>
      <c r="P781" s="333"/>
      <c r="Q781" s="333"/>
      <c r="R781" s="333"/>
      <c r="S781" s="333"/>
      <c r="T781" s="333"/>
      <c r="U781" s="333"/>
      <c r="V781" s="333"/>
      <c r="W781" s="333"/>
      <c r="X781" s="333"/>
      <c r="Y781" s="333"/>
      <c r="Z781" s="333"/>
    </row>
    <row r="782" spans="1:26" ht="15.6">
      <c r="A782" s="333"/>
      <c r="B782" s="348"/>
      <c r="C782" s="348"/>
      <c r="D782" s="348"/>
      <c r="E782" s="348"/>
      <c r="F782" s="348"/>
      <c r="G782" s="348"/>
      <c r="H782" s="348"/>
      <c r="I782" s="348"/>
      <c r="J782" s="348"/>
      <c r="K782" s="348"/>
      <c r="L782" s="333"/>
      <c r="M782" s="333"/>
      <c r="N782" s="333"/>
      <c r="O782" s="333"/>
      <c r="P782" s="333"/>
      <c r="Q782" s="333"/>
      <c r="R782" s="333"/>
      <c r="S782" s="333"/>
      <c r="T782" s="333"/>
      <c r="U782" s="333"/>
      <c r="V782" s="333"/>
      <c r="W782" s="333"/>
      <c r="X782" s="333"/>
      <c r="Y782" s="333"/>
      <c r="Z782" s="333"/>
    </row>
    <row r="783" spans="1:26" ht="15.6">
      <c r="A783" s="333"/>
      <c r="B783" s="348"/>
      <c r="C783" s="348"/>
      <c r="D783" s="348"/>
      <c r="E783" s="348"/>
      <c r="F783" s="348"/>
      <c r="G783" s="348"/>
      <c r="H783" s="348"/>
      <c r="I783" s="348"/>
      <c r="J783" s="348"/>
      <c r="K783" s="348"/>
      <c r="L783" s="333"/>
      <c r="M783" s="333"/>
      <c r="N783" s="333"/>
      <c r="O783" s="333"/>
      <c r="P783" s="333"/>
      <c r="Q783" s="333"/>
      <c r="R783" s="333"/>
      <c r="S783" s="333"/>
      <c r="T783" s="333"/>
      <c r="U783" s="333"/>
      <c r="V783" s="333"/>
      <c r="W783" s="333"/>
      <c r="X783" s="333"/>
      <c r="Y783" s="333"/>
      <c r="Z783" s="333"/>
    </row>
    <row r="784" spans="1:26" ht="15.6">
      <c r="A784" s="333"/>
      <c r="B784" s="348"/>
      <c r="C784" s="348"/>
      <c r="D784" s="348"/>
      <c r="E784" s="348"/>
      <c r="F784" s="348"/>
      <c r="G784" s="348"/>
      <c r="H784" s="348"/>
      <c r="I784" s="348"/>
      <c r="J784" s="348"/>
      <c r="K784" s="348"/>
      <c r="L784" s="333"/>
      <c r="M784" s="333"/>
      <c r="N784" s="333"/>
      <c r="O784" s="333"/>
      <c r="P784" s="333"/>
      <c r="Q784" s="333"/>
      <c r="R784" s="333"/>
      <c r="S784" s="333"/>
      <c r="T784" s="333"/>
      <c r="U784" s="333"/>
      <c r="V784" s="333"/>
      <c r="W784" s="333"/>
      <c r="X784" s="333"/>
      <c r="Y784" s="333"/>
      <c r="Z784" s="333"/>
    </row>
    <row r="785" spans="1:26" ht="15.6">
      <c r="A785" s="333"/>
      <c r="B785" s="348"/>
      <c r="C785" s="348"/>
      <c r="D785" s="348"/>
      <c r="E785" s="348"/>
      <c r="F785" s="348"/>
      <c r="G785" s="348"/>
      <c r="H785" s="348"/>
      <c r="I785" s="348"/>
      <c r="J785" s="348"/>
      <c r="K785" s="348"/>
      <c r="L785" s="333"/>
      <c r="M785" s="333"/>
      <c r="N785" s="333"/>
      <c r="O785" s="333"/>
      <c r="P785" s="333"/>
      <c r="Q785" s="333"/>
      <c r="R785" s="333"/>
      <c r="S785" s="333"/>
      <c r="T785" s="333"/>
      <c r="U785" s="333"/>
      <c r="V785" s="333"/>
      <c r="W785" s="333"/>
      <c r="X785" s="333"/>
      <c r="Y785" s="333"/>
      <c r="Z785" s="333"/>
    </row>
    <row r="786" spans="1:26" ht="15.6">
      <c r="A786" s="333"/>
      <c r="B786" s="348"/>
      <c r="C786" s="348"/>
      <c r="D786" s="348"/>
      <c r="E786" s="348"/>
      <c r="F786" s="348"/>
      <c r="G786" s="348"/>
      <c r="H786" s="348"/>
      <c r="I786" s="348"/>
      <c r="J786" s="348"/>
      <c r="K786" s="348"/>
      <c r="L786" s="333"/>
      <c r="M786" s="333"/>
      <c r="N786" s="333"/>
      <c r="O786" s="333"/>
      <c r="P786" s="333"/>
      <c r="Q786" s="333"/>
      <c r="R786" s="333"/>
      <c r="S786" s="333"/>
      <c r="T786" s="333"/>
      <c r="U786" s="333"/>
      <c r="V786" s="333"/>
      <c r="W786" s="333"/>
      <c r="X786" s="333"/>
      <c r="Y786" s="333"/>
      <c r="Z786" s="333"/>
    </row>
    <row r="787" spans="1:26" ht="15.6">
      <c r="A787" s="333"/>
      <c r="B787" s="348"/>
      <c r="C787" s="348"/>
      <c r="D787" s="348"/>
      <c r="E787" s="348"/>
      <c r="F787" s="348"/>
      <c r="G787" s="348"/>
      <c r="H787" s="348"/>
      <c r="I787" s="348"/>
      <c r="J787" s="348"/>
      <c r="K787" s="348"/>
      <c r="L787" s="333"/>
      <c r="M787" s="333"/>
      <c r="N787" s="333"/>
      <c r="O787" s="333"/>
      <c r="P787" s="333"/>
      <c r="Q787" s="333"/>
      <c r="R787" s="333"/>
      <c r="S787" s="333"/>
      <c r="T787" s="333"/>
      <c r="U787" s="333"/>
      <c r="V787" s="333"/>
      <c r="W787" s="333"/>
      <c r="X787" s="333"/>
      <c r="Y787" s="333"/>
      <c r="Z787" s="333"/>
    </row>
    <row r="788" spans="1:26" ht="15.6">
      <c r="A788" s="333"/>
      <c r="B788" s="348"/>
      <c r="C788" s="348"/>
      <c r="D788" s="348"/>
      <c r="E788" s="348"/>
      <c r="F788" s="348"/>
      <c r="G788" s="348"/>
      <c r="H788" s="348"/>
      <c r="I788" s="348"/>
      <c r="J788" s="348"/>
      <c r="K788" s="348"/>
      <c r="L788" s="333"/>
      <c r="M788" s="333"/>
      <c r="N788" s="333"/>
      <c r="O788" s="333"/>
      <c r="P788" s="333"/>
      <c r="Q788" s="333"/>
      <c r="R788" s="333"/>
      <c r="S788" s="333"/>
      <c r="T788" s="333"/>
      <c r="U788" s="333"/>
      <c r="V788" s="333"/>
      <c r="W788" s="333"/>
      <c r="X788" s="333"/>
      <c r="Y788" s="333"/>
      <c r="Z788" s="333"/>
    </row>
    <row r="789" spans="1:26" ht="15.6">
      <c r="A789" s="333"/>
      <c r="B789" s="348"/>
      <c r="C789" s="348"/>
      <c r="D789" s="348"/>
      <c r="E789" s="348"/>
      <c r="F789" s="348"/>
      <c r="G789" s="348"/>
      <c r="H789" s="348"/>
      <c r="I789" s="348"/>
      <c r="J789" s="348"/>
      <c r="K789" s="348"/>
      <c r="L789" s="333"/>
      <c r="M789" s="333"/>
      <c r="N789" s="333"/>
      <c r="O789" s="333"/>
      <c r="P789" s="333"/>
      <c r="Q789" s="333"/>
      <c r="R789" s="333"/>
      <c r="S789" s="333"/>
      <c r="T789" s="333"/>
      <c r="U789" s="333"/>
      <c r="V789" s="333"/>
      <c r="W789" s="333"/>
      <c r="X789" s="333"/>
      <c r="Y789" s="333"/>
      <c r="Z789" s="333"/>
    </row>
    <row r="790" spans="1:26" ht="15.6">
      <c r="A790" s="333"/>
      <c r="B790" s="348"/>
      <c r="C790" s="348"/>
      <c r="D790" s="348"/>
      <c r="E790" s="348"/>
      <c r="F790" s="348"/>
      <c r="G790" s="348"/>
      <c r="H790" s="348"/>
      <c r="I790" s="348"/>
      <c r="J790" s="348"/>
      <c r="K790" s="348"/>
      <c r="L790" s="333"/>
      <c r="M790" s="333"/>
      <c r="N790" s="333"/>
      <c r="O790" s="333"/>
      <c r="P790" s="333"/>
      <c r="Q790" s="333"/>
      <c r="R790" s="333"/>
      <c r="S790" s="333"/>
      <c r="T790" s="333"/>
      <c r="U790" s="333"/>
      <c r="V790" s="333"/>
      <c r="W790" s="333"/>
      <c r="X790" s="333"/>
      <c r="Y790" s="333"/>
      <c r="Z790" s="333"/>
    </row>
    <row r="791" spans="1:26" ht="15.6">
      <c r="A791" s="333"/>
      <c r="B791" s="348"/>
      <c r="C791" s="348"/>
      <c r="D791" s="348"/>
      <c r="E791" s="348"/>
      <c r="F791" s="348"/>
      <c r="G791" s="348"/>
      <c r="H791" s="348"/>
      <c r="I791" s="348"/>
      <c r="J791" s="348"/>
      <c r="K791" s="348"/>
      <c r="L791" s="333"/>
      <c r="M791" s="333"/>
      <c r="N791" s="333"/>
      <c r="O791" s="333"/>
      <c r="P791" s="333"/>
      <c r="Q791" s="333"/>
      <c r="R791" s="333"/>
      <c r="S791" s="333"/>
      <c r="T791" s="333"/>
      <c r="U791" s="333"/>
      <c r="V791" s="333"/>
      <c r="W791" s="333"/>
      <c r="X791" s="333"/>
      <c r="Y791" s="333"/>
      <c r="Z791" s="333"/>
    </row>
    <row r="792" spans="1:26" ht="15.6">
      <c r="A792" s="333"/>
      <c r="B792" s="348"/>
      <c r="C792" s="348"/>
      <c r="D792" s="348"/>
      <c r="E792" s="348"/>
      <c r="F792" s="348"/>
      <c r="G792" s="348"/>
      <c r="H792" s="348"/>
      <c r="I792" s="348"/>
      <c r="J792" s="348"/>
      <c r="K792" s="348"/>
      <c r="L792" s="333"/>
      <c r="M792" s="333"/>
      <c r="N792" s="333"/>
      <c r="O792" s="333"/>
      <c r="P792" s="333"/>
      <c r="Q792" s="333"/>
      <c r="R792" s="333"/>
      <c r="S792" s="333"/>
      <c r="T792" s="333"/>
      <c r="U792" s="333"/>
      <c r="V792" s="333"/>
      <c r="W792" s="333"/>
      <c r="X792" s="333"/>
      <c r="Y792" s="333"/>
      <c r="Z792" s="333"/>
    </row>
    <row r="793" spans="1:26" ht="15.6">
      <c r="A793" s="333"/>
      <c r="B793" s="348"/>
      <c r="C793" s="348"/>
      <c r="D793" s="348"/>
      <c r="E793" s="348"/>
      <c r="F793" s="348"/>
      <c r="G793" s="348"/>
      <c r="H793" s="348"/>
      <c r="I793" s="348"/>
      <c r="J793" s="348"/>
      <c r="K793" s="348"/>
      <c r="L793" s="333"/>
      <c r="M793" s="333"/>
      <c r="N793" s="333"/>
      <c r="O793" s="333"/>
      <c r="P793" s="333"/>
      <c r="Q793" s="333"/>
      <c r="R793" s="333"/>
      <c r="S793" s="333"/>
      <c r="T793" s="333"/>
      <c r="U793" s="333"/>
      <c r="V793" s="333"/>
      <c r="W793" s="333"/>
      <c r="X793" s="333"/>
      <c r="Y793" s="333"/>
      <c r="Z793" s="333"/>
    </row>
    <row r="794" spans="1:26" ht="15.6">
      <c r="A794" s="333"/>
      <c r="B794" s="348"/>
      <c r="C794" s="348"/>
      <c r="D794" s="348"/>
      <c r="E794" s="348"/>
      <c r="F794" s="348"/>
      <c r="G794" s="348"/>
      <c r="H794" s="348"/>
      <c r="I794" s="348"/>
      <c r="J794" s="348"/>
      <c r="K794" s="348"/>
      <c r="L794" s="333"/>
      <c r="M794" s="333"/>
      <c r="N794" s="333"/>
      <c r="O794" s="333"/>
      <c r="P794" s="333"/>
      <c r="Q794" s="333"/>
      <c r="R794" s="333"/>
      <c r="S794" s="333"/>
      <c r="T794" s="333"/>
      <c r="U794" s="333"/>
      <c r="V794" s="333"/>
      <c r="W794" s="333"/>
      <c r="X794" s="333"/>
      <c r="Y794" s="333"/>
      <c r="Z794" s="333"/>
    </row>
    <row r="795" spans="1:26" ht="15.6">
      <c r="A795" s="333"/>
      <c r="B795" s="348"/>
      <c r="C795" s="348"/>
      <c r="D795" s="348"/>
      <c r="E795" s="348"/>
      <c r="F795" s="348"/>
      <c r="G795" s="348"/>
      <c r="H795" s="348"/>
      <c r="I795" s="348"/>
      <c r="J795" s="348"/>
      <c r="K795" s="348"/>
      <c r="L795" s="333"/>
      <c r="M795" s="333"/>
      <c r="N795" s="333"/>
      <c r="O795" s="333"/>
      <c r="P795" s="333"/>
      <c r="Q795" s="333"/>
      <c r="R795" s="333"/>
      <c r="S795" s="333"/>
      <c r="T795" s="333"/>
      <c r="U795" s="333"/>
      <c r="V795" s="333"/>
      <c r="W795" s="333"/>
      <c r="X795" s="333"/>
      <c r="Y795" s="333"/>
      <c r="Z795" s="333"/>
    </row>
    <row r="796" spans="1:26" ht="15.6">
      <c r="A796" s="333"/>
      <c r="B796" s="348"/>
      <c r="C796" s="348"/>
      <c r="D796" s="348"/>
      <c r="E796" s="348"/>
      <c r="F796" s="348"/>
      <c r="G796" s="348"/>
      <c r="H796" s="348"/>
      <c r="I796" s="348"/>
      <c r="J796" s="348"/>
      <c r="K796" s="348"/>
      <c r="L796" s="333"/>
      <c r="M796" s="333"/>
      <c r="N796" s="333"/>
      <c r="O796" s="333"/>
      <c r="P796" s="333"/>
      <c r="Q796" s="333"/>
      <c r="R796" s="333"/>
      <c r="S796" s="333"/>
      <c r="T796" s="333"/>
      <c r="U796" s="333"/>
      <c r="V796" s="333"/>
      <c r="W796" s="333"/>
      <c r="X796" s="333"/>
      <c r="Y796" s="333"/>
      <c r="Z796" s="333"/>
    </row>
    <row r="797" spans="1:26" ht="15.6">
      <c r="A797" s="333"/>
      <c r="B797" s="348"/>
      <c r="C797" s="348"/>
      <c r="D797" s="348"/>
      <c r="E797" s="348"/>
      <c r="F797" s="348"/>
      <c r="G797" s="348"/>
      <c r="H797" s="348"/>
      <c r="I797" s="348"/>
      <c r="J797" s="348"/>
      <c r="K797" s="348"/>
      <c r="L797" s="333"/>
      <c r="M797" s="333"/>
      <c r="N797" s="333"/>
      <c r="O797" s="333"/>
      <c r="P797" s="333"/>
      <c r="Q797" s="333"/>
      <c r="R797" s="333"/>
      <c r="S797" s="333"/>
      <c r="T797" s="333"/>
      <c r="U797" s="333"/>
      <c r="V797" s="333"/>
      <c r="W797" s="333"/>
      <c r="X797" s="333"/>
      <c r="Y797" s="333"/>
      <c r="Z797" s="333"/>
    </row>
    <row r="798" spans="1:26" ht="15.6">
      <c r="A798" s="333"/>
      <c r="B798" s="348"/>
      <c r="C798" s="348"/>
      <c r="D798" s="348"/>
      <c r="E798" s="348"/>
      <c r="F798" s="348"/>
      <c r="G798" s="348"/>
      <c r="H798" s="348"/>
      <c r="I798" s="348"/>
      <c r="J798" s="348"/>
      <c r="K798" s="348"/>
      <c r="L798" s="333"/>
      <c r="M798" s="333"/>
      <c r="N798" s="333"/>
      <c r="O798" s="333"/>
      <c r="P798" s="333"/>
      <c r="Q798" s="333"/>
      <c r="R798" s="333"/>
      <c r="S798" s="333"/>
      <c r="T798" s="333"/>
      <c r="U798" s="333"/>
      <c r="V798" s="333"/>
      <c r="W798" s="333"/>
      <c r="X798" s="333"/>
      <c r="Y798" s="333"/>
      <c r="Z798" s="333"/>
    </row>
    <row r="799" spans="1:26" ht="15.6">
      <c r="A799" s="333"/>
      <c r="B799" s="348"/>
      <c r="C799" s="348"/>
      <c r="D799" s="348"/>
      <c r="E799" s="348"/>
      <c r="F799" s="348"/>
      <c r="G799" s="348"/>
      <c r="H799" s="348"/>
      <c r="I799" s="348"/>
      <c r="J799" s="348"/>
      <c r="K799" s="348"/>
      <c r="L799" s="333"/>
      <c r="M799" s="333"/>
      <c r="N799" s="333"/>
      <c r="O799" s="333"/>
      <c r="P799" s="333"/>
      <c r="Q799" s="333"/>
      <c r="R799" s="333"/>
      <c r="S799" s="333"/>
      <c r="T799" s="333"/>
      <c r="U799" s="333"/>
      <c r="V799" s="333"/>
      <c r="W799" s="333"/>
      <c r="X799" s="333"/>
      <c r="Y799" s="333"/>
      <c r="Z799" s="333"/>
    </row>
    <row r="800" spans="1:26" ht="15.6">
      <c r="A800" s="333"/>
      <c r="B800" s="348"/>
      <c r="C800" s="348"/>
      <c r="D800" s="348"/>
      <c r="E800" s="348"/>
      <c r="F800" s="348"/>
      <c r="G800" s="348"/>
      <c r="H800" s="348"/>
      <c r="I800" s="348"/>
      <c r="J800" s="348"/>
      <c r="K800" s="348"/>
      <c r="L800" s="333"/>
      <c r="M800" s="333"/>
      <c r="N800" s="333"/>
      <c r="O800" s="333"/>
      <c r="P800" s="333"/>
      <c r="Q800" s="333"/>
      <c r="R800" s="333"/>
      <c r="S800" s="333"/>
      <c r="T800" s="333"/>
      <c r="U800" s="333"/>
      <c r="V800" s="333"/>
      <c r="W800" s="333"/>
      <c r="X800" s="333"/>
      <c r="Y800" s="333"/>
      <c r="Z800" s="333"/>
    </row>
    <row r="801" spans="1:26" ht="15.6">
      <c r="A801" s="333"/>
      <c r="B801" s="348"/>
      <c r="C801" s="348"/>
      <c r="D801" s="348"/>
      <c r="E801" s="348"/>
      <c r="F801" s="348"/>
      <c r="G801" s="348"/>
      <c r="H801" s="348"/>
      <c r="I801" s="348"/>
      <c r="J801" s="348"/>
      <c r="K801" s="348"/>
      <c r="L801" s="333"/>
      <c r="M801" s="333"/>
      <c r="N801" s="333"/>
      <c r="O801" s="333"/>
      <c r="P801" s="333"/>
      <c r="Q801" s="333"/>
      <c r="R801" s="333"/>
      <c r="S801" s="333"/>
      <c r="T801" s="333"/>
      <c r="U801" s="333"/>
      <c r="V801" s="333"/>
      <c r="W801" s="333"/>
      <c r="X801" s="333"/>
      <c r="Y801" s="333"/>
      <c r="Z801" s="333"/>
    </row>
    <row r="802" spans="1:26" ht="15.6">
      <c r="A802" s="333"/>
      <c r="B802" s="348"/>
      <c r="C802" s="348"/>
      <c r="D802" s="348"/>
      <c r="E802" s="348"/>
      <c r="F802" s="348"/>
      <c r="G802" s="348"/>
      <c r="H802" s="348"/>
      <c r="I802" s="348"/>
      <c r="J802" s="348"/>
      <c r="K802" s="348"/>
      <c r="L802" s="333"/>
      <c r="M802" s="333"/>
      <c r="N802" s="333"/>
      <c r="O802" s="333"/>
      <c r="P802" s="333"/>
      <c r="Q802" s="333"/>
      <c r="R802" s="333"/>
      <c r="S802" s="333"/>
      <c r="T802" s="333"/>
      <c r="U802" s="333"/>
      <c r="V802" s="333"/>
      <c r="W802" s="333"/>
      <c r="X802" s="333"/>
      <c r="Y802" s="333"/>
      <c r="Z802" s="333"/>
    </row>
    <row r="803" spans="1:26" ht="15.6">
      <c r="A803" s="333"/>
      <c r="B803" s="348"/>
      <c r="C803" s="348"/>
      <c r="D803" s="348"/>
      <c r="E803" s="348"/>
      <c r="F803" s="348"/>
      <c r="G803" s="348"/>
      <c r="H803" s="348"/>
      <c r="I803" s="348"/>
      <c r="J803" s="348"/>
      <c r="K803" s="348"/>
      <c r="L803" s="333"/>
      <c r="M803" s="333"/>
      <c r="N803" s="333"/>
      <c r="O803" s="333"/>
      <c r="P803" s="333"/>
      <c r="Q803" s="333"/>
      <c r="R803" s="333"/>
      <c r="S803" s="333"/>
      <c r="T803" s="333"/>
      <c r="U803" s="333"/>
      <c r="V803" s="333"/>
      <c r="W803" s="333"/>
      <c r="X803" s="333"/>
      <c r="Y803" s="333"/>
      <c r="Z803" s="333"/>
    </row>
    <row r="804" spans="1:26" ht="15.6">
      <c r="A804" s="333"/>
      <c r="B804" s="348"/>
      <c r="C804" s="348"/>
      <c r="D804" s="348"/>
      <c r="E804" s="348"/>
      <c r="F804" s="348"/>
      <c r="G804" s="348"/>
      <c r="H804" s="348"/>
      <c r="I804" s="348"/>
      <c r="J804" s="348"/>
      <c r="K804" s="348"/>
      <c r="L804" s="333"/>
      <c r="M804" s="333"/>
      <c r="N804" s="333"/>
      <c r="O804" s="333"/>
      <c r="P804" s="333"/>
      <c r="Q804" s="333"/>
      <c r="R804" s="333"/>
      <c r="S804" s="333"/>
      <c r="T804" s="333"/>
      <c r="U804" s="333"/>
      <c r="V804" s="333"/>
      <c r="W804" s="333"/>
      <c r="X804" s="333"/>
      <c r="Y804" s="333"/>
      <c r="Z804" s="333"/>
    </row>
    <row r="805" spans="1:26" ht="15.6">
      <c r="A805" s="333"/>
      <c r="B805" s="348"/>
      <c r="C805" s="348"/>
      <c r="D805" s="348"/>
      <c r="E805" s="348"/>
      <c r="F805" s="348"/>
      <c r="G805" s="348"/>
      <c r="H805" s="348"/>
      <c r="I805" s="348"/>
      <c r="J805" s="348"/>
      <c r="K805" s="348"/>
      <c r="L805" s="333"/>
      <c r="M805" s="333"/>
      <c r="N805" s="333"/>
      <c r="O805" s="333"/>
      <c r="P805" s="333"/>
      <c r="Q805" s="333"/>
      <c r="R805" s="333"/>
      <c r="S805" s="333"/>
      <c r="T805" s="333"/>
      <c r="U805" s="333"/>
      <c r="V805" s="333"/>
      <c r="W805" s="333"/>
      <c r="X805" s="333"/>
      <c r="Y805" s="333"/>
      <c r="Z805" s="333"/>
    </row>
    <row r="806" spans="1:26" ht="15.6">
      <c r="A806" s="333"/>
      <c r="B806" s="348"/>
      <c r="C806" s="348"/>
      <c r="D806" s="348"/>
      <c r="E806" s="348"/>
      <c r="F806" s="348"/>
      <c r="G806" s="348"/>
      <c r="H806" s="348"/>
      <c r="I806" s="348"/>
      <c r="J806" s="348"/>
      <c r="K806" s="348"/>
      <c r="L806" s="333"/>
      <c r="M806" s="333"/>
      <c r="N806" s="333"/>
      <c r="O806" s="333"/>
      <c r="P806" s="333"/>
      <c r="Q806" s="333"/>
      <c r="R806" s="333"/>
      <c r="S806" s="333"/>
      <c r="T806" s="333"/>
      <c r="U806" s="333"/>
      <c r="V806" s="333"/>
      <c r="W806" s="333"/>
      <c r="X806" s="333"/>
      <c r="Y806" s="333"/>
      <c r="Z806" s="333"/>
    </row>
    <row r="807" spans="1:26" ht="15.6">
      <c r="A807" s="333"/>
      <c r="B807" s="348"/>
      <c r="C807" s="348"/>
      <c r="D807" s="348"/>
      <c r="E807" s="348"/>
      <c r="F807" s="348"/>
      <c r="G807" s="348"/>
      <c r="H807" s="348"/>
      <c r="I807" s="348"/>
      <c r="J807" s="348"/>
      <c r="K807" s="348"/>
      <c r="L807" s="333"/>
      <c r="M807" s="333"/>
      <c r="N807" s="333"/>
      <c r="O807" s="333"/>
      <c r="P807" s="333"/>
      <c r="Q807" s="333"/>
      <c r="R807" s="333"/>
      <c r="S807" s="333"/>
      <c r="T807" s="333"/>
      <c r="U807" s="333"/>
      <c r="V807" s="333"/>
      <c r="W807" s="333"/>
      <c r="X807" s="333"/>
      <c r="Y807" s="333"/>
      <c r="Z807" s="333"/>
    </row>
    <row r="808" spans="1:26" ht="15.6">
      <c r="A808" s="333"/>
      <c r="B808" s="348"/>
      <c r="C808" s="348"/>
      <c r="D808" s="348"/>
      <c r="E808" s="348"/>
      <c r="F808" s="348"/>
      <c r="G808" s="348"/>
      <c r="H808" s="348"/>
      <c r="I808" s="348"/>
      <c r="J808" s="348"/>
      <c r="K808" s="348"/>
      <c r="L808" s="333"/>
      <c r="M808" s="333"/>
      <c r="N808" s="333"/>
      <c r="O808" s="333"/>
      <c r="P808" s="333"/>
      <c r="Q808" s="333"/>
      <c r="R808" s="333"/>
      <c r="S808" s="333"/>
      <c r="T808" s="333"/>
      <c r="U808" s="333"/>
      <c r="V808" s="333"/>
      <c r="W808" s="333"/>
      <c r="X808" s="333"/>
      <c r="Y808" s="333"/>
      <c r="Z808" s="333"/>
    </row>
    <row r="809" spans="1:26" ht="15.6">
      <c r="A809" s="333"/>
      <c r="B809" s="348"/>
      <c r="C809" s="348"/>
      <c r="D809" s="348"/>
      <c r="E809" s="348"/>
      <c r="F809" s="348"/>
      <c r="G809" s="348"/>
      <c r="H809" s="348"/>
      <c r="I809" s="348"/>
      <c r="J809" s="348"/>
      <c r="K809" s="348"/>
      <c r="L809" s="333"/>
      <c r="M809" s="333"/>
      <c r="N809" s="333"/>
      <c r="O809" s="333"/>
      <c r="P809" s="333"/>
      <c r="Q809" s="333"/>
      <c r="R809" s="333"/>
      <c r="S809" s="333"/>
      <c r="T809" s="333"/>
      <c r="U809" s="333"/>
      <c r="V809" s="333"/>
      <c r="W809" s="333"/>
      <c r="X809" s="333"/>
      <c r="Y809" s="333"/>
      <c r="Z809" s="333"/>
    </row>
    <row r="810" spans="1:26" ht="15.6">
      <c r="A810" s="333"/>
      <c r="B810" s="348"/>
      <c r="C810" s="348"/>
      <c r="D810" s="348"/>
      <c r="E810" s="348"/>
      <c r="F810" s="348"/>
      <c r="G810" s="348"/>
      <c r="H810" s="348"/>
      <c r="I810" s="348"/>
      <c r="J810" s="348"/>
      <c r="K810" s="348"/>
      <c r="L810" s="333"/>
      <c r="M810" s="333"/>
      <c r="N810" s="333"/>
      <c r="O810" s="333"/>
      <c r="P810" s="333"/>
      <c r="Q810" s="333"/>
      <c r="R810" s="333"/>
      <c r="S810" s="333"/>
      <c r="T810" s="333"/>
      <c r="U810" s="333"/>
      <c r="V810" s="333"/>
      <c r="W810" s="333"/>
      <c r="X810" s="333"/>
      <c r="Y810" s="333"/>
      <c r="Z810" s="333"/>
    </row>
    <row r="811" spans="1:26" ht="15.6">
      <c r="A811" s="333"/>
      <c r="B811" s="348"/>
      <c r="C811" s="348"/>
      <c r="D811" s="348"/>
      <c r="E811" s="348"/>
      <c r="F811" s="348"/>
      <c r="G811" s="348"/>
      <c r="H811" s="348"/>
      <c r="I811" s="348"/>
      <c r="J811" s="348"/>
      <c r="K811" s="348"/>
      <c r="L811" s="333"/>
      <c r="M811" s="333"/>
      <c r="N811" s="333"/>
      <c r="O811" s="333"/>
      <c r="P811" s="333"/>
      <c r="Q811" s="333"/>
      <c r="R811" s="333"/>
      <c r="S811" s="333"/>
      <c r="T811" s="333"/>
      <c r="U811" s="333"/>
      <c r="V811" s="333"/>
      <c r="W811" s="333"/>
      <c r="X811" s="333"/>
      <c r="Y811" s="333"/>
      <c r="Z811" s="333"/>
    </row>
    <row r="812" spans="1:26" ht="15.6">
      <c r="A812" s="333"/>
      <c r="B812" s="348"/>
      <c r="C812" s="348"/>
      <c r="D812" s="348"/>
      <c r="E812" s="348"/>
      <c r="F812" s="348"/>
      <c r="G812" s="348"/>
      <c r="H812" s="348"/>
      <c r="I812" s="348"/>
      <c r="J812" s="348"/>
      <c r="K812" s="348"/>
      <c r="L812" s="333"/>
      <c r="M812" s="333"/>
      <c r="N812" s="333"/>
      <c r="O812" s="333"/>
      <c r="P812" s="333"/>
      <c r="Q812" s="333"/>
      <c r="R812" s="333"/>
      <c r="S812" s="333"/>
      <c r="T812" s="333"/>
      <c r="U812" s="333"/>
      <c r="V812" s="333"/>
      <c r="W812" s="333"/>
      <c r="X812" s="333"/>
      <c r="Y812" s="333"/>
      <c r="Z812" s="333"/>
    </row>
    <row r="813" spans="1:26" ht="15.6">
      <c r="A813" s="333"/>
      <c r="B813" s="348"/>
      <c r="C813" s="348"/>
      <c r="D813" s="348"/>
      <c r="E813" s="348"/>
      <c r="F813" s="348"/>
      <c r="G813" s="348"/>
      <c r="H813" s="348"/>
      <c r="I813" s="348"/>
      <c r="J813" s="348"/>
      <c r="K813" s="348"/>
      <c r="L813" s="333"/>
      <c r="M813" s="333"/>
      <c r="N813" s="333"/>
      <c r="O813" s="333"/>
      <c r="P813" s="333"/>
      <c r="Q813" s="333"/>
      <c r="R813" s="333"/>
      <c r="S813" s="333"/>
      <c r="T813" s="333"/>
      <c r="U813" s="333"/>
      <c r="V813" s="333"/>
      <c r="W813" s="333"/>
      <c r="X813" s="333"/>
      <c r="Y813" s="333"/>
      <c r="Z813" s="333"/>
    </row>
    <row r="814" spans="1:26" ht="15.6">
      <c r="A814" s="333"/>
      <c r="B814" s="348"/>
      <c r="C814" s="348"/>
      <c r="D814" s="348"/>
      <c r="E814" s="348"/>
      <c r="F814" s="348"/>
      <c r="G814" s="348"/>
      <c r="H814" s="348"/>
      <c r="I814" s="348"/>
      <c r="J814" s="348"/>
      <c r="K814" s="348"/>
      <c r="L814" s="333"/>
      <c r="M814" s="333"/>
      <c r="N814" s="333"/>
      <c r="O814" s="333"/>
      <c r="P814" s="333"/>
      <c r="Q814" s="333"/>
      <c r="R814" s="333"/>
      <c r="S814" s="333"/>
      <c r="T814" s="333"/>
      <c r="U814" s="333"/>
      <c r="V814" s="333"/>
      <c r="W814" s="333"/>
      <c r="X814" s="333"/>
      <c r="Y814" s="333"/>
      <c r="Z814" s="333"/>
    </row>
    <row r="815" spans="1:26" ht="15.6">
      <c r="A815" s="333"/>
      <c r="B815" s="348"/>
      <c r="C815" s="348"/>
      <c r="D815" s="348"/>
      <c r="E815" s="348"/>
      <c r="F815" s="348"/>
      <c r="G815" s="348"/>
      <c r="H815" s="348"/>
      <c r="I815" s="348"/>
      <c r="J815" s="348"/>
      <c r="K815" s="348"/>
      <c r="L815" s="333"/>
      <c r="M815" s="333"/>
      <c r="N815" s="333"/>
      <c r="O815" s="333"/>
      <c r="P815" s="333"/>
      <c r="Q815" s="333"/>
      <c r="R815" s="333"/>
      <c r="S815" s="333"/>
      <c r="T815" s="333"/>
      <c r="U815" s="333"/>
      <c r="V815" s="333"/>
      <c r="W815" s="333"/>
      <c r="X815" s="333"/>
      <c r="Y815" s="333"/>
      <c r="Z815" s="333"/>
    </row>
    <row r="816" spans="1:26" ht="15.6">
      <c r="A816" s="333"/>
      <c r="B816" s="348"/>
      <c r="C816" s="348"/>
      <c r="D816" s="348"/>
      <c r="E816" s="348"/>
      <c r="F816" s="348"/>
      <c r="G816" s="348"/>
      <c r="H816" s="348"/>
      <c r="I816" s="348"/>
      <c r="J816" s="348"/>
      <c r="K816" s="348"/>
      <c r="L816" s="333"/>
      <c r="M816" s="333"/>
      <c r="N816" s="333"/>
      <c r="O816" s="333"/>
      <c r="P816" s="333"/>
      <c r="Q816" s="333"/>
      <c r="R816" s="333"/>
      <c r="S816" s="333"/>
      <c r="T816" s="333"/>
      <c r="U816" s="333"/>
      <c r="V816" s="333"/>
      <c r="W816" s="333"/>
      <c r="X816" s="333"/>
      <c r="Y816" s="333"/>
      <c r="Z816" s="333"/>
    </row>
    <row r="817" spans="1:26" ht="15.6">
      <c r="A817" s="333"/>
      <c r="B817" s="348"/>
      <c r="C817" s="348"/>
      <c r="D817" s="348"/>
      <c r="E817" s="348"/>
      <c r="F817" s="348"/>
      <c r="G817" s="348"/>
      <c r="H817" s="348"/>
      <c r="I817" s="348"/>
      <c r="J817" s="348"/>
      <c r="K817" s="348"/>
      <c r="L817" s="333"/>
      <c r="M817" s="333"/>
      <c r="N817" s="333"/>
      <c r="O817" s="333"/>
      <c r="P817" s="333"/>
      <c r="Q817" s="333"/>
      <c r="R817" s="333"/>
      <c r="S817" s="333"/>
      <c r="T817" s="333"/>
      <c r="U817" s="333"/>
      <c r="V817" s="333"/>
      <c r="W817" s="333"/>
      <c r="X817" s="333"/>
      <c r="Y817" s="333"/>
      <c r="Z817" s="333"/>
    </row>
    <row r="818" spans="1:26" ht="15.6">
      <c r="A818" s="333"/>
      <c r="B818" s="348"/>
      <c r="C818" s="348"/>
      <c r="D818" s="348"/>
      <c r="E818" s="348"/>
      <c r="F818" s="348"/>
      <c r="G818" s="348"/>
      <c r="H818" s="348"/>
      <c r="I818" s="348"/>
      <c r="J818" s="348"/>
      <c r="K818" s="348"/>
      <c r="L818" s="333"/>
      <c r="M818" s="333"/>
      <c r="N818" s="333"/>
      <c r="O818" s="333"/>
      <c r="P818" s="333"/>
      <c r="Q818" s="333"/>
      <c r="R818" s="333"/>
      <c r="S818" s="333"/>
      <c r="T818" s="333"/>
      <c r="U818" s="333"/>
      <c r="V818" s="333"/>
      <c r="W818" s="333"/>
      <c r="X818" s="333"/>
      <c r="Y818" s="333"/>
      <c r="Z818" s="333"/>
    </row>
    <row r="819" spans="1:26" ht="15.6">
      <c r="A819" s="333"/>
      <c r="B819" s="348"/>
      <c r="C819" s="348"/>
      <c r="D819" s="348"/>
      <c r="E819" s="348"/>
      <c r="F819" s="348"/>
      <c r="G819" s="348"/>
      <c r="H819" s="348"/>
      <c r="I819" s="348"/>
      <c r="J819" s="348"/>
      <c r="K819" s="348"/>
      <c r="L819" s="333"/>
      <c r="M819" s="333"/>
      <c r="N819" s="333"/>
      <c r="O819" s="333"/>
      <c r="P819" s="333"/>
      <c r="Q819" s="333"/>
      <c r="R819" s="333"/>
      <c r="S819" s="333"/>
      <c r="T819" s="333"/>
      <c r="U819" s="333"/>
      <c r="V819" s="333"/>
      <c r="W819" s="333"/>
      <c r="X819" s="333"/>
      <c r="Y819" s="333"/>
      <c r="Z819" s="333"/>
    </row>
    <row r="820" spans="1:26" ht="15.6">
      <c r="A820" s="333"/>
      <c r="B820" s="348"/>
      <c r="C820" s="348"/>
      <c r="D820" s="348"/>
      <c r="E820" s="348"/>
      <c r="F820" s="348"/>
      <c r="G820" s="348"/>
      <c r="H820" s="348"/>
      <c r="I820" s="348"/>
      <c r="J820" s="348"/>
      <c r="K820" s="348"/>
      <c r="L820" s="333"/>
      <c r="M820" s="333"/>
      <c r="N820" s="333"/>
      <c r="O820" s="333"/>
      <c r="P820" s="333"/>
      <c r="Q820" s="333"/>
      <c r="R820" s="333"/>
      <c r="S820" s="333"/>
      <c r="T820" s="333"/>
      <c r="U820" s="333"/>
      <c r="V820" s="333"/>
      <c r="W820" s="333"/>
      <c r="X820" s="333"/>
      <c r="Y820" s="333"/>
      <c r="Z820" s="333"/>
    </row>
    <row r="821" spans="1:26" ht="15.6">
      <c r="A821" s="333"/>
      <c r="B821" s="348"/>
      <c r="C821" s="348"/>
      <c r="D821" s="348"/>
      <c r="E821" s="348"/>
      <c r="F821" s="348"/>
      <c r="G821" s="348"/>
      <c r="H821" s="348"/>
      <c r="I821" s="348"/>
      <c r="J821" s="348"/>
      <c r="K821" s="348"/>
      <c r="L821" s="333"/>
      <c r="M821" s="333"/>
      <c r="N821" s="333"/>
      <c r="O821" s="333"/>
      <c r="P821" s="333"/>
      <c r="Q821" s="333"/>
      <c r="R821" s="333"/>
      <c r="S821" s="333"/>
      <c r="T821" s="333"/>
      <c r="U821" s="333"/>
      <c r="V821" s="333"/>
      <c r="W821" s="333"/>
      <c r="X821" s="333"/>
      <c r="Y821" s="333"/>
      <c r="Z821" s="333"/>
    </row>
    <row r="822" spans="1:26" ht="15.6">
      <c r="A822" s="333"/>
      <c r="B822" s="348"/>
      <c r="C822" s="348"/>
      <c r="D822" s="348"/>
      <c r="E822" s="348"/>
      <c r="F822" s="348"/>
      <c r="G822" s="348"/>
      <c r="H822" s="348"/>
      <c r="I822" s="348"/>
      <c r="J822" s="348"/>
      <c r="K822" s="348"/>
      <c r="L822" s="333"/>
      <c r="M822" s="333"/>
      <c r="N822" s="333"/>
      <c r="O822" s="333"/>
      <c r="P822" s="333"/>
      <c r="Q822" s="333"/>
      <c r="R822" s="333"/>
      <c r="S822" s="333"/>
      <c r="T822" s="333"/>
      <c r="U822" s="333"/>
      <c r="V822" s="333"/>
      <c r="W822" s="333"/>
      <c r="X822" s="333"/>
      <c r="Y822" s="333"/>
      <c r="Z822" s="333"/>
    </row>
    <row r="823" spans="1:26" ht="15.6">
      <c r="A823" s="333"/>
      <c r="B823" s="348"/>
      <c r="C823" s="348"/>
      <c r="D823" s="348"/>
      <c r="E823" s="348"/>
      <c r="F823" s="348"/>
      <c r="G823" s="348"/>
      <c r="H823" s="348"/>
      <c r="I823" s="348"/>
      <c r="J823" s="348"/>
      <c r="K823" s="348"/>
      <c r="L823" s="333"/>
      <c r="M823" s="333"/>
      <c r="N823" s="333"/>
      <c r="O823" s="333"/>
      <c r="P823" s="333"/>
      <c r="Q823" s="333"/>
      <c r="R823" s="333"/>
      <c r="S823" s="333"/>
      <c r="T823" s="333"/>
      <c r="U823" s="333"/>
      <c r="V823" s="333"/>
      <c r="W823" s="333"/>
      <c r="X823" s="333"/>
      <c r="Y823" s="333"/>
      <c r="Z823" s="333"/>
    </row>
    <row r="824" spans="1:26" ht="15.6">
      <c r="A824" s="333"/>
      <c r="B824" s="348"/>
      <c r="C824" s="348"/>
      <c r="D824" s="348"/>
      <c r="E824" s="348"/>
      <c r="F824" s="348"/>
      <c r="G824" s="348"/>
      <c r="H824" s="348"/>
      <c r="I824" s="348"/>
      <c r="J824" s="348"/>
      <c r="K824" s="348"/>
      <c r="L824" s="333"/>
      <c r="M824" s="333"/>
      <c r="N824" s="333"/>
      <c r="O824" s="333"/>
      <c r="P824" s="333"/>
      <c r="Q824" s="333"/>
      <c r="R824" s="333"/>
      <c r="S824" s="333"/>
      <c r="T824" s="333"/>
      <c r="U824" s="333"/>
      <c r="V824" s="333"/>
      <c r="W824" s="333"/>
      <c r="X824" s="333"/>
      <c r="Y824" s="333"/>
      <c r="Z824" s="333"/>
    </row>
    <row r="825" spans="1:26" ht="15.6">
      <c r="A825" s="333"/>
      <c r="B825" s="348"/>
      <c r="C825" s="348"/>
      <c r="D825" s="348"/>
      <c r="E825" s="348"/>
      <c r="F825" s="348"/>
      <c r="G825" s="348"/>
      <c r="H825" s="348"/>
      <c r="I825" s="348"/>
      <c r="J825" s="348"/>
      <c r="K825" s="348"/>
      <c r="L825" s="333"/>
      <c r="M825" s="333"/>
      <c r="N825" s="333"/>
      <c r="O825" s="333"/>
      <c r="P825" s="333"/>
      <c r="Q825" s="333"/>
      <c r="R825" s="333"/>
      <c r="S825" s="333"/>
      <c r="T825" s="333"/>
      <c r="U825" s="333"/>
      <c r="V825" s="333"/>
      <c r="W825" s="333"/>
      <c r="X825" s="333"/>
      <c r="Y825" s="333"/>
      <c r="Z825" s="333"/>
    </row>
    <row r="826" spans="1:26" ht="15.6">
      <c r="A826" s="333"/>
      <c r="B826" s="348"/>
      <c r="C826" s="348"/>
      <c r="D826" s="348"/>
      <c r="E826" s="348"/>
      <c r="F826" s="348"/>
      <c r="G826" s="348"/>
      <c r="H826" s="348"/>
      <c r="I826" s="348"/>
      <c r="J826" s="348"/>
      <c r="K826" s="348"/>
      <c r="L826" s="333"/>
      <c r="M826" s="333"/>
      <c r="N826" s="333"/>
      <c r="O826" s="333"/>
      <c r="P826" s="333"/>
      <c r="Q826" s="333"/>
      <c r="R826" s="333"/>
      <c r="S826" s="333"/>
      <c r="T826" s="333"/>
      <c r="U826" s="333"/>
      <c r="V826" s="333"/>
      <c r="W826" s="333"/>
      <c r="X826" s="333"/>
      <c r="Y826" s="333"/>
      <c r="Z826" s="333"/>
    </row>
    <row r="827" spans="1:26" ht="15.6">
      <c r="A827" s="333"/>
      <c r="B827" s="348"/>
      <c r="C827" s="348"/>
      <c r="D827" s="348"/>
      <c r="E827" s="348"/>
      <c r="F827" s="348"/>
      <c r="G827" s="348"/>
      <c r="H827" s="348"/>
      <c r="I827" s="348"/>
      <c r="J827" s="348"/>
      <c r="K827" s="348"/>
      <c r="L827" s="333"/>
      <c r="M827" s="333"/>
      <c r="N827" s="333"/>
      <c r="O827" s="333"/>
      <c r="P827" s="333"/>
      <c r="Q827" s="333"/>
      <c r="R827" s="333"/>
      <c r="S827" s="333"/>
      <c r="T827" s="333"/>
      <c r="U827" s="333"/>
      <c r="V827" s="333"/>
      <c r="W827" s="333"/>
      <c r="X827" s="333"/>
      <c r="Y827" s="333"/>
      <c r="Z827" s="333"/>
    </row>
    <row r="828" spans="1:26" ht="15.6">
      <c r="A828" s="333"/>
      <c r="B828" s="348"/>
      <c r="C828" s="348"/>
      <c r="D828" s="348"/>
      <c r="E828" s="348"/>
      <c r="F828" s="348"/>
      <c r="G828" s="348"/>
      <c r="H828" s="348"/>
      <c r="I828" s="348"/>
      <c r="J828" s="348"/>
      <c r="K828" s="348"/>
      <c r="L828" s="333"/>
      <c r="M828" s="333"/>
      <c r="N828" s="333"/>
      <c r="O828" s="333"/>
      <c r="P828" s="333"/>
      <c r="Q828" s="333"/>
      <c r="R828" s="333"/>
      <c r="S828" s="333"/>
      <c r="T828" s="333"/>
      <c r="U828" s="333"/>
      <c r="V828" s="333"/>
      <c r="W828" s="333"/>
      <c r="X828" s="333"/>
      <c r="Y828" s="333"/>
      <c r="Z828" s="333"/>
    </row>
    <row r="829" spans="1:26" ht="15.6">
      <c r="A829" s="333"/>
      <c r="B829" s="348"/>
      <c r="C829" s="348"/>
      <c r="D829" s="348"/>
      <c r="E829" s="348"/>
      <c r="F829" s="348"/>
      <c r="G829" s="348"/>
      <c r="H829" s="348"/>
      <c r="I829" s="348"/>
      <c r="J829" s="348"/>
      <c r="K829" s="348"/>
      <c r="L829" s="333"/>
      <c r="M829" s="333"/>
      <c r="N829" s="333"/>
      <c r="O829" s="333"/>
      <c r="P829" s="333"/>
      <c r="Q829" s="333"/>
      <c r="R829" s="333"/>
      <c r="S829" s="333"/>
      <c r="T829" s="333"/>
      <c r="U829" s="333"/>
      <c r="V829" s="333"/>
      <c r="W829" s="333"/>
      <c r="X829" s="333"/>
      <c r="Y829" s="333"/>
      <c r="Z829" s="333"/>
    </row>
    <row r="830" spans="1:26" ht="15.6">
      <c r="A830" s="333"/>
      <c r="B830" s="348"/>
      <c r="C830" s="348"/>
      <c r="D830" s="348"/>
      <c r="E830" s="348"/>
      <c r="F830" s="348"/>
      <c r="G830" s="348"/>
      <c r="H830" s="348"/>
      <c r="I830" s="348"/>
      <c r="J830" s="348"/>
      <c r="K830" s="348"/>
      <c r="L830" s="333"/>
      <c r="M830" s="333"/>
      <c r="N830" s="333"/>
      <c r="O830" s="333"/>
      <c r="P830" s="333"/>
      <c r="Q830" s="333"/>
      <c r="R830" s="333"/>
      <c r="S830" s="333"/>
      <c r="T830" s="333"/>
      <c r="U830" s="333"/>
      <c r="V830" s="333"/>
      <c r="W830" s="333"/>
      <c r="X830" s="333"/>
      <c r="Y830" s="333"/>
      <c r="Z830" s="333"/>
    </row>
    <row r="831" spans="1:26" ht="15.6">
      <c r="A831" s="333"/>
      <c r="B831" s="348"/>
      <c r="C831" s="348"/>
      <c r="D831" s="348"/>
      <c r="E831" s="348"/>
      <c r="F831" s="348"/>
      <c r="G831" s="348"/>
      <c r="H831" s="348"/>
      <c r="I831" s="348"/>
      <c r="J831" s="348"/>
      <c r="K831" s="348"/>
      <c r="L831" s="333"/>
      <c r="M831" s="333"/>
      <c r="N831" s="333"/>
      <c r="O831" s="333"/>
      <c r="P831" s="333"/>
      <c r="Q831" s="333"/>
      <c r="R831" s="333"/>
      <c r="S831" s="333"/>
      <c r="T831" s="333"/>
      <c r="U831" s="333"/>
      <c r="V831" s="333"/>
      <c r="W831" s="333"/>
      <c r="X831" s="333"/>
      <c r="Y831" s="333"/>
      <c r="Z831" s="333"/>
    </row>
    <row r="832" spans="1:26" ht="15.6">
      <c r="A832" s="333"/>
      <c r="B832" s="348"/>
      <c r="C832" s="348"/>
      <c r="D832" s="348"/>
      <c r="E832" s="348"/>
      <c r="F832" s="348"/>
      <c r="G832" s="348"/>
      <c r="H832" s="348"/>
      <c r="I832" s="348"/>
      <c r="J832" s="348"/>
      <c r="K832" s="348"/>
      <c r="L832" s="333"/>
      <c r="M832" s="333"/>
      <c r="N832" s="333"/>
      <c r="O832" s="333"/>
      <c r="P832" s="333"/>
      <c r="Q832" s="333"/>
      <c r="R832" s="333"/>
      <c r="S832" s="333"/>
      <c r="T832" s="333"/>
      <c r="U832" s="333"/>
      <c r="V832" s="333"/>
      <c r="W832" s="333"/>
      <c r="X832" s="333"/>
      <c r="Y832" s="333"/>
      <c r="Z832" s="333"/>
    </row>
    <row r="833" spans="1:26" ht="15.6">
      <c r="A833" s="333"/>
      <c r="B833" s="348"/>
      <c r="C833" s="348"/>
      <c r="D833" s="348"/>
      <c r="E833" s="348"/>
      <c r="F833" s="348"/>
      <c r="G833" s="348"/>
      <c r="H833" s="348"/>
      <c r="I833" s="348"/>
      <c r="J833" s="348"/>
      <c r="K833" s="348"/>
      <c r="L833" s="333"/>
      <c r="M833" s="333"/>
      <c r="N833" s="333"/>
      <c r="O833" s="333"/>
      <c r="P833" s="333"/>
      <c r="Q833" s="333"/>
      <c r="R833" s="333"/>
      <c r="S833" s="333"/>
      <c r="T833" s="333"/>
      <c r="U833" s="333"/>
      <c r="V833" s="333"/>
      <c r="W833" s="333"/>
      <c r="X833" s="333"/>
      <c r="Y833" s="333"/>
      <c r="Z833" s="333"/>
    </row>
    <row r="834" spans="1:26" ht="15.6">
      <c r="A834" s="333"/>
      <c r="B834" s="348"/>
      <c r="C834" s="348"/>
      <c r="D834" s="348"/>
      <c r="E834" s="348"/>
      <c r="F834" s="348"/>
      <c r="G834" s="348"/>
      <c r="H834" s="348"/>
      <c r="I834" s="348"/>
      <c r="J834" s="348"/>
      <c r="K834" s="348"/>
      <c r="L834" s="333"/>
      <c r="M834" s="333"/>
      <c r="N834" s="333"/>
      <c r="O834" s="333"/>
      <c r="P834" s="333"/>
      <c r="Q834" s="333"/>
      <c r="R834" s="333"/>
      <c r="S834" s="333"/>
      <c r="T834" s="333"/>
      <c r="U834" s="333"/>
      <c r="V834" s="333"/>
      <c r="W834" s="333"/>
      <c r="X834" s="333"/>
      <c r="Y834" s="333"/>
      <c r="Z834" s="333"/>
    </row>
    <row r="835" spans="1:26" ht="15.6">
      <c r="A835" s="333"/>
      <c r="B835" s="348"/>
      <c r="C835" s="348"/>
      <c r="D835" s="348"/>
      <c r="E835" s="348"/>
      <c r="F835" s="348"/>
      <c r="G835" s="348"/>
      <c r="H835" s="348"/>
      <c r="I835" s="348"/>
      <c r="J835" s="348"/>
      <c r="K835" s="348"/>
      <c r="L835" s="333"/>
      <c r="M835" s="333"/>
      <c r="N835" s="333"/>
      <c r="O835" s="333"/>
      <c r="P835" s="333"/>
      <c r="Q835" s="333"/>
      <c r="R835" s="333"/>
      <c r="S835" s="333"/>
      <c r="T835" s="333"/>
      <c r="U835" s="333"/>
      <c r="V835" s="333"/>
      <c r="W835" s="333"/>
      <c r="X835" s="333"/>
      <c r="Y835" s="333"/>
      <c r="Z835" s="333"/>
    </row>
    <row r="836" spans="1:26" ht="15.6">
      <c r="A836" s="333"/>
      <c r="B836" s="348"/>
      <c r="C836" s="348"/>
      <c r="D836" s="348"/>
      <c r="E836" s="348"/>
      <c r="F836" s="348"/>
      <c r="G836" s="348"/>
      <c r="H836" s="348"/>
      <c r="I836" s="348"/>
      <c r="J836" s="348"/>
      <c r="K836" s="348"/>
      <c r="L836" s="333"/>
      <c r="M836" s="333"/>
      <c r="N836" s="333"/>
      <c r="O836" s="333"/>
      <c r="P836" s="333"/>
      <c r="Q836" s="333"/>
      <c r="R836" s="333"/>
      <c r="S836" s="333"/>
      <c r="T836" s="333"/>
      <c r="U836" s="333"/>
      <c r="V836" s="333"/>
      <c r="W836" s="333"/>
      <c r="X836" s="333"/>
      <c r="Y836" s="333"/>
      <c r="Z836" s="333"/>
    </row>
    <row r="837" spans="1:26" ht="15.6">
      <c r="A837" s="333"/>
      <c r="B837" s="348"/>
      <c r="C837" s="348"/>
      <c r="D837" s="348"/>
      <c r="E837" s="348"/>
      <c r="F837" s="348"/>
      <c r="G837" s="348"/>
      <c r="H837" s="348"/>
      <c r="I837" s="348"/>
      <c r="J837" s="348"/>
      <c r="K837" s="348"/>
      <c r="L837" s="333"/>
      <c r="M837" s="333"/>
      <c r="N837" s="333"/>
      <c r="O837" s="333"/>
      <c r="P837" s="333"/>
      <c r="Q837" s="333"/>
      <c r="R837" s="333"/>
      <c r="S837" s="333"/>
      <c r="T837" s="333"/>
      <c r="U837" s="333"/>
      <c r="V837" s="333"/>
      <c r="W837" s="333"/>
      <c r="X837" s="333"/>
      <c r="Y837" s="333"/>
      <c r="Z837" s="333"/>
    </row>
    <row r="838" spans="1:26" ht="15.6">
      <c r="A838" s="333"/>
      <c r="B838" s="348"/>
      <c r="C838" s="348"/>
      <c r="D838" s="348"/>
      <c r="E838" s="348"/>
      <c r="F838" s="348"/>
      <c r="G838" s="348"/>
      <c r="H838" s="348"/>
      <c r="I838" s="348"/>
      <c r="J838" s="348"/>
      <c r="K838" s="348"/>
      <c r="L838" s="333"/>
      <c r="M838" s="333"/>
      <c r="N838" s="333"/>
      <c r="O838" s="333"/>
      <c r="P838" s="333"/>
      <c r="Q838" s="333"/>
      <c r="R838" s="333"/>
      <c r="S838" s="333"/>
      <c r="T838" s="333"/>
      <c r="U838" s="333"/>
      <c r="V838" s="333"/>
      <c r="W838" s="333"/>
      <c r="X838" s="333"/>
      <c r="Y838" s="333"/>
      <c r="Z838" s="333"/>
    </row>
    <row r="839" spans="1:26" ht="15.6">
      <c r="A839" s="333"/>
      <c r="B839" s="348"/>
      <c r="C839" s="348"/>
      <c r="D839" s="348"/>
      <c r="E839" s="348"/>
      <c r="F839" s="348"/>
      <c r="G839" s="348"/>
      <c r="H839" s="348"/>
      <c r="I839" s="348"/>
      <c r="J839" s="348"/>
      <c r="K839" s="348"/>
      <c r="L839" s="333"/>
      <c r="M839" s="333"/>
      <c r="N839" s="333"/>
      <c r="O839" s="333"/>
      <c r="P839" s="333"/>
      <c r="Q839" s="333"/>
      <c r="R839" s="333"/>
      <c r="S839" s="333"/>
      <c r="T839" s="333"/>
      <c r="U839" s="333"/>
      <c r="V839" s="333"/>
      <c r="W839" s="333"/>
      <c r="X839" s="333"/>
      <c r="Y839" s="333"/>
      <c r="Z839" s="333"/>
    </row>
    <row r="840" spans="1:26" ht="15.6">
      <c r="A840" s="333"/>
      <c r="B840" s="348"/>
      <c r="C840" s="348"/>
      <c r="D840" s="348"/>
      <c r="E840" s="348"/>
      <c r="F840" s="348"/>
      <c r="G840" s="348"/>
      <c r="H840" s="348"/>
      <c r="I840" s="348"/>
      <c r="J840" s="348"/>
      <c r="K840" s="348"/>
      <c r="L840" s="333"/>
      <c r="M840" s="333"/>
      <c r="N840" s="333"/>
      <c r="O840" s="333"/>
      <c r="P840" s="333"/>
      <c r="Q840" s="333"/>
      <c r="R840" s="333"/>
      <c r="S840" s="333"/>
      <c r="T840" s="333"/>
      <c r="U840" s="333"/>
      <c r="V840" s="333"/>
      <c r="W840" s="333"/>
      <c r="X840" s="333"/>
      <c r="Y840" s="333"/>
      <c r="Z840" s="333"/>
    </row>
    <row r="841" spans="1:26" ht="15.6">
      <c r="A841" s="333"/>
      <c r="B841" s="348"/>
      <c r="C841" s="348"/>
      <c r="D841" s="348"/>
      <c r="E841" s="348"/>
      <c r="F841" s="348"/>
      <c r="G841" s="348"/>
      <c r="H841" s="348"/>
      <c r="I841" s="348"/>
      <c r="J841" s="348"/>
      <c r="K841" s="348"/>
      <c r="L841" s="333"/>
      <c r="M841" s="333"/>
      <c r="N841" s="333"/>
      <c r="O841" s="333"/>
      <c r="P841" s="333"/>
      <c r="Q841" s="333"/>
      <c r="R841" s="333"/>
      <c r="S841" s="333"/>
      <c r="T841" s="333"/>
      <c r="U841" s="333"/>
      <c r="V841" s="333"/>
      <c r="W841" s="333"/>
      <c r="X841" s="333"/>
      <c r="Y841" s="333"/>
      <c r="Z841" s="333"/>
    </row>
    <row r="842" spans="1:26" ht="15.6">
      <c r="A842" s="333"/>
      <c r="B842" s="348"/>
      <c r="C842" s="348"/>
      <c r="D842" s="348"/>
      <c r="E842" s="348"/>
      <c r="F842" s="348"/>
      <c r="G842" s="348"/>
      <c r="H842" s="348"/>
      <c r="I842" s="348"/>
      <c r="J842" s="348"/>
      <c r="K842" s="348"/>
      <c r="L842" s="333"/>
      <c r="M842" s="333"/>
      <c r="N842" s="333"/>
      <c r="O842" s="333"/>
      <c r="P842" s="333"/>
      <c r="Q842" s="333"/>
      <c r="R842" s="333"/>
      <c r="S842" s="333"/>
      <c r="T842" s="333"/>
      <c r="U842" s="333"/>
      <c r="V842" s="333"/>
      <c r="W842" s="333"/>
      <c r="X842" s="333"/>
      <c r="Y842" s="333"/>
      <c r="Z842" s="333"/>
    </row>
    <row r="843" spans="1:26" ht="15.6">
      <c r="A843" s="333"/>
      <c r="B843" s="348"/>
      <c r="C843" s="348"/>
      <c r="D843" s="348"/>
      <c r="E843" s="348"/>
      <c r="F843" s="348"/>
      <c r="G843" s="348"/>
      <c r="H843" s="348"/>
      <c r="I843" s="348"/>
      <c r="J843" s="348"/>
      <c r="K843" s="348"/>
      <c r="L843" s="333"/>
      <c r="M843" s="333"/>
      <c r="N843" s="333"/>
      <c r="O843" s="333"/>
      <c r="P843" s="333"/>
      <c r="Q843" s="333"/>
      <c r="R843" s="333"/>
      <c r="S843" s="333"/>
      <c r="T843" s="333"/>
      <c r="U843" s="333"/>
      <c r="V843" s="333"/>
      <c r="W843" s="333"/>
      <c r="X843" s="333"/>
      <c r="Y843" s="333"/>
      <c r="Z843" s="333"/>
    </row>
    <row r="844" spans="1:26" ht="15.6">
      <c r="A844" s="333"/>
      <c r="B844" s="348"/>
      <c r="C844" s="348"/>
      <c r="D844" s="348"/>
      <c r="E844" s="348"/>
      <c r="F844" s="348"/>
      <c r="G844" s="348"/>
      <c r="H844" s="348"/>
      <c r="I844" s="348"/>
      <c r="J844" s="348"/>
      <c r="K844" s="348"/>
      <c r="L844" s="333"/>
      <c r="M844" s="333"/>
      <c r="N844" s="333"/>
      <c r="O844" s="333"/>
      <c r="P844" s="333"/>
      <c r="Q844" s="333"/>
      <c r="R844" s="333"/>
      <c r="S844" s="333"/>
      <c r="T844" s="333"/>
      <c r="U844" s="333"/>
      <c r="V844" s="333"/>
      <c r="W844" s="333"/>
      <c r="X844" s="333"/>
      <c r="Y844" s="333"/>
      <c r="Z844" s="333"/>
    </row>
    <row r="845" spans="1:26" ht="15.6">
      <c r="A845" s="333"/>
      <c r="B845" s="348"/>
      <c r="C845" s="348"/>
      <c r="D845" s="348"/>
      <c r="E845" s="348"/>
      <c r="F845" s="348"/>
      <c r="G845" s="348"/>
      <c r="H845" s="348"/>
      <c r="I845" s="348"/>
      <c r="J845" s="348"/>
      <c r="K845" s="348"/>
      <c r="L845" s="333"/>
      <c r="M845" s="333"/>
      <c r="N845" s="333"/>
      <c r="O845" s="333"/>
      <c r="P845" s="333"/>
      <c r="Q845" s="333"/>
      <c r="R845" s="333"/>
      <c r="S845" s="333"/>
      <c r="T845" s="333"/>
      <c r="U845" s="333"/>
      <c r="V845" s="333"/>
      <c r="W845" s="333"/>
      <c r="X845" s="333"/>
      <c r="Y845" s="333"/>
      <c r="Z845" s="333"/>
    </row>
    <row r="846" spans="1:26" ht="15.6">
      <c r="A846" s="333"/>
      <c r="B846" s="348"/>
      <c r="C846" s="348"/>
      <c r="D846" s="348"/>
      <c r="E846" s="348"/>
      <c r="F846" s="348"/>
      <c r="G846" s="348"/>
      <c r="H846" s="348"/>
      <c r="I846" s="348"/>
      <c r="J846" s="348"/>
      <c r="K846" s="348"/>
      <c r="L846" s="333"/>
      <c r="M846" s="333"/>
      <c r="N846" s="333"/>
      <c r="O846" s="333"/>
      <c r="P846" s="333"/>
      <c r="Q846" s="333"/>
      <c r="R846" s="333"/>
      <c r="S846" s="333"/>
      <c r="T846" s="333"/>
      <c r="U846" s="333"/>
      <c r="V846" s="333"/>
      <c r="W846" s="333"/>
      <c r="X846" s="333"/>
      <c r="Y846" s="333"/>
      <c r="Z846" s="333"/>
    </row>
    <row r="847" spans="1:26" ht="15.6">
      <c r="A847" s="333"/>
      <c r="B847" s="348"/>
      <c r="C847" s="348"/>
      <c r="D847" s="348"/>
      <c r="E847" s="348"/>
      <c r="F847" s="348"/>
      <c r="G847" s="348"/>
      <c r="H847" s="348"/>
      <c r="I847" s="348"/>
      <c r="J847" s="348"/>
      <c r="K847" s="348"/>
      <c r="L847" s="333"/>
      <c r="M847" s="333"/>
      <c r="N847" s="333"/>
      <c r="O847" s="333"/>
      <c r="P847" s="333"/>
      <c r="Q847" s="333"/>
      <c r="R847" s="333"/>
      <c r="S847" s="333"/>
      <c r="T847" s="333"/>
      <c r="U847" s="333"/>
      <c r="V847" s="333"/>
      <c r="W847" s="333"/>
      <c r="X847" s="333"/>
      <c r="Y847" s="333"/>
      <c r="Z847" s="333"/>
    </row>
    <row r="848" spans="1:26" ht="15.6">
      <c r="A848" s="333"/>
      <c r="B848" s="348"/>
      <c r="C848" s="348"/>
      <c r="D848" s="348"/>
      <c r="E848" s="348"/>
      <c r="F848" s="348"/>
      <c r="G848" s="348"/>
      <c r="H848" s="348"/>
      <c r="I848" s="348"/>
      <c r="J848" s="348"/>
      <c r="K848" s="348"/>
      <c r="L848" s="333"/>
      <c r="M848" s="333"/>
      <c r="N848" s="333"/>
      <c r="O848" s="333"/>
      <c r="P848" s="333"/>
      <c r="Q848" s="333"/>
      <c r="R848" s="333"/>
      <c r="S848" s="333"/>
      <c r="T848" s="333"/>
      <c r="U848" s="333"/>
      <c r="V848" s="333"/>
      <c r="W848" s="333"/>
      <c r="X848" s="333"/>
      <c r="Y848" s="333"/>
      <c r="Z848" s="333"/>
    </row>
    <row r="849" spans="1:26" ht="15.6">
      <c r="A849" s="333"/>
      <c r="B849" s="348"/>
      <c r="C849" s="348"/>
      <c r="D849" s="348"/>
      <c r="E849" s="348"/>
      <c r="F849" s="348"/>
      <c r="G849" s="348"/>
      <c r="H849" s="348"/>
      <c r="I849" s="348"/>
      <c r="J849" s="348"/>
      <c r="K849" s="348"/>
      <c r="L849" s="333"/>
      <c r="M849" s="333"/>
      <c r="N849" s="333"/>
      <c r="O849" s="333"/>
      <c r="P849" s="333"/>
      <c r="Q849" s="333"/>
      <c r="R849" s="333"/>
      <c r="S849" s="333"/>
      <c r="T849" s="333"/>
      <c r="U849" s="333"/>
      <c r="V849" s="333"/>
      <c r="W849" s="333"/>
      <c r="X849" s="333"/>
      <c r="Y849" s="333"/>
      <c r="Z849" s="333"/>
    </row>
    <row r="850" spans="1:26" ht="15.6">
      <c r="A850" s="333"/>
      <c r="B850" s="348"/>
      <c r="C850" s="348"/>
      <c r="D850" s="348"/>
      <c r="E850" s="348"/>
      <c r="F850" s="348"/>
      <c r="G850" s="348"/>
      <c r="H850" s="348"/>
      <c r="I850" s="348"/>
      <c r="J850" s="348"/>
      <c r="K850" s="348"/>
      <c r="L850" s="333"/>
      <c r="M850" s="333"/>
      <c r="N850" s="333"/>
      <c r="O850" s="333"/>
      <c r="P850" s="333"/>
      <c r="Q850" s="333"/>
      <c r="R850" s="333"/>
      <c r="S850" s="333"/>
      <c r="T850" s="333"/>
      <c r="U850" s="333"/>
      <c r="V850" s="333"/>
      <c r="W850" s="333"/>
      <c r="X850" s="333"/>
      <c r="Y850" s="333"/>
      <c r="Z850" s="333"/>
    </row>
    <row r="851" spans="1:26" ht="15.6">
      <c r="A851" s="333"/>
      <c r="B851" s="348"/>
      <c r="C851" s="348"/>
      <c r="D851" s="348"/>
      <c r="E851" s="348"/>
      <c r="F851" s="348"/>
      <c r="G851" s="348"/>
      <c r="H851" s="348"/>
      <c r="I851" s="348"/>
      <c r="J851" s="348"/>
      <c r="K851" s="348"/>
      <c r="L851" s="333"/>
      <c r="M851" s="333"/>
      <c r="N851" s="333"/>
      <c r="O851" s="333"/>
      <c r="P851" s="333"/>
      <c r="Q851" s="333"/>
      <c r="R851" s="333"/>
      <c r="S851" s="333"/>
      <c r="T851" s="333"/>
      <c r="U851" s="333"/>
      <c r="V851" s="333"/>
      <c r="W851" s="333"/>
      <c r="X851" s="333"/>
      <c r="Y851" s="333"/>
      <c r="Z851" s="333"/>
    </row>
    <row r="852" spans="1:26" ht="15.6">
      <c r="A852" s="333"/>
      <c r="B852" s="348"/>
      <c r="C852" s="348"/>
      <c r="D852" s="348"/>
      <c r="E852" s="348"/>
      <c r="F852" s="348"/>
      <c r="G852" s="348"/>
      <c r="H852" s="348"/>
      <c r="I852" s="348"/>
      <c r="J852" s="348"/>
      <c r="K852" s="348"/>
      <c r="L852" s="333"/>
      <c r="M852" s="333"/>
      <c r="N852" s="333"/>
      <c r="O852" s="333"/>
      <c r="P852" s="333"/>
      <c r="Q852" s="333"/>
      <c r="R852" s="333"/>
      <c r="S852" s="333"/>
      <c r="T852" s="333"/>
      <c r="U852" s="333"/>
      <c r="V852" s="333"/>
      <c r="W852" s="333"/>
      <c r="X852" s="333"/>
      <c r="Y852" s="333"/>
      <c r="Z852" s="333"/>
    </row>
    <row r="853" spans="1:26" ht="15.6">
      <c r="A853" s="333"/>
      <c r="B853" s="348"/>
      <c r="C853" s="348"/>
      <c r="D853" s="348"/>
      <c r="E853" s="348"/>
      <c r="F853" s="348"/>
      <c r="G853" s="348"/>
      <c r="H853" s="348"/>
      <c r="I853" s="348"/>
      <c r="J853" s="348"/>
      <c r="K853" s="348"/>
      <c r="L853" s="333"/>
      <c r="M853" s="333"/>
      <c r="N853" s="333"/>
      <c r="O853" s="333"/>
      <c r="P853" s="333"/>
      <c r="Q853" s="333"/>
      <c r="R853" s="333"/>
      <c r="S853" s="333"/>
      <c r="T853" s="333"/>
      <c r="U853" s="333"/>
      <c r="V853" s="333"/>
      <c r="W853" s="333"/>
      <c r="X853" s="333"/>
      <c r="Y853" s="333"/>
      <c r="Z853" s="333"/>
    </row>
    <row r="854" spans="1:26" ht="15.6">
      <c r="A854" s="333"/>
      <c r="B854" s="348"/>
      <c r="C854" s="348"/>
      <c r="D854" s="348"/>
      <c r="E854" s="348"/>
      <c r="F854" s="348"/>
      <c r="G854" s="348"/>
      <c r="H854" s="348"/>
      <c r="I854" s="348"/>
      <c r="J854" s="348"/>
      <c r="K854" s="348"/>
      <c r="L854" s="333"/>
      <c r="M854" s="333"/>
      <c r="N854" s="333"/>
      <c r="O854" s="333"/>
      <c r="P854" s="333"/>
      <c r="Q854" s="333"/>
      <c r="R854" s="333"/>
      <c r="S854" s="333"/>
      <c r="T854" s="333"/>
      <c r="U854" s="333"/>
      <c r="V854" s="333"/>
      <c r="W854" s="333"/>
      <c r="X854" s="333"/>
      <c r="Y854" s="333"/>
      <c r="Z854" s="333"/>
    </row>
    <row r="855" spans="1:26" ht="15.6">
      <c r="A855" s="333"/>
      <c r="B855" s="348"/>
      <c r="C855" s="348"/>
      <c r="D855" s="348"/>
      <c r="E855" s="348"/>
      <c r="F855" s="348"/>
      <c r="G855" s="348"/>
      <c r="H855" s="348"/>
      <c r="I855" s="348"/>
      <c r="J855" s="348"/>
      <c r="K855" s="348"/>
      <c r="L855" s="333"/>
      <c r="M855" s="333"/>
      <c r="N855" s="333"/>
      <c r="O855" s="333"/>
      <c r="P855" s="333"/>
      <c r="Q855" s="333"/>
      <c r="R855" s="333"/>
      <c r="S855" s="333"/>
      <c r="T855" s="333"/>
      <c r="U855" s="333"/>
      <c r="V855" s="333"/>
      <c r="W855" s="333"/>
      <c r="X855" s="333"/>
      <c r="Y855" s="333"/>
      <c r="Z855" s="333"/>
    </row>
    <row r="856" spans="1:26" ht="15.6">
      <c r="A856" s="333"/>
      <c r="B856" s="348"/>
      <c r="C856" s="348"/>
      <c r="D856" s="348"/>
      <c r="E856" s="348"/>
      <c r="F856" s="348"/>
      <c r="G856" s="348"/>
      <c r="H856" s="348"/>
      <c r="I856" s="348"/>
      <c r="J856" s="348"/>
      <c r="K856" s="348"/>
      <c r="L856" s="333"/>
      <c r="M856" s="333"/>
      <c r="N856" s="333"/>
      <c r="O856" s="333"/>
      <c r="P856" s="333"/>
      <c r="Q856" s="333"/>
      <c r="R856" s="333"/>
      <c r="S856" s="333"/>
      <c r="T856" s="333"/>
      <c r="U856" s="333"/>
      <c r="V856" s="333"/>
      <c r="W856" s="333"/>
      <c r="X856" s="333"/>
      <c r="Y856" s="333"/>
      <c r="Z856" s="333"/>
    </row>
    <row r="857" spans="1:26" ht="15.6">
      <c r="A857" s="333"/>
      <c r="B857" s="348"/>
      <c r="C857" s="348"/>
      <c r="D857" s="348"/>
      <c r="E857" s="348"/>
      <c r="F857" s="348"/>
      <c r="G857" s="348"/>
      <c r="H857" s="348"/>
      <c r="I857" s="348"/>
      <c r="J857" s="348"/>
      <c r="K857" s="348"/>
      <c r="L857" s="333"/>
      <c r="M857" s="333"/>
      <c r="N857" s="333"/>
      <c r="O857" s="333"/>
      <c r="P857" s="333"/>
      <c r="Q857" s="333"/>
      <c r="R857" s="333"/>
      <c r="S857" s="333"/>
      <c r="T857" s="333"/>
      <c r="U857" s="333"/>
      <c r="V857" s="333"/>
      <c r="W857" s="333"/>
      <c r="X857" s="333"/>
      <c r="Y857" s="333"/>
      <c r="Z857" s="333"/>
    </row>
    <row r="858" spans="1:26" ht="15.6">
      <c r="A858" s="333"/>
      <c r="B858" s="348"/>
      <c r="C858" s="348"/>
      <c r="D858" s="348"/>
      <c r="E858" s="348"/>
      <c r="F858" s="348"/>
      <c r="G858" s="348"/>
      <c r="H858" s="348"/>
      <c r="I858" s="348"/>
      <c r="J858" s="348"/>
      <c r="K858" s="348"/>
      <c r="L858" s="333"/>
      <c r="M858" s="333"/>
      <c r="N858" s="333"/>
      <c r="O858" s="333"/>
      <c r="P858" s="333"/>
      <c r="Q858" s="333"/>
      <c r="R858" s="333"/>
      <c r="S858" s="333"/>
      <c r="T858" s="333"/>
      <c r="U858" s="333"/>
      <c r="V858" s="333"/>
      <c r="W858" s="333"/>
      <c r="X858" s="333"/>
      <c r="Y858" s="333"/>
      <c r="Z858" s="333"/>
    </row>
    <row r="859" spans="1:26" ht="15.6">
      <c r="A859" s="333"/>
      <c r="B859" s="348"/>
      <c r="C859" s="348"/>
      <c r="D859" s="348"/>
      <c r="E859" s="348"/>
      <c r="F859" s="348"/>
      <c r="G859" s="348"/>
      <c r="H859" s="348"/>
      <c r="I859" s="348"/>
      <c r="J859" s="348"/>
      <c r="K859" s="348"/>
      <c r="L859" s="333"/>
      <c r="M859" s="333"/>
      <c r="N859" s="333"/>
      <c r="O859" s="333"/>
      <c r="P859" s="333"/>
      <c r="Q859" s="333"/>
      <c r="R859" s="333"/>
      <c r="S859" s="333"/>
      <c r="T859" s="333"/>
      <c r="U859" s="333"/>
      <c r="V859" s="333"/>
      <c r="W859" s="333"/>
      <c r="X859" s="333"/>
      <c r="Y859" s="333"/>
      <c r="Z859" s="333"/>
    </row>
    <row r="860" spans="1:26" ht="15.6">
      <c r="A860" s="333"/>
      <c r="B860" s="348"/>
      <c r="C860" s="348"/>
      <c r="D860" s="348"/>
      <c r="E860" s="348"/>
      <c r="F860" s="348"/>
      <c r="G860" s="348"/>
      <c r="H860" s="348"/>
      <c r="I860" s="348"/>
      <c r="J860" s="348"/>
      <c r="K860" s="348"/>
      <c r="L860" s="333"/>
      <c r="M860" s="333"/>
      <c r="N860" s="333"/>
      <c r="O860" s="333"/>
      <c r="P860" s="333"/>
      <c r="Q860" s="333"/>
      <c r="R860" s="333"/>
      <c r="S860" s="333"/>
      <c r="T860" s="333"/>
      <c r="U860" s="333"/>
      <c r="V860" s="333"/>
      <c r="W860" s="333"/>
      <c r="X860" s="333"/>
      <c r="Y860" s="333"/>
      <c r="Z860" s="333"/>
    </row>
    <row r="861" spans="1:26" ht="15.6">
      <c r="A861" s="333"/>
      <c r="B861" s="348"/>
      <c r="C861" s="348"/>
      <c r="D861" s="348"/>
      <c r="E861" s="348"/>
      <c r="F861" s="348"/>
      <c r="G861" s="348"/>
      <c r="H861" s="348"/>
      <c r="I861" s="348"/>
      <c r="J861" s="348"/>
      <c r="K861" s="348"/>
      <c r="L861" s="333"/>
      <c r="M861" s="333"/>
      <c r="N861" s="333"/>
      <c r="O861" s="333"/>
      <c r="P861" s="333"/>
      <c r="Q861" s="333"/>
      <c r="R861" s="333"/>
      <c r="S861" s="333"/>
      <c r="T861" s="333"/>
      <c r="U861" s="333"/>
      <c r="V861" s="333"/>
      <c r="W861" s="333"/>
      <c r="X861" s="333"/>
      <c r="Y861" s="333"/>
      <c r="Z861" s="333"/>
    </row>
    <row r="862" spans="1:26" ht="15.6">
      <c r="A862" s="333"/>
      <c r="B862" s="348"/>
      <c r="C862" s="348"/>
      <c r="D862" s="348"/>
      <c r="E862" s="348"/>
      <c r="F862" s="348"/>
      <c r="G862" s="348"/>
      <c r="H862" s="348"/>
      <c r="I862" s="348"/>
      <c r="J862" s="348"/>
      <c r="K862" s="348"/>
      <c r="L862" s="333"/>
      <c r="M862" s="333"/>
      <c r="N862" s="333"/>
      <c r="O862" s="333"/>
      <c r="P862" s="333"/>
      <c r="Q862" s="333"/>
      <c r="R862" s="333"/>
      <c r="S862" s="333"/>
      <c r="T862" s="333"/>
      <c r="U862" s="333"/>
      <c r="V862" s="333"/>
      <c r="W862" s="333"/>
      <c r="X862" s="333"/>
      <c r="Y862" s="333"/>
      <c r="Z862" s="333"/>
    </row>
    <row r="863" spans="1:26" ht="15.6">
      <c r="A863" s="333"/>
      <c r="B863" s="348"/>
      <c r="C863" s="348"/>
      <c r="D863" s="348"/>
      <c r="E863" s="348"/>
      <c r="F863" s="348"/>
      <c r="G863" s="348"/>
      <c r="H863" s="348"/>
      <c r="I863" s="348"/>
      <c r="J863" s="348"/>
      <c r="K863" s="348"/>
      <c r="L863" s="333"/>
      <c r="M863" s="333"/>
      <c r="N863" s="333"/>
      <c r="O863" s="333"/>
      <c r="P863" s="333"/>
      <c r="Q863" s="333"/>
      <c r="R863" s="333"/>
      <c r="S863" s="333"/>
      <c r="T863" s="333"/>
      <c r="U863" s="333"/>
      <c r="V863" s="333"/>
      <c r="W863" s="333"/>
      <c r="X863" s="333"/>
      <c r="Y863" s="333"/>
      <c r="Z863" s="333"/>
    </row>
    <row r="864" spans="1:26" ht="15.6">
      <c r="A864" s="333"/>
      <c r="B864" s="348"/>
      <c r="C864" s="348"/>
      <c r="D864" s="348"/>
      <c r="E864" s="348"/>
      <c r="F864" s="348"/>
      <c r="G864" s="348"/>
      <c r="H864" s="348"/>
      <c r="I864" s="348"/>
      <c r="J864" s="348"/>
      <c r="K864" s="348"/>
      <c r="L864" s="333"/>
      <c r="M864" s="333"/>
      <c r="N864" s="333"/>
      <c r="O864" s="333"/>
      <c r="P864" s="333"/>
      <c r="Q864" s="333"/>
      <c r="R864" s="333"/>
      <c r="S864" s="333"/>
      <c r="T864" s="333"/>
      <c r="U864" s="333"/>
      <c r="V864" s="333"/>
      <c r="W864" s="333"/>
      <c r="X864" s="333"/>
      <c r="Y864" s="333"/>
      <c r="Z864" s="333"/>
    </row>
    <row r="865" spans="1:26" ht="15.6">
      <c r="A865" s="333"/>
      <c r="B865" s="348"/>
      <c r="C865" s="348"/>
      <c r="D865" s="348"/>
      <c r="E865" s="348"/>
      <c r="F865" s="348"/>
      <c r="G865" s="348"/>
      <c r="H865" s="348"/>
      <c r="I865" s="348"/>
      <c r="J865" s="348"/>
      <c r="K865" s="348"/>
      <c r="L865" s="333"/>
      <c r="M865" s="333"/>
      <c r="N865" s="333"/>
      <c r="O865" s="333"/>
      <c r="P865" s="333"/>
      <c r="Q865" s="333"/>
      <c r="R865" s="333"/>
      <c r="S865" s="333"/>
      <c r="T865" s="333"/>
      <c r="U865" s="333"/>
      <c r="V865" s="333"/>
      <c r="W865" s="333"/>
      <c r="X865" s="333"/>
      <c r="Y865" s="333"/>
      <c r="Z865" s="333"/>
    </row>
    <row r="866" spans="1:26" ht="15.6">
      <c r="A866" s="333"/>
      <c r="B866" s="348"/>
      <c r="C866" s="348"/>
      <c r="D866" s="348"/>
      <c r="E866" s="348"/>
      <c r="F866" s="348"/>
      <c r="G866" s="348"/>
      <c r="H866" s="348"/>
      <c r="I866" s="348"/>
      <c r="J866" s="348"/>
      <c r="K866" s="348"/>
      <c r="L866" s="333"/>
      <c r="M866" s="333"/>
      <c r="N866" s="333"/>
      <c r="O866" s="333"/>
      <c r="P866" s="333"/>
      <c r="Q866" s="333"/>
      <c r="R866" s="333"/>
      <c r="S866" s="333"/>
      <c r="T866" s="333"/>
      <c r="U866" s="333"/>
      <c r="V866" s="333"/>
      <c r="W866" s="333"/>
      <c r="X866" s="333"/>
      <c r="Y866" s="333"/>
      <c r="Z866" s="333"/>
    </row>
    <row r="867" spans="1:26" ht="15.6">
      <c r="A867" s="333"/>
      <c r="B867" s="348"/>
      <c r="C867" s="348"/>
      <c r="D867" s="348"/>
      <c r="E867" s="348"/>
      <c r="F867" s="348"/>
      <c r="G867" s="348"/>
      <c r="H867" s="348"/>
      <c r="I867" s="348"/>
      <c r="J867" s="348"/>
      <c r="K867" s="348"/>
      <c r="L867" s="333"/>
      <c r="M867" s="333"/>
      <c r="N867" s="333"/>
      <c r="O867" s="333"/>
      <c r="P867" s="333"/>
      <c r="Q867" s="333"/>
      <c r="R867" s="333"/>
      <c r="S867" s="333"/>
      <c r="T867" s="333"/>
      <c r="U867" s="333"/>
      <c r="V867" s="333"/>
      <c r="W867" s="333"/>
      <c r="X867" s="333"/>
      <c r="Y867" s="333"/>
      <c r="Z867" s="333"/>
    </row>
    <row r="868" spans="1:26" ht="15.6">
      <c r="A868" s="333"/>
      <c r="B868" s="348"/>
      <c r="C868" s="348"/>
      <c r="D868" s="348"/>
      <c r="E868" s="348"/>
      <c r="F868" s="348"/>
      <c r="G868" s="348"/>
      <c r="H868" s="348"/>
      <c r="I868" s="348"/>
      <c r="J868" s="348"/>
      <c r="K868" s="348"/>
      <c r="L868" s="333"/>
      <c r="M868" s="333"/>
      <c r="N868" s="333"/>
      <c r="O868" s="333"/>
      <c r="P868" s="333"/>
      <c r="Q868" s="333"/>
      <c r="R868" s="333"/>
      <c r="S868" s="333"/>
      <c r="T868" s="333"/>
      <c r="U868" s="333"/>
      <c r="V868" s="333"/>
      <c r="W868" s="333"/>
      <c r="X868" s="333"/>
      <c r="Y868" s="333"/>
      <c r="Z868" s="333"/>
    </row>
    <row r="869" spans="1:26" ht="15.6">
      <c r="A869" s="333"/>
      <c r="B869" s="348"/>
      <c r="C869" s="348"/>
      <c r="D869" s="348"/>
      <c r="E869" s="348"/>
      <c r="F869" s="348"/>
      <c r="G869" s="348"/>
      <c r="H869" s="348"/>
      <c r="I869" s="348"/>
      <c r="J869" s="348"/>
      <c r="K869" s="348"/>
      <c r="L869" s="333"/>
      <c r="M869" s="333"/>
      <c r="N869" s="333"/>
      <c r="O869" s="333"/>
      <c r="P869" s="333"/>
      <c r="Q869" s="333"/>
      <c r="R869" s="333"/>
      <c r="S869" s="333"/>
      <c r="T869" s="333"/>
      <c r="U869" s="333"/>
      <c r="V869" s="333"/>
      <c r="W869" s="333"/>
      <c r="X869" s="333"/>
      <c r="Y869" s="333"/>
      <c r="Z869" s="333"/>
    </row>
    <row r="870" spans="1:26" ht="15.6">
      <c r="A870" s="333"/>
      <c r="B870" s="348"/>
      <c r="C870" s="348"/>
      <c r="D870" s="348"/>
      <c r="E870" s="348"/>
      <c r="F870" s="348"/>
      <c r="G870" s="348"/>
      <c r="H870" s="348"/>
      <c r="I870" s="348"/>
      <c r="J870" s="348"/>
      <c r="K870" s="348"/>
      <c r="L870" s="333"/>
      <c r="M870" s="333"/>
      <c r="N870" s="333"/>
      <c r="O870" s="333"/>
      <c r="P870" s="333"/>
      <c r="Q870" s="333"/>
      <c r="R870" s="333"/>
      <c r="S870" s="333"/>
      <c r="T870" s="333"/>
      <c r="U870" s="333"/>
      <c r="V870" s="333"/>
      <c r="W870" s="333"/>
      <c r="X870" s="333"/>
      <c r="Y870" s="333"/>
      <c r="Z870" s="333"/>
    </row>
    <row r="871" spans="1:26" ht="15.6">
      <c r="A871" s="333"/>
      <c r="B871" s="348"/>
      <c r="C871" s="348"/>
      <c r="D871" s="348"/>
      <c r="E871" s="348"/>
      <c r="F871" s="348"/>
      <c r="G871" s="348"/>
      <c r="H871" s="348"/>
      <c r="I871" s="348"/>
      <c r="J871" s="348"/>
      <c r="K871" s="348"/>
      <c r="L871" s="333"/>
      <c r="M871" s="333"/>
      <c r="N871" s="333"/>
      <c r="O871" s="333"/>
      <c r="P871" s="333"/>
      <c r="Q871" s="333"/>
      <c r="R871" s="333"/>
      <c r="S871" s="333"/>
      <c r="T871" s="333"/>
      <c r="U871" s="333"/>
      <c r="V871" s="333"/>
      <c r="W871" s="333"/>
      <c r="X871" s="333"/>
      <c r="Y871" s="333"/>
      <c r="Z871" s="333"/>
    </row>
    <row r="872" spans="1:26" ht="15.6">
      <c r="A872" s="333"/>
      <c r="B872" s="348"/>
      <c r="C872" s="348"/>
      <c r="D872" s="348"/>
      <c r="E872" s="348"/>
      <c r="F872" s="348"/>
      <c r="G872" s="348"/>
      <c r="H872" s="348"/>
      <c r="I872" s="348"/>
      <c r="J872" s="348"/>
      <c r="K872" s="348"/>
      <c r="L872" s="333"/>
      <c r="M872" s="333"/>
      <c r="N872" s="333"/>
      <c r="O872" s="333"/>
      <c r="P872" s="333"/>
      <c r="Q872" s="333"/>
      <c r="R872" s="333"/>
      <c r="S872" s="333"/>
      <c r="T872" s="333"/>
      <c r="U872" s="333"/>
      <c r="V872" s="333"/>
      <c r="W872" s="333"/>
      <c r="X872" s="333"/>
      <c r="Y872" s="333"/>
      <c r="Z872" s="333"/>
    </row>
    <row r="873" spans="1:26" ht="15.6">
      <c r="A873" s="333"/>
      <c r="B873" s="348"/>
      <c r="C873" s="348"/>
      <c r="D873" s="348"/>
      <c r="E873" s="348"/>
      <c r="F873" s="348"/>
      <c r="G873" s="348"/>
      <c r="H873" s="348"/>
      <c r="I873" s="348"/>
      <c r="J873" s="348"/>
      <c r="K873" s="348"/>
      <c r="L873" s="333"/>
      <c r="M873" s="333"/>
      <c r="N873" s="333"/>
      <c r="O873" s="333"/>
      <c r="P873" s="333"/>
      <c r="Q873" s="333"/>
      <c r="R873" s="333"/>
      <c r="S873" s="333"/>
      <c r="T873" s="333"/>
      <c r="U873" s="333"/>
      <c r="V873" s="333"/>
      <c r="W873" s="333"/>
      <c r="X873" s="333"/>
      <c r="Y873" s="333"/>
      <c r="Z873" s="333"/>
    </row>
    <row r="874" spans="1:26" ht="15.6">
      <c r="A874" s="333"/>
      <c r="B874" s="348"/>
      <c r="C874" s="348"/>
      <c r="D874" s="348"/>
      <c r="E874" s="348"/>
      <c r="F874" s="348"/>
      <c r="G874" s="348"/>
      <c r="H874" s="348"/>
      <c r="I874" s="348"/>
      <c r="J874" s="348"/>
      <c r="K874" s="348"/>
      <c r="L874" s="333"/>
      <c r="M874" s="333"/>
      <c r="N874" s="333"/>
      <c r="O874" s="333"/>
      <c r="P874" s="333"/>
      <c r="Q874" s="333"/>
      <c r="R874" s="333"/>
      <c r="S874" s="333"/>
      <c r="T874" s="333"/>
      <c r="U874" s="333"/>
      <c r="V874" s="333"/>
      <c r="W874" s="333"/>
      <c r="X874" s="333"/>
      <c r="Y874" s="333"/>
      <c r="Z874" s="333"/>
    </row>
    <row r="875" spans="1:26" ht="15.6">
      <c r="A875" s="333"/>
      <c r="B875" s="348"/>
      <c r="C875" s="348"/>
      <c r="D875" s="348"/>
      <c r="E875" s="348"/>
      <c r="F875" s="348"/>
      <c r="G875" s="348"/>
      <c r="H875" s="348"/>
      <c r="I875" s="348"/>
      <c r="J875" s="348"/>
      <c r="K875" s="348"/>
      <c r="L875" s="333"/>
      <c r="M875" s="333"/>
      <c r="N875" s="333"/>
      <c r="O875" s="333"/>
      <c r="P875" s="333"/>
      <c r="Q875" s="333"/>
      <c r="R875" s="333"/>
      <c r="S875" s="333"/>
      <c r="T875" s="333"/>
      <c r="U875" s="333"/>
      <c r="V875" s="333"/>
      <c r="W875" s="333"/>
      <c r="X875" s="333"/>
      <c r="Y875" s="333"/>
      <c r="Z875" s="333"/>
    </row>
    <row r="876" spans="1:26" ht="15.6">
      <c r="A876" s="333"/>
      <c r="B876" s="348"/>
      <c r="C876" s="348"/>
      <c r="D876" s="348"/>
      <c r="E876" s="348"/>
      <c r="F876" s="348"/>
      <c r="G876" s="348"/>
      <c r="H876" s="348"/>
      <c r="I876" s="348"/>
      <c r="J876" s="348"/>
      <c r="K876" s="348"/>
      <c r="L876" s="333"/>
      <c r="M876" s="333"/>
      <c r="N876" s="333"/>
      <c r="O876" s="333"/>
      <c r="P876" s="333"/>
      <c r="Q876" s="333"/>
      <c r="R876" s="333"/>
      <c r="S876" s="333"/>
      <c r="T876" s="333"/>
      <c r="U876" s="333"/>
      <c r="V876" s="333"/>
      <c r="W876" s="333"/>
      <c r="X876" s="333"/>
      <c r="Y876" s="333"/>
      <c r="Z876" s="333"/>
    </row>
    <row r="877" spans="1:26" ht="15.6">
      <c r="A877" s="333"/>
      <c r="B877" s="348"/>
      <c r="C877" s="348"/>
      <c r="D877" s="348"/>
      <c r="E877" s="348"/>
      <c r="F877" s="348"/>
      <c r="G877" s="348"/>
      <c r="H877" s="348"/>
      <c r="I877" s="348"/>
      <c r="J877" s="348"/>
      <c r="K877" s="348"/>
      <c r="L877" s="333"/>
      <c r="M877" s="333"/>
      <c r="N877" s="333"/>
      <c r="O877" s="333"/>
      <c r="P877" s="333"/>
      <c r="Q877" s="333"/>
      <c r="R877" s="333"/>
      <c r="S877" s="333"/>
      <c r="T877" s="333"/>
      <c r="U877" s="333"/>
      <c r="V877" s="333"/>
      <c r="W877" s="333"/>
      <c r="X877" s="333"/>
      <c r="Y877" s="333"/>
      <c r="Z877" s="333"/>
    </row>
    <row r="878" spans="1:26" ht="15.6">
      <c r="A878" s="333"/>
      <c r="B878" s="348"/>
      <c r="C878" s="348"/>
      <c r="D878" s="348"/>
      <c r="E878" s="348"/>
      <c r="F878" s="348"/>
      <c r="G878" s="348"/>
      <c r="H878" s="348"/>
      <c r="I878" s="348"/>
      <c r="J878" s="348"/>
      <c r="K878" s="348"/>
      <c r="L878" s="333"/>
      <c r="M878" s="333"/>
      <c r="N878" s="333"/>
      <c r="O878" s="333"/>
      <c r="P878" s="333"/>
      <c r="Q878" s="333"/>
      <c r="R878" s="333"/>
      <c r="S878" s="333"/>
      <c r="T878" s="333"/>
      <c r="U878" s="333"/>
      <c r="V878" s="333"/>
      <c r="W878" s="333"/>
      <c r="X878" s="333"/>
      <c r="Y878" s="333"/>
      <c r="Z878" s="333"/>
    </row>
    <row r="879" spans="1:26" ht="15.6">
      <c r="A879" s="333"/>
      <c r="B879" s="348"/>
      <c r="C879" s="348"/>
      <c r="D879" s="348"/>
      <c r="E879" s="348"/>
      <c r="F879" s="348"/>
      <c r="G879" s="348"/>
      <c r="H879" s="348"/>
      <c r="I879" s="348"/>
      <c r="J879" s="348"/>
      <c r="K879" s="348"/>
      <c r="L879" s="333"/>
      <c r="M879" s="333"/>
      <c r="N879" s="333"/>
      <c r="O879" s="333"/>
      <c r="P879" s="333"/>
      <c r="Q879" s="333"/>
      <c r="R879" s="333"/>
      <c r="S879" s="333"/>
      <c r="T879" s="333"/>
      <c r="U879" s="333"/>
      <c r="V879" s="333"/>
      <c r="W879" s="333"/>
      <c r="X879" s="333"/>
      <c r="Y879" s="333"/>
      <c r="Z879" s="333"/>
    </row>
    <row r="880" spans="1:26" ht="15.6">
      <c r="A880" s="333"/>
      <c r="B880" s="348"/>
      <c r="C880" s="348"/>
      <c r="D880" s="348"/>
      <c r="E880" s="348"/>
      <c r="F880" s="348"/>
      <c r="G880" s="348"/>
      <c r="H880" s="348"/>
      <c r="I880" s="348"/>
      <c r="J880" s="348"/>
      <c r="K880" s="348"/>
      <c r="L880" s="333"/>
      <c r="M880" s="333"/>
      <c r="N880" s="333"/>
      <c r="O880" s="333"/>
      <c r="P880" s="333"/>
      <c r="Q880" s="333"/>
      <c r="R880" s="333"/>
      <c r="S880" s="333"/>
      <c r="T880" s="333"/>
      <c r="U880" s="333"/>
      <c r="V880" s="333"/>
      <c r="W880" s="333"/>
      <c r="X880" s="333"/>
      <c r="Y880" s="333"/>
      <c r="Z880" s="333"/>
    </row>
    <row r="881" spans="1:26" ht="15.6">
      <c r="A881" s="333"/>
      <c r="B881" s="348"/>
      <c r="C881" s="348"/>
      <c r="D881" s="348"/>
      <c r="E881" s="348"/>
      <c r="F881" s="348"/>
      <c r="G881" s="348"/>
      <c r="H881" s="348"/>
      <c r="I881" s="348"/>
      <c r="J881" s="348"/>
      <c r="K881" s="348"/>
      <c r="L881" s="333"/>
      <c r="M881" s="333"/>
      <c r="N881" s="333"/>
      <c r="O881" s="333"/>
      <c r="P881" s="333"/>
      <c r="Q881" s="333"/>
      <c r="R881" s="333"/>
      <c r="S881" s="333"/>
      <c r="T881" s="333"/>
      <c r="U881" s="333"/>
      <c r="V881" s="333"/>
      <c r="W881" s="333"/>
      <c r="X881" s="333"/>
      <c r="Y881" s="333"/>
      <c r="Z881" s="333"/>
    </row>
    <row r="882" spans="1:26" ht="15.6">
      <c r="A882" s="333"/>
      <c r="B882" s="348"/>
      <c r="C882" s="348"/>
      <c r="D882" s="348"/>
      <c r="E882" s="348"/>
      <c r="F882" s="348"/>
      <c r="G882" s="348"/>
      <c r="H882" s="348"/>
      <c r="I882" s="348"/>
      <c r="J882" s="348"/>
      <c r="K882" s="348"/>
      <c r="L882" s="333"/>
      <c r="M882" s="333"/>
      <c r="N882" s="333"/>
      <c r="O882" s="333"/>
      <c r="P882" s="333"/>
      <c r="Q882" s="333"/>
      <c r="R882" s="333"/>
      <c r="S882" s="333"/>
      <c r="T882" s="333"/>
      <c r="U882" s="333"/>
      <c r="V882" s="333"/>
      <c r="W882" s="333"/>
      <c r="X882" s="333"/>
      <c r="Y882" s="333"/>
      <c r="Z882" s="333"/>
    </row>
    <row r="883" spans="1:26" ht="15.6">
      <c r="A883" s="333"/>
      <c r="B883" s="348"/>
      <c r="C883" s="348"/>
      <c r="D883" s="348"/>
      <c r="E883" s="348"/>
      <c r="F883" s="348"/>
      <c r="G883" s="348"/>
      <c r="H883" s="348"/>
      <c r="I883" s="348"/>
      <c r="J883" s="348"/>
      <c r="K883" s="348"/>
      <c r="L883" s="333"/>
      <c r="M883" s="333"/>
      <c r="N883" s="333"/>
      <c r="O883" s="333"/>
      <c r="P883" s="333"/>
      <c r="Q883" s="333"/>
      <c r="R883" s="333"/>
      <c r="S883" s="333"/>
      <c r="T883" s="333"/>
      <c r="U883" s="333"/>
      <c r="V883" s="333"/>
      <c r="W883" s="333"/>
      <c r="X883" s="333"/>
      <c r="Y883" s="333"/>
      <c r="Z883" s="333"/>
    </row>
    <row r="884" spans="1:26" ht="15.6">
      <c r="A884" s="333"/>
      <c r="B884" s="348"/>
      <c r="C884" s="348"/>
      <c r="D884" s="348"/>
      <c r="E884" s="348"/>
      <c r="F884" s="348"/>
      <c r="G884" s="348"/>
      <c r="H884" s="348"/>
      <c r="I884" s="348"/>
      <c r="J884" s="348"/>
      <c r="K884" s="348"/>
      <c r="L884" s="333"/>
      <c r="M884" s="333"/>
      <c r="N884" s="333"/>
      <c r="O884" s="333"/>
      <c r="P884" s="333"/>
      <c r="Q884" s="333"/>
      <c r="R884" s="333"/>
      <c r="S884" s="333"/>
      <c r="T884" s="333"/>
      <c r="U884" s="333"/>
      <c r="V884" s="333"/>
      <c r="W884" s="333"/>
      <c r="X884" s="333"/>
      <c r="Y884" s="333"/>
      <c r="Z884" s="333"/>
    </row>
    <row r="885" spans="1:26" ht="15.6">
      <c r="A885" s="333"/>
      <c r="B885" s="348"/>
      <c r="C885" s="348"/>
      <c r="D885" s="348"/>
      <c r="E885" s="348"/>
      <c r="F885" s="348"/>
      <c r="G885" s="348"/>
      <c r="H885" s="348"/>
      <c r="I885" s="348"/>
      <c r="J885" s="348"/>
      <c r="K885" s="348"/>
      <c r="L885" s="333"/>
      <c r="M885" s="333"/>
      <c r="N885" s="333"/>
      <c r="O885" s="333"/>
      <c r="P885" s="333"/>
      <c r="Q885" s="333"/>
      <c r="R885" s="333"/>
      <c r="S885" s="333"/>
      <c r="T885" s="333"/>
      <c r="U885" s="333"/>
      <c r="V885" s="333"/>
      <c r="W885" s="333"/>
      <c r="X885" s="333"/>
      <c r="Y885" s="333"/>
      <c r="Z885" s="333"/>
    </row>
    <row r="886" spans="1:26" ht="15.6">
      <c r="A886" s="333"/>
      <c r="B886" s="348"/>
      <c r="C886" s="348"/>
      <c r="D886" s="348"/>
      <c r="E886" s="348"/>
      <c r="F886" s="348"/>
      <c r="G886" s="348"/>
      <c r="H886" s="348"/>
      <c r="I886" s="348"/>
      <c r="J886" s="348"/>
      <c r="K886" s="348"/>
      <c r="L886" s="333"/>
      <c r="M886" s="333"/>
      <c r="N886" s="333"/>
      <c r="O886" s="333"/>
      <c r="P886" s="333"/>
      <c r="Q886" s="333"/>
      <c r="R886" s="333"/>
      <c r="S886" s="333"/>
      <c r="T886" s="333"/>
      <c r="U886" s="333"/>
      <c r="V886" s="333"/>
      <c r="W886" s="333"/>
      <c r="X886" s="333"/>
      <c r="Y886" s="333"/>
      <c r="Z886" s="333"/>
    </row>
    <row r="887" spans="1:26" ht="15.6">
      <c r="A887" s="333"/>
      <c r="B887" s="348"/>
      <c r="C887" s="348"/>
      <c r="D887" s="348"/>
      <c r="E887" s="348"/>
      <c r="F887" s="348"/>
      <c r="G887" s="348"/>
      <c r="H887" s="348"/>
      <c r="I887" s="348"/>
      <c r="J887" s="348"/>
      <c r="K887" s="348"/>
      <c r="L887" s="333"/>
      <c r="M887" s="333"/>
      <c r="N887" s="333"/>
      <c r="O887" s="333"/>
      <c r="P887" s="333"/>
      <c r="Q887" s="333"/>
      <c r="R887" s="333"/>
      <c r="S887" s="333"/>
      <c r="T887" s="333"/>
      <c r="U887" s="333"/>
      <c r="V887" s="333"/>
      <c r="W887" s="333"/>
      <c r="X887" s="333"/>
      <c r="Y887" s="333"/>
      <c r="Z887" s="333"/>
    </row>
    <row r="888" spans="1:26" ht="15.6">
      <c r="A888" s="333"/>
      <c r="B888" s="348"/>
      <c r="C888" s="348"/>
      <c r="D888" s="348"/>
      <c r="E888" s="348"/>
      <c r="F888" s="348"/>
      <c r="G888" s="348"/>
      <c r="H888" s="348"/>
      <c r="I888" s="348"/>
      <c r="J888" s="348"/>
      <c r="K888" s="348"/>
      <c r="L888" s="333"/>
      <c r="M888" s="333"/>
      <c r="N888" s="333"/>
      <c r="O888" s="333"/>
      <c r="P888" s="333"/>
      <c r="Q888" s="333"/>
      <c r="R888" s="333"/>
      <c r="S888" s="333"/>
      <c r="T888" s="333"/>
      <c r="U888" s="333"/>
      <c r="V888" s="333"/>
      <c r="W888" s="333"/>
      <c r="X888" s="333"/>
      <c r="Y888" s="333"/>
      <c r="Z888" s="333"/>
    </row>
    <row r="889" spans="1:26" ht="15.6">
      <c r="A889" s="333"/>
      <c r="B889" s="348"/>
      <c r="C889" s="348"/>
      <c r="D889" s="348"/>
      <c r="E889" s="348"/>
      <c r="F889" s="348"/>
      <c r="G889" s="348"/>
      <c r="H889" s="348"/>
      <c r="I889" s="348"/>
      <c r="J889" s="348"/>
      <c r="K889" s="348"/>
      <c r="L889" s="333"/>
      <c r="M889" s="333"/>
      <c r="N889" s="333"/>
      <c r="O889" s="333"/>
      <c r="P889" s="333"/>
      <c r="Q889" s="333"/>
      <c r="R889" s="333"/>
      <c r="S889" s="333"/>
      <c r="T889" s="333"/>
      <c r="U889" s="333"/>
      <c r="V889" s="333"/>
      <c r="W889" s="333"/>
      <c r="X889" s="333"/>
      <c r="Y889" s="333"/>
      <c r="Z889" s="333"/>
    </row>
    <row r="890" spans="1:26" ht="15.6">
      <c r="A890" s="333"/>
      <c r="B890" s="348"/>
      <c r="C890" s="348"/>
      <c r="D890" s="348"/>
      <c r="E890" s="348"/>
      <c r="F890" s="348"/>
      <c r="G890" s="348"/>
      <c r="H890" s="348"/>
      <c r="I890" s="348"/>
      <c r="J890" s="348"/>
      <c r="K890" s="348"/>
      <c r="L890" s="333"/>
      <c r="M890" s="333"/>
      <c r="N890" s="333"/>
      <c r="O890" s="333"/>
      <c r="P890" s="333"/>
      <c r="Q890" s="333"/>
      <c r="R890" s="333"/>
      <c r="S890" s="333"/>
      <c r="T890" s="333"/>
      <c r="U890" s="333"/>
      <c r="V890" s="333"/>
      <c r="W890" s="333"/>
      <c r="X890" s="333"/>
      <c r="Y890" s="333"/>
      <c r="Z890" s="333"/>
    </row>
    <row r="891" spans="1:26" ht="15.6">
      <c r="A891" s="333"/>
      <c r="B891" s="348"/>
      <c r="C891" s="348"/>
      <c r="D891" s="348"/>
      <c r="E891" s="348"/>
      <c r="F891" s="348"/>
      <c r="G891" s="348"/>
      <c r="H891" s="348"/>
      <c r="I891" s="348"/>
      <c r="J891" s="348"/>
      <c r="K891" s="348"/>
      <c r="L891" s="333"/>
      <c r="M891" s="333"/>
      <c r="N891" s="333"/>
      <c r="O891" s="333"/>
      <c r="P891" s="333"/>
      <c r="Q891" s="333"/>
      <c r="R891" s="333"/>
      <c r="S891" s="333"/>
      <c r="T891" s="333"/>
      <c r="U891" s="333"/>
      <c r="V891" s="333"/>
      <c r="W891" s="333"/>
      <c r="X891" s="333"/>
      <c r="Y891" s="333"/>
      <c r="Z891" s="333"/>
    </row>
    <row r="892" spans="1:26" ht="15.6">
      <c r="A892" s="333"/>
      <c r="B892" s="348"/>
      <c r="C892" s="348"/>
      <c r="D892" s="348"/>
      <c r="E892" s="348"/>
      <c r="F892" s="348"/>
      <c r="G892" s="348"/>
      <c r="H892" s="348"/>
      <c r="I892" s="348"/>
      <c r="J892" s="348"/>
      <c r="K892" s="348"/>
      <c r="L892" s="333"/>
      <c r="M892" s="333"/>
      <c r="N892" s="333"/>
      <c r="O892" s="333"/>
      <c r="P892" s="333"/>
      <c r="Q892" s="333"/>
      <c r="R892" s="333"/>
      <c r="S892" s="333"/>
      <c r="T892" s="333"/>
      <c r="U892" s="333"/>
      <c r="V892" s="333"/>
      <c r="W892" s="333"/>
      <c r="X892" s="333"/>
      <c r="Y892" s="333"/>
      <c r="Z892" s="333"/>
    </row>
    <row r="893" spans="1:26" ht="15.6">
      <c r="A893" s="333"/>
      <c r="B893" s="348"/>
      <c r="C893" s="348"/>
      <c r="D893" s="348"/>
      <c r="E893" s="348"/>
      <c r="F893" s="348"/>
      <c r="G893" s="348"/>
      <c r="H893" s="348"/>
      <c r="I893" s="348"/>
      <c r="J893" s="348"/>
      <c r="K893" s="348"/>
      <c r="L893" s="333"/>
      <c r="M893" s="333"/>
      <c r="N893" s="333"/>
      <c r="O893" s="333"/>
      <c r="P893" s="333"/>
      <c r="Q893" s="333"/>
      <c r="R893" s="333"/>
      <c r="S893" s="333"/>
      <c r="T893" s="333"/>
      <c r="U893" s="333"/>
      <c r="V893" s="333"/>
      <c r="W893" s="333"/>
      <c r="X893" s="333"/>
      <c r="Y893" s="333"/>
      <c r="Z893" s="333"/>
    </row>
    <row r="894" spans="1:26" ht="15.6">
      <c r="A894" s="333"/>
      <c r="B894" s="348"/>
      <c r="C894" s="348"/>
      <c r="D894" s="348"/>
      <c r="E894" s="348"/>
      <c r="F894" s="348"/>
      <c r="G894" s="348"/>
      <c r="H894" s="348"/>
      <c r="I894" s="348"/>
      <c r="J894" s="348"/>
      <c r="K894" s="348"/>
      <c r="L894" s="333"/>
      <c r="M894" s="333"/>
      <c r="N894" s="333"/>
      <c r="O894" s="333"/>
      <c r="P894" s="333"/>
      <c r="Q894" s="333"/>
      <c r="R894" s="333"/>
      <c r="S894" s="333"/>
      <c r="T894" s="333"/>
      <c r="U894" s="333"/>
      <c r="V894" s="333"/>
      <c r="W894" s="333"/>
      <c r="X894" s="333"/>
      <c r="Y894" s="333"/>
      <c r="Z894" s="333"/>
    </row>
    <row r="895" spans="1:26" ht="15.6">
      <c r="A895" s="333"/>
      <c r="B895" s="348"/>
      <c r="C895" s="348"/>
      <c r="D895" s="348"/>
      <c r="E895" s="348"/>
      <c r="F895" s="348"/>
      <c r="G895" s="348"/>
      <c r="H895" s="348"/>
      <c r="I895" s="348"/>
      <c r="J895" s="348"/>
      <c r="K895" s="348"/>
      <c r="L895" s="333"/>
      <c r="M895" s="333"/>
      <c r="N895" s="333"/>
      <c r="O895" s="333"/>
      <c r="P895" s="333"/>
      <c r="Q895" s="333"/>
      <c r="R895" s="333"/>
      <c r="S895" s="333"/>
      <c r="T895" s="333"/>
      <c r="U895" s="333"/>
      <c r="V895" s="333"/>
      <c r="W895" s="333"/>
      <c r="X895" s="333"/>
      <c r="Y895" s="333"/>
      <c r="Z895" s="333"/>
    </row>
    <row r="896" spans="1:26" ht="15.6">
      <c r="A896" s="333"/>
      <c r="B896" s="348"/>
      <c r="C896" s="348"/>
      <c r="D896" s="348"/>
      <c r="E896" s="348"/>
      <c r="F896" s="348"/>
      <c r="G896" s="348"/>
      <c r="H896" s="348"/>
      <c r="I896" s="348"/>
      <c r="J896" s="348"/>
      <c r="K896" s="348"/>
      <c r="L896" s="333"/>
      <c r="M896" s="333"/>
      <c r="N896" s="333"/>
      <c r="O896" s="333"/>
      <c r="P896" s="333"/>
      <c r="Q896" s="333"/>
      <c r="R896" s="333"/>
      <c r="S896" s="333"/>
      <c r="T896" s="333"/>
      <c r="U896" s="333"/>
      <c r="V896" s="333"/>
      <c r="W896" s="333"/>
      <c r="X896" s="333"/>
      <c r="Y896" s="333"/>
      <c r="Z896" s="333"/>
    </row>
    <row r="897" spans="1:26" ht="15.6">
      <c r="A897" s="333"/>
      <c r="B897" s="348"/>
      <c r="C897" s="348"/>
      <c r="D897" s="348"/>
      <c r="E897" s="348"/>
      <c r="F897" s="348"/>
      <c r="G897" s="348"/>
      <c r="H897" s="348"/>
      <c r="I897" s="348"/>
      <c r="J897" s="348"/>
      <c r="K897" s="348"/>
      <c r="L897" s="333"/>
      <c r="M897" s="333"/>
      <c r="N897" s="333"/>
      <c r="O897" s="333"/>
      <c r="P897" s="333"/>
      <c r="Q897" s="333"/>
      <c r="R897" s="333"/>
      <c r="S897" s="333"/>
      <c r="T897" s="333"/>
      <c r="U897" s="333"/>
      <c r="V897" s="333"/>
      <c r="W897" s="333"/>
      <c r="X897" s="333"/>
      <c r="Y897" s="333"/>
      <c r="Z897" s="333"/>
    </row>
    <row r="898" spans="1:26" ht="15.6">
      <c r="A898" s="333"/>
      <c r="B898" s="348"/>
      <c r="C898" s="348"/>
      <c r="D898" s="348"/>
      <c r="E898" s="348"/>
      <c r="F898" s="348"/>
      <c r="G898" s="348"/>
      <c r="H898" s="348"/>
      <c r="I898" s="348"/>
      <c r="J898" s="348"/>
      <c r="K898" s="348"/>
      <c r="L898" s="333"/>
      <c r="M898" s="333"/>
      <c r="N898" s="333"/>
      <c r="O898" s="333"/>
      <c r="P898" s="333"/>
      <c r="Q898" s="333"/>
      <c r="R898" s="333"/>
      <c r="S898" s="333"/>
      <c r="T898" s="333"/>
      <c r="U898" s="333"/>
      <c r="V898" s="333"/>
      <c r="W898" s="333"/>
      <c r="X898" s="333"/>
      <c r="Y898" s="333"/>
      <c r="Z898" s="333"/>
    </row>
    <row r="899" spans="1:26" ht="15.6">
      <c r="A899" s="333"/>
      <c r="B899" s="348"/>
      <c r="C899" s="348"/>
      <c r="D899" s="348"/>
      <c r="E899" s="348"/>
      <c r="F899" s="348"/>
      <c r="G899" s="348"/>
      <c r="H899" s="348"/>
      <c r="I899" s="348"/>
      <c r="J899" s="348"/>
      <c r="K899" s="348"/>
      <c r="L899" s="333"/>
      <c r="M899" s="333"/>
      <c r="N899" s="333"/>
      <c r="O899" s="333"/>
      <c r="P899" s="333"/>
      <c r="Q899" s="333"/>
      <c r="R899" s="333"/>
      <c r="S899" s="333"/>
      <c r="T899" s="333"/>
      <c r="U899" s="333"/>
      <c r="V899" s="333"/>
      <c r="W899" s="333"/>
      <c r="X899" s="333"/>
      <c r="Y899" s="333"/>
      <c r="Z899" s="333"/>
    </row>
    <row r="900" spans="1:26" ht="15.6">
      <c r="A900" s="333"/>
      <c r="B900" s="348"/>
      <c r="C900" s="348"/>
      <c r="D900" s="348"/>
      <c r="E900" s="348"/>
      <c r="F900" s="348"/>
      <c r="G900" s="348"/>
      <c r="H900" s="348"/>
      <c r="I900" s="348"/>
      <c r="J900" s="348"/>
      <c r="K900" s="348"/>
      <c r="L900" s="333"/>
      <c r="M900" s="333"/>
      <c r="N900" s="333"/>
      <c r="O900" s="333"/>
      <c r="P900" s="333"/>
      <c r="Q900" s="333"/>
      <c r="R900" s="333"/>
      <c r="S900" s="333"/>
      <c r="T900" s="333"/>
      <c r="U900" s="333"/>
      <c r="V900" s="333"/>
      <c r="W900" s="333"/>
      <c r="X900" s="333"/>
      <c r="Y900" s="333"/>
      <c r="Z900" s="333"/>
    </row>
    <row r="901" spans="1:26" ht="15.6">
      <c r="A901" s="333"/>
      <c r="B901" s="348"/>
      <c r="C901" s="348"/>
      <c r="D901" s="348"/>
      <c r="E901" s="348"/>
      <c r="F901" s="348"/>
      <c r="G901" s="348"/>
      <c r="H901" s="348"/>
      <c r="I901" s="348"/>
      <c r="J901" s="348"/>
      <c r="K901" s="348"/>
      <c r="L901" s="333"/>
      <c r="M901" s="333"/>
      <c r="N901" s="333"/>
      <c r="O901" s="333"/>
      <c r="P901" s="333"/>
      <c r="Q901" s="333"/>
      <c r="R901" s="333"/>
      <c r="S901" s="333"/>
      <c r="T901" s="333"/>
      <c r="U901" s="333"/>
      <c r="V901" s="333"/>
      <c r="W901" s="333"/>
      <c r="X901" s="333"/>
      <c r="Y901" s="333"/>
      <c r="Z901" s="333"/>
    </row>
    <row r="902" spans="1:26" ht="15.6">
      <c r="A902" s="333"/>
      <c r="B902" s="348"/>
      <c r="C902" s="348"/>
      <c r="D902" s="348"/>
      <c r="E902" s="348"/>
      <c r="F902" s="348"/>
      <c r="G902" s="348"/>
      <c r="H902" s="348"/>
      <c r="I902" s="348"/>
      <c r="J902" s="348"/>
      <c r="K902" s="348"/>
      <c r="L902" s="333"/>
      <c r="M902" s="333"/>
      <c r="N902" s="333"/>
      <c r="O902" s="333"/>
      <c r="P902" s="333"/>
      <c r="Q902" s="333"/>
      <c r="R902" s="333"/>
      <c r="S902" s="333"/>
      <c r="T902" s="333"/>
      <c r="U902" s="333"/>
      <c r="V902" s="333"/>
      <c r="W902" s="333"/>
      <c r="X902" s="333"/>
      <c r="Y902" s="333"/>
      <c r="Z902" s="333"/>
    </row>
    <row r="903" spans="1:26" ht="15.6">
      <c r="A903" s="333"/>
      <c r="B903" s="348"/>
      <c r="C903" s="348"/>
      <c r="D903" s="348"/>
      <c r="E903" s="348"/>
      <c r="F903" s="348"/>
      <c r="G903" s="348"/>
      <c r="H903" s="348"/>
      <c r="I903" s="348"/>
      <c r="J903" s="348"/>
      <c r="K903" s="348"/>
      <c r="L903" s="333"/>
      <c r="M903" s="333"/>
      <c r="N903" s="333"/>
      <c r="O903" s="333"/>
      <c r="P903" s="333"/>
      <c r="Q903" s="333"/>
      <c r="R903" s="333"/>
      <c r="S903" s="333"/>
      <c r="T903" s="333"/>
      <c r="U903" s="333"/>
      <c r="V903" s="333"/>
      <c r="W903" s="333"/>
      <c r="X903" s="333"/>
      <c r="Y903" s="333"/>
      <c r="Z903" s="333"/>
    </row>
    <row r="904" spans="1:26" ht="15.6">
      <c r="A904" s="333"/>
      <c r="B904" s="348"/>
      <c r="C904" s="348"/>
      <c r="D904" s="348"/>
      <c r="E904" s="348"/>
      <c r="F904" s="348"/>
      <c r="G904" s="348"/>
      <c r="H904" s="348"/>
      <c r="I904" s="348"/>
      <c r="J904" s="348"/>
      <c r="K904" s="348"/>
      <c r="L904" s="333"/>
      <c r="M904" s="333"/>
      <c r="N904" s="333"/>
      <c r="O904" s="333"/>
      <c r="P904" s="333"/>
      <c r="Q904" s="333"/>
      <c r="R904" s="333"/>
      <c r="S904" s="333"/>
      <c r="T904" s="333"/>
      <c r="U904" s="333"/>
      <c r="V904" s="333"/>
      <c r="W904" s="333"/>
      <c r="X904" s="333"/>
      <c r="Y904" s="333"/>
      <c r="Z904" s="333"/>
    </row>
    <row r="905" spans="1:26" ht="15.6">
      <c r="A905" s="333"/>
      <c r="B905" s="348"/>
      <c r="C905" s="348"/>
      <c r="D905" s="348"/>
      <c r="E905" s="348"/>
      <c r="F905" s="348"/>
      <c r="G905" s="348"/>
      <c r="H905" s="348"/>
      <c r="I905" s="348"/>
      <c r="J905" s="348"/>
      <c r="K905" s="348"/>
      <c r="L905" s="333"/>
      <c r="M905" s="333"/>
      <c r="N905" s="333"/>
      <c r="O905" s="333"/>
      <c r="P905" s="333"/>
      <c r="Q905" s="333"/>
      <c r="R905" s="333"/>
      <c r="S905" s="333"/>
      <c r="T905" s="333"/>
      <c r="U905" s="333"/>
      <c r="V905" s="333"/>
      <c r="W905" s="333"/>
      <c r="X905" s="333"/>
      <c r="Y905" s="333"/>
      <c r="Z905" s="333"/>
    </row>
    <row r="906" spans="1:26" ht="15.6">
      <c r="A906" s="333"/>
      <c r="B906" s="348"/>
      <c r="C906" s="348"/>
      <c r="D906" s="348"/>
      <c r="E906" s="348"/>
      <c r="F906" s="348"/>
      <c r="G906" s="348"/>
      <c r="H906" s="348"/>
      <c r="I906" s="348"/>
      <c r="J906" s="348"/>
      <c r="K906" s="348"/>
      <c r="L906" s="333"/>
      <c r="M906" s="333"/>
      <c r="N906" s="333"/>
      <c r="O906" s="333"/>
      <c r="P906" s="333"/>
      <c r="Q906" s="333"/>
      <c r="R906" s="333"/>
      <c r="S906" s="333"/>
      <c r="T906" s="333"/>
      <c r="U906" s="333"/>
      <c r="V906" s="333"/>
      <c r="W906" s="333"/>
      <c r="X906" s="333"/>
      <c r="Y906" s="333"/>
      <c r="Z906" s="333"/>
    </row>
    <row r="907" spans="1:26" ht="15.6">
      <c r="A907" s="333"/>
      <c r="B907" s="348"/>
      <c r="C907" s="348"/>
      <c r="D907" s="348"/>
      <c r="E907" s="348"/>
      <c r="F907" s="348"/>
      <c r="G907" s="348"/>
      <c r="H907" s="348"/>
      <c r="I907" s="348"/>
      <c r="J907" s="348"/>
      <c r="K907" s="348"/>
      <c r="L907" s="333"/>
      <c r="M907" s="333"/>
      <c r="N907" s="333"/>
      <c r="O907" s="333"/>
      <c r="P907" s="333"/>
      <c r="Q907" s="333"/>
      <c r="R907" s="333"/>
      <c r="S907" s="333"/>
      <c r="T907" s="333"/>
      <c r="U907" s="333"/>
      <c r="V907" s="333"/>
      <c r="W907" s="333"/>
      <c r="X907" s="333"/>
      <c r="Y907" s="333"/>
      <c r="Z907" s="333"/>
    </row>
    <row r="908" spans="1:26" ht="15.6">
      <c r="A908" s="333"/>
      <c r="B908" s="348"/>
      <c r="C908" s="348"/>
      <c r="D908" s="348"/>
      <c r="E908" s="348"/>
      <c r="F908" s="348"/>
      <c r="G908" s="348"/>
      <c r="H908" s="348"/>
      <c r="I908" s="348"/>
      <c r="J908" s="348"/>
      <c r="K908" s="348"/>
      <c r="L908" s="333"/>
      <c r="M908" s="333"/>
      <c r="N908" s="333"/>
      <c r="O908" s="333"/>
      <c r="P908" s="333"/>
      <c r="Q908" s="333"/>
      <c r="R908" s="333"/>
      <c r="S908" s="333"/>
      <c r="T908" s="333"/>
      <c r="U908" s="333"/>
      <c r="V908" s="333"/>
      <c r="W908" s="333"/>
      <c r="X908" s="333"/>
      <c r="Y908" s="333"/>
      <c r="Z908" s="333"/>
    </row>
    <row r="909" spans="1:26" ht="15.6">
      <c r="A909" s="333"/>
      <c r="B909" s="348"/>
      <c r="C909" s="348"/>
      <c r="D909" s="348"/>
      <c r="E909" s="348"/>
      <c r="F909" s="348"/>
      <c r="G909" s="348"/>
      <c r="H909" s="348"/>
      <c r="I909" s="348"/>
      <c r="J909" s="348"/>
      <c r="K909" s="348"/>
      <c r="L909" s="333"/>
      <c r="M909" s="333"/>
      <c r="N909" s="333"/>
      <c r="O909" s="333"/>
      <c r="P909" s="333"/>
      <c r="Q909" s="333"/>
      <c r="R909" s="333"/>
      <c r="S909" s="333"/>
      <c r="T909" s="333"/>
      <c r="U909" s="333"/>
      <c r="V909" s="333"/>
      <c r="W909" s="333"/>
      <c r="X909" s="333"/>
      <c r="Y909" s="333"/>
      <c r="Z909" s="333"/>
    </row>
    <row r="910" spans="1:26" ht="15.6">
      <c r="A910" s="333"/>
      <c r="B910" s="348"/>
      <c r="C910" s="348"/>
      <c r="D910" s="348"/>
      <c r="E910" s="348"/>
      <c r="F910" s="348"/>
      <c r="G910" s="348"/>
      <c r="H910" s="348"/>
      <c r="I910" s="348"/>
      <c r="J910" s="348"/>
      <c r="K910" s="348"/>
      <c r="L910" s="333"/>
      <c r="M910" s="333"/>
      <c r="N910" s="333"/>
      <c r="O910" s="333"/>
      <c r="P910" s="333"/>
      <c r="Q910" s="333"/>
      <c r="R910" s="333"/>
      <c r="S910" s="333"/>
      <c r="T910" s="333"/>
      <c r="U910" s="333"/>
      <c r="V910" s="333"/>
      <c r="W910" s="333"/>
      <c r="X910" s="333"/>
      <c r="Y910" s="333"/>
      <c r="Z910" s="333"/>
    </row>
    <row r="911" spans="1:26" ht="15.6">
      <c r="A911" s="333"/>
      <c r="B911" s="348"/>
      <c r="C911" s="348"/>
      <c r="D911" s="348"/>
      <c r="E911" s="348"/>
      <c r="F911" s="348"/>
      <c r="G911" s="348"/>
      <c r="H911" s="348"/>
      <c r="I911" s="348"/>
      <c r="J911" s="348"/>
      <c r="K911" s="348"/>
      <c r="L911" s="333"/>
      <c r="M911" s="333"/>
      <c r="N911" s="333"/>
      <c r="O911" s="333"/>
      <c r="P911" s="333"/>
      <c r="Q911" s="333"/>
      <c r="R911" s="333"/>
      <c r="S911" s="333"/>
      <c r="T911" s="333"/>
      <c r="U911" s="333"/>
      <c r="V911" s="333"/>
      <c r="W911" s="333"/>
      <c r="X911" s="333"/>
      <c r="Y911" s="333"/>
      <c r="Z911" s="333"/>
    </row>
    <row r="912" spans="1:26" ht="15.6">
      <c r="A912" s="333"/>
      <c r="B912" s="348"/>
      <c r="C912" s="348"/>
      <c r="D912" s="348"/>
      <c r="E912" s="348"/>
      <c r="F912" s="348"/>
      <c r="G912" s="348"/>
      <c r="H912" s="348"/>
      <c r="I912" s="348"/>
      <c r="J912" s="348"/>
      <c r="K912" s="348"/>
      <c r="L912" s="333"/>
      <c r="M912" s="333"/>
      <c r="N912" s="333"/>
      <c r="O912" s="333"/>
      <c r="P912" s="333"/>
      <c r="Q912" s="333"/>
      <c r="R912" s="333"/>
      <c r="S912" s="333"/>
      <c r="T912" s="333"/>
      <c r="U912" s="333"/>
      <c r="V912" s="333"/>
      <c r="W912" s="333"/>
      <c r="X912" s="333"/>
      <c r="Y912" s="333"/>
      <c r="Z912" s="333"/>
    </row>
    <row r="913" spans="1:26" ht="15.6">
      <c r="A913" s="333"/>
      <c r="B913" s="348"/>
      <c r="C913" s="348"/>
      <c r="D913" s="348"/>
      <c r="E913" s="348"/>
      <c r="F913" s="348"/>
      <c r="G913" s="348"/>
      <c r="H913" s="348"/>
      <c r="I913" s="348"/>
      <c r="J913" s="348"/>
      <c r="K913" s="348"/>
      <c r="L913" s="333"/>
      <c r="M913" s="333"/>
      <c r="N913" s="333"/>
      <c r="O913" s="333"/>
      <c r="P913" s="333"/>
      <c r="Q913" s="333"/>
      <c r="R913" s="333"/>
      <c r="S913" s="333"/>
      <c r="T913" s="333"/>
      <c r="U913" s="333"/>
      <c r="V913" s="333"/>
      <c r="W913" s="333"/>
      <c r="X913" s="333"/>
      <c r="Y913" s="333"/>
      <c r="Z913" s="333"/>
    </row>
    <row r="914" spans="1:26" ht="15.6">
      <c r="A914" s="333"/>
      <c r="B914" s="348"/>
      <c r="C914" s="348"/>
      <c r="D914" s="348"/>
      <c r="E914" s="348"/>
      <c r="F914" s="348"/>
      <c r="G914" s="348"/>
      <c r="H914" s="348"/>
      <c r="I914" s="348"/>
      <c r="J914" s="348"/>
      <c r="K914" s="348"/>
      <c r="L914" s="333"/>
      <c r="M914" s="333"/>
      <c r="N914" s="333"/>
      <c r="O914" s="333"/>
      <c r="P914" s="333"/>
      <c r="Q914" s="333"/>
      <c r="R914" s="333"/>
      <c r="S914" s="333"/>
      <c r="T914" s="333"/>
      <c r="U914" s="333"/>
      <c r="V914" s="333"/>
      <c r="W914" s="333"/>
      <c r="X914" s="333"/>
      <c r="Y914" s="333"/>
      <c r="Z914" s="333"/>
    </row>
    <row r="915" spans="1:26" ht="15.6">
      <c r="A915" s="333"/>
      <c r="B915" s="348"/>
      <c r="C915" s="348"/>
      <c r="D915" s="348"/>
      <c r="E915" s="348"/>
      <c r="F915" s="348"/>
      <c r="G915" s="348"/>
      <c r="H915" s="348"/>
      <c r="I915" s="348"/>
      <c r="J915" s="348"/>
      <c r="K915" s="348"/>
      <c r="L915" s="333"/>
      <c r="M915" s="333"/>
      <c r="N915" s="333"/>
      <c r="O915" s="333"/>
      <c r="P915" s="333"/>
      <c r="Q915" s="333"/>
      <c r="R915" s="333"/>
      <c r="S915" s="333"/>
      <c r="T915" s="333"/>
      <c r="U915" s="333"/>
      <c r="V915" s="333"/>
      <c r="W915" s="333"/>
      <c r="X915" s="333"/>
      <c r="Y915" s="333"/>
      <c r="Z915" s="333"/>
    </row>
    <row r="916" spans="1:26" ht="15.6">
      <c r="A916" s="333"/>
      <c r="B916" s="348"/>
      <c r="C916" s="348"/>
      <c r="D916" s="348"/>
      <c r="E916" s="348"/>
      <c r="F916" s="348"/>
      <c r="G916" s="348"/>
      <c r="H916" s="348"/>
      <c r="I916" s="348"/>
      <c r="J916" s="348"/>
      <c r="K916" s="348"/>
      <c r="L916" s="333"/>
      <c r="M916" s="333"/>
      <c r="N916" s="333"/>
      <c r="O916" s="333"/>
      <c r="P916" s="333"/>
      <c r="Q916" s="333"/>
      <c r="R916" s="333"/>
      <c r="S916" s="333"/>
      <c r="T916" s="333"/>
      <c r="U916" s="333"/>
      <c r="V916" s="333"/>
      <c r="W916" s="333"/>
      <c r="X916" s="333"/>
      <c r="Y916" s="333"/>
      <c r="Z916" s="333"/>
    </row>
    <row r="917" spans="1:26" ht="15.6">
      <c r="A917" s="333"/>
      <c r="B917" s="348"/>
      <c r="C917" s="348"/>
      <c r="D917" s="348"/>
      <c r="E917" s="348"/>
      <c r="F917" s="348"/>
      <c r="G917" s="348"/>
      <c r="H917" s="348"/>
      <c r="I917" s="348"/>
      <c r="J917" s="348"/>
      <c r="K917" s="348"/>
      <c r="L917" s="333"/>
      <c r="M917" s="333"/>
      <c r="N917" s="333"/>
      <c r="O917" s="333"/>
      <c r="P917" s="333"/>
      <c r="Q917" s="333"/>
      <c r="R917" s="333"/>
      <c r="S917" s="333"/>
      <c r="T917" s="333"/>
      <c r="U917" s="333"/>
      <c r="V917" s="333"/>
      <c r="W917" s="333"/>
      <c r="X917" s="333"/>
      <c r="Y917" s="333"/>
      <c r="Z917" s="333"/>
    </row>
    <row r="918" spans="1:26" ht="15.6">
      <c r="A918" s="333"/>
      <c r="B918" s="348"/>
      <c r="C918" s="348"/>
      <c r="D918" s="348"/>
      <c r="E918" s="348"/>
      <c r="F918" s="348"/>
      <c r="G918" s="348"/>
      <c r="H918" s="348"/>
      <c r="I918" s="348"/>
      <c r="J918" s="348"/>
      <c r="K918" s="348"/>
      <c r="L918" s="333"/>
      <c r="M918" s="333"/>
      <c r="N918" s="333"/>
      <c r="O918" s="333"/>
      <c r="P918" s="333"/>
      <c r="Q918" s="333"/>
      <c r="R918" s="333"/>
      <c r="S918" s="333"/>
      <c r="T918" s="333"/>
      <c r="U918" s="333"/>
      <c r="V918" s="333"/>
      <c r="W918" s="333"/>
      <c r="X918" s="333"/>
      <c r="Y918" s="333"/>
      <c r="Z918" s="333"/>
    </row>
    <row r="919" spans="1:26" ht="15.6">
      <c r="A919" s="333"/>
      <c r="B919" s="348"/>
      <c r="C919" s="348"/>
      <c r="D919" s="348"/>
      <c r="E919" s="348"/>
      <c r="F919" s="348"/>
      <c r="G919" s="348"/>
      <c r="H919" s="348"/>
      <c r="I919" s="348"/>
      <c r="J919" s="348"/>
      <c r="K919" s="348"/>
      <c r="L919" s="333"/>
      <c r="M919" s="333"/>
      <c r="N919" s="333"/>
      <c r="O919" s="333"/>
      <c r="P919" s="333"/>
      <c r="Q919" s="333"/>
      <c r="R919" s="333"/>
      <c r="S919" s="333"/>
      <c r="T919" s="333"/>
      <c r="U919" s="333"/>
      <c r="V919" s="333"/>
      <c r="W919" s="333"/>
      <c r="X919" s="333"/>
      <c r="Y919" s="333"/>
      <c r="Z919" s="333"/>
    </row>
    <row r="920" spans="1:26" ht="15.6">
      <c r="A920" s="333"/>
      <c r="B920" s="348"/>
      <c r="C920" s="348"/>
      <c r="D920" s="348"/>
      <c r="E920" s="348"/>
      <c r="F920" s="348"/>
      <c r="G920" s="348"/>
      <c r="H920" s="348"/>
      <c r="I920" s="348"/>
      <c r="J920" s="348"/>
      <c r="K920" s="348"/>
      <c r="L920" s="333"/>
      <c r="M920" s="333"/>
      <c r="N920" s="333"/>
      <c r="O920" s="333"/>
      <c r="P920" s="333"/>
      <c r="Q920" s="333"/>
      <c r="R920" s="333"/>
      <c r="S920" s="333"/>
      <c r="T920" s="333"/>
      <c r="U920" s="333"/>
      <c r="V920" s="333"/>
      <c r="W920" s="333"/>
      <c r="X920" s="333"/>
      <c r="Y920" s="333"/>
      <c r="Z920" s="333"/>
    </row>
    <row r="921" spans="1:26" ht="15.6">
      <c r="A921" s="333"/>
      <c r="B921" s="348"/>
      <c r="C921" s="348"/>
      <c r="D921" s="348"/>
      <c r="E921" s="348"/>
      <c r="F921" s="348"/>
      <c r="G921" s="348"/>
      <c r="H921" s="348"/>
      <c r="I921" s="348"/>
      <c r="J921" s="348"/>
      <c r="K921" s="348"/>
      <c r="L921" s="333"/>
      <c r="M921" s="333"/>
      <c r="N921" s="333"/>
      <c r="O921" s="333"/>
      <c r="P921" s="333"/>
      <c r="Q921" s="333"/>
      <c r="R921" s="333"/>
      <c r="S921" s="333"/>
      <c r="T921" s="333"/>
      <c r="U921" s="333"/>
      <c r="V921" s="333"/>
      <c r="W921" s="333"/>
      <c r="X921" s="333"/>
      <c r="Y921" s="333"/>
      <c r="Z921" s="333"/>
    </row>
    <row r="922" spans="1:26" ht="15.6">
      <c r="A922" s="333"/>
      <c r="B922" s="348"/>
      <c r="C922" s="348"/>
      <c r="D922" s="348"/>
      <c r="E922" s="348"/>
      <c r="F922" s="348"/>
      <c r="G922" s="348"/>
      <c r="H922" s="348"/>
      <c r="I922" s="348"/>
      <c r="J922" s="348"/>
      <c r="K922" s="348"/>
      <c r="L922" s="333"/>
      <c r="M922" s="333"/>
      <c r="N922" s="333"/>
      <c r="O922" s="333"/>
      <c r="P922" s="333"/>
      <c r="Q922" s="333"/>
      <c r="R922" s="333"/>
      <c r="S922" s="333"/>
      <c r="T922" s="333"/>
      <c r="U922" s="333"/>
      <c r="V922" s="333"/>
      <c r="W922" s="333"/>
      <c r="X922" s="333"/>
      <c r="Y922" s="333"/>
      <c r="Z922" s="333"/>
    </row>
    <row r="923" spans="1:26" ht="15.6">
      <c r="A923" s="333"/>
      <c r="B923" s="348"/>
      <c r="C923" s="348"/>
      <c r="D923" s="348"/>
      <c r="E923" s="348"/>
      <c r="F923" s="348"/>
      <c r="G923" s="348"/>
      <c r="H923" s="348"/>
      <c r="I923" s="348"/>
      <c r="J923" s="348"/>
      <c r="K923" s="348"/>
      <c r="L923" s="333"/>
      <c r="M923" s="333"/>
      <c r="N923" s="333"/>
      <c r="O923" s="333"/>
      <c r="P923" s="333"/>
      <c r="Q923" s="333"/>
      <c r="R923" s="333"/>
      <c r="S923" s="333"/>
      <c r="T923" s="333"/>
      <c r="U923" s="333"/>
      <c r="V923" s="333"/>
      <c r="W923" s="333"/>
      <c r="X923" s="333"/>
      <c r="Y923" s="333"/>
      <c r="Z923" s="333"/>
    </row>
    <row r="924" spans="1:26" ht="15.6">
      <c r="A924" s="333"/>
      <c r="B924" s="348"/>
      <c r="C924" s="348"/>
      <c r="D924" s="348"/>
      <c r="E924" s="348"/>
      <c r="F924" s="348"/>
      <c r="G924" s="348"/>
      <c r="H924" s="348"/>
      <c r="I924" s="348"/>
      <c r="J924" s="348"/>
      <c r="K924" s="348"/>
      <c r="L924" s="333"/>
      <c r="M924" s="333"/>
      <c r="N924" s="333"/>
      <c r="O924" s="333"/>
      <c r="P924" s="333"/>
      <c r="Q924" s="333"/>
      <c r="R924" s="333"/>
      <c r="S924" s="333"/>
      <c r="T924" s="333"/>
      <c r="U924" s="333"/>
      <c r="V924" s="333"/>
      <c r="W924" s="333"/>
      <c r="X924" s="333"/>
      <c r="Y924" s="333"/>
      <c r="Z924" s="333"/>
    </row>
    <row r="925" spans="1:26" ht="15.6">
      <c r="A925" s="333"/>
      <c r="B925" s="348"/>
      <c r="C925" s="348"/>
      <c r="D925" s="348"/>
      <c r="E925" s="348"/>
      <c r="F925" s="348"/>
      <c r="G925" s="348"/>
      <c r="H925" s="348"/>
      <c r="I925" s="348"/>
      <c r="J925" s="348"/>
      <c r="K925" s="348"/>
      <c r="L925" s="333"/>
      <c r="M925" s="333"/>
      <c r="N925" s="333"/>
      <c r="O925" s="333"/>
      <c r="P925" s="333"/>
      <c r="Q925" s="333"/>
      <c r="R925" s="333"/>
      <c r="S925" s="333"/>
      <c r="T925" s="333"/>
      <c r="U925" s="333"/>
      <c r="V925" s="333"/>
      <c r="W925" s="333"/>
      <c r="X925" s="333"/>
      <c r="Y925" s="333"/>
      <c r="Z925" s="333"/>
    </row>
    <row r="926" spans="1:26" ht="15.6">
      <c r="A926" s="333"/>
      <c r="B926" s="348"/>
      <c r="C926" s="348"/>
      <c r="D926" s="348"/>
      <c r="E926" s="348"/>
      <c r="F926" s="348"/>
      <c r="G926" s="348"/>
      <c r="H926" s="348"/>
      <c r="I926" s="348"/>
      <c r="J926" s="348"/>
      <c r="K926" s="348"/>
      <c r="L926" s="333"/>
      <c r="M926" s="333"/>
      <c r="N926" s="333"/>
      <c r="O926" s="333"/>
      <c r="P926" s="333"/>
      <c r="Q926" s="333"/>
      <c r="R926" s="333"/>
      <c r="S926" s="333"/>
      <c r="T926" s="333"/>
      <c r="U926" s="333"/>
      <c r="V926" s="333"/>
      <c r="W926" s="333"/>
      <c r="X926" s="333"/>
      <c r="Y926" s="333"/>
      <c r="Z926" s="333"/>
    </row>
    <row r="927" spans="1:26" ht="15.6">
      <c r="A927" s="333"/>
      <c r="B927" s="348"/>
      <c r="C927" s="348"/>
      <c r="D927" s="348"/>
      <c r="E927" s="348"/>
      <c r="F927" s="348"/>
      <c r="G927" s="348"/>
      <c r="H927" s="348"/>
      <c r="I927" s="348"/>
      <c r="J927" s="348"/>
      <c r="K927" s="348"/>
      <c r="L927" s="333"/>
      <c r="M927" s="333"/>
      <c r="N927" s="333"/>
      <c r="O927" s="333"/>
      <c r="P927" s="333"/>
      <c r="Q927" s="333"/>
      <c r="R927" s="333"/>
      <c r="S927" s="333"/>
      <c r="T927" s="333"/>
      <c r="U927" s="333"/>
      <c r="V927" s="333"/>
      <c r="W927" s="333"/>
      <c r="X927" s="333"/>
      <c r="Y927" s="333"/>
      <c r="Z927" s="333"/>
    </row>
    <row r="928" spans="1:26" ht="15.6">
      <c r="A928" s="333"/>
      <c r="B928" s="348"/>
      <c r="C928" s="348"/>
      <c r="D928" s="348"/>
      <c r="E928" s="348"/>
      <c r="F928" s="348"/>
      <c r="G928" s="348"/>
      <c r="H928" s="348"/>
      <c r="I928" s="348"/>
      <c r="J928" s="348"/>
      <c r="K928" s="348"/>
      <c r="L928" s="333"/>
      <c r="M928" s="333"/>
      <c r="N928" s="333"/>
      <c r="O928" s="333"/>
      <c r="P928" s="333"/>
      <c r="Q928" s="333"/>
      <c r="R928" s="333"/>
      <c r="S928" s="333"/>
      <c r="T928" s="333"/>
      <c r="U928" s="333"/>
      <c r="V928" s="333"/>
      <c r="W928" s="333"/>
      <c r="X928" s="333"/>
      <c r="Y928" s="333"/>
      <c r="Z928" s="333"/>
    </row>
    <row r="929" spans="1:26" ht="15.6">
      <c r="A929" s="333"/>
      <c r="B929" s="348"/>
      <c r="C929" s="348"/>
      <c r="D929" s="348"/>
      <c r="E929" s="348"/>
      <c r="F929" s="348"/>
      <c r="G929" s="348"/>
      <c r="H929" s="348"/>
      <c r="I929" s="348"/>
      <c r="J929" s="348"/>
      <c r="K929" s="348"/>
      <c r="L929" s="333"/>
      <c r="M929" s="333"/>
      <c r="N929" s="333"/>
      <c r="O929" s="333"/>
      <c r="P929" s="333"/>
      <c r="Q929" s="333"/>
      <c r="R929" s="333"/>
      <c r="S929" s="333"/>
      <c r="T929" s="333"/>
      <c r="U929" s="333"/>
      <c r="V929" s="333"/>
      <c r="W929" s="333"/>
      <c r="X929" s="333"/>
      <c r="Y929" s="333"/>
      <c r="Z929" s="333"/>
    </row>
    <row r="930" spans="1:26" ht="15.6">
      <c r="A930" s="333"/>
      <c r="B930" s="348"/>
      <c r="C930" s="348"/>
      <c r="D930" s="348"/>
      <c r="E930" s="348"/>
      <c r="F930" s="348"/>
      <c r="G930" s="348"/>
      <c r="H930" s="348"/>
      <c r="I930" s="348"/>
      <c r="J930" s="348"/>
      <c r="K930" s="348"/>
      <c r="L930" s="333"/>
      <c r="M930" s="333"/>
      <c r="N930" s="333"/>
      <c r="O930" s="333"/>
      <c r="P930" s="333"/>
      <c r="Q930" s="333"/>
      <c r="R930" s="333"/>
      <c r="S930" s="333"/>
      <c r="T930" s="333"/>
      <c r="U930" s="333"/>
      <c r="V930" s="333"/>
      <c r="W930" s="333"/>
      <c r="X930" s="333"/>
      <c r="Y930" s="333"/>
      <c r="Z930" s="333"/>
    </row>
    <row r="931" spans="1:26" ht="15.6">
      <c r="A931" s="333"/>
      <c r="B931" s="348"/>
      <c r="C931" s="348"/>
      <c r="D931" s="348"/>
      <c r="E931" s="348"/>
      <c r="F931" s="348"/>
      <c r="G931" s="348"/>
      <c r="H931" s="348"/>
      <c r="I931" s="348"/>
      <c r="J931" s="348"/>
      <c r="K931" s="348"/>
      <c r="L931" s="333"/>
      <c r="M931" s="333"/>
      <c r="N931" s="333"/>
      <c r="O931" s="333"/>
      <c r="P931" s="333"/>
      <c r="Q931" s="333"/>
      <c r="R931" s="333"/>
      <c r="S931" s="333"/>
      <c r="T931" s="333"/>
      <c r="U931" s="333"/>
      <c r="V931" s="333"/>
      <c r="W931" s="333"/>
      <c r="X931" s="333"/>
      <c r="Y931" s="333"/>
      <c r="Z931" s="333"/>
    </row>
    <row r="932" spans="1:26" ht="15.6">
      <c r="A932" s="333"/>
      <c r="B932" s="348"/>
      <c r="C932" s="348"/>
      <c r="D932" s="348"/>
      <c r="E932" s="348"/>
      <c r="F932" s="348"/>
      <c r="G932" s="348"/>
      <c r="H932" s="348"/>
      <c r="I932" s="348"/>
      <c r="J932" s="348"/>
      <c r="K932" s="348"/>
      <c r="L932" s="333"/>
      <c r="M932" s="333"/>
      <c r="N932" s="333"/>
      <c r="O932" s="333"/>
      <c r="P932" s="333"/>
      <c r="Q932" s="333"/>
      <c r="R932" s="333"/>
      <c r="S932" s="333"/>
      <c r="T932" s="333"/>
      <c r="U932" s="333"/>
      <c r="V932" s="333"/>
      <c r="W932" s="333"/>
      <c r="X932" s="333"/>
      <c r="Y932" s="333"/>
      <c r="Z932" s="333"/>
    </row>
    <row r="933" spans="1:26" ht="15.6">
      <c r="A933" s="333"/>
      <c r="B933" s="348"/>
      <c r="C933" s="348"/>
      <c r="D933" s="348"/>
      <c r="E933" s="348"/>
      <c r="F933" s="348"/>
      <c r="G933" s="348"/>
      <c r="H933" s="348"/>
      <c r="I933" s="348"/>
      <c r="J933" s="348"/>
      <c r="K933" s="348"/>
      <c r="L933" s="333"/>
      <c r="M933" s="333"/>
      <c r="N933" s="333"/>
      <c r="O933" s="333"/>
      <c r="P933" s="333"/>
      <c r="Q933" s="333"/>
      <c r="R933" s="333"/>
      <c r="S933" s="333"/>
      <c r="T933" s="333"/>
      <c r="U933" s="333"/>
      <c r="V933" s="333"/>
      <c r="W933" s="333"/>
      <c r="X933" s="333"/>
      <c r="Y933" s="333"/>
      <c r="Z933" s="333"/>
    </row>
    <row r="934" spans="1:26" ht="15.6">
      <c r="A934" s="333"/>
      <c r="B934" s="348"/>
      <c r="C934" s="348"/>
      <c r="D934" s="348"/>
      <c r="E934" s="348"/>
      <c r="F934" s="348"/>
      <c r="G934" s="348"/>
      <c r="H934" s="348"/>
      <c r="I934" s="348"/>
      <c r="J934" s="348"/>
      <c r="K934" s="348"/>
      <c r="L934" s="333"/>
      <c r="M934" s="333"/>
      <c r="N934" s="333"/>
      <c r="O934" s="333"/>
      <c r="P934" s="333"/>
      <c r="Q934" s="333"/>
      <c r="R934" s="333"/>
      <c r="S934" s="333"/>
      <c r="T934" s="333"/>
      <c r="U934" s="333"/>
      <c r="V934" s="333"/>
      <c r="W934" s="333"/>
      <c r="X934" s="333"/>
      <c r="Y934" s="333"/>
      <c r="Z934" s="333"/>
    </row>
    <row r="935" spans="1:26" ht="15.6">
      <c r="A935" s="333"/>
      <c r="B935" s="348"/>
      <c r="C935" s="348"/>
      <c r="D935" s="348"/>
      <c r="E935" s="348"/>
      <c r="F935" s="348"/>
      <c r="G935" s="348"/>
      <c r="H935" s="348"/>
      <c r="I935" s="348"/>
      <c r="J935" s="348"/>
      <c r="K935" s="348"/>
      <c r="L935" s="333"/>
      <c r="M935" s="333"/>
      <c r="N935" s="333"/>
      <c r="O935" s="333"/>
      <c r="P935" s="333"/>
      <c r="Q935" s="333"/>
      <c r="R935" s="333"/>
      <c r="S935" s="333"/>
      <c r="T935" s="333"/>
      <c r="U935" s="333"/>
      <c r="V935" s="333"/>
      <c r="W935" s="333"/>
      <c r="X935" s="333"/>
      <c r="Y935" s="333"/>
      <c r="Z935" s="333"/>
    </row>
    <row r="936" spans="1:26" ht="15.6">
      <c r="A936" s="333"/>
      <c r="B936" s="348"/>
      <c r="C936" s="348"/>
      <c r="D936" s="348"/>
      <c r="E936" s="348"/>
      <c r="F936" s="348"/>
      <c r="G936" s="348"/>
      <c r="H936" s="348"/>
      <c r="I936" s="348"/>
      <c r="J936" s="348"/>
      <c r="K936" s="348"/>
      <c r="L936" s="333"/>
      <c r="M936" s="333"/>
      <c r="N936" s="333"/>
      <c r="O936" s="333"/>
      <c r="P936" s="333"/>
      <c r="Q936" s="333"/>
      <c r="R936" s="333"/>
      <c r="S936" s="333"/>
      <c r="T936" s="333"/>
      <c r="U936" s="333"/>
      <c r="V936" s="333"/>
      <c r="W936" s="333"/>
      <c r="X936" s="333"/>
      <c r="Y936" s="333"/>
      <c r="Z936" s="333"/>
    </row>
    <row r="937" spans="1:26" ht="15.6">
      <c r="A937" s="333"/>
      <c r="B937" s="348"/>
      <c r="C937" s="348"/>
      <c r="D937" s="348"/>
      <c r="E937" s="348"/>
      <c r="F937" s="348"/>
      <c r="G937" s="348"/>
      <c r="H937" s="348"/>
      <c r="I937" s="348"/>
      <c r="J937" s="348"/>
      <c r="K937" s="348"/>
      <c r="L937" s="333"/>
      <c r="M937" s="333"/>
      <c r="N937" s="333"/>
      <c r="O937" s="333"/>
      <c r="P937" s="333"/>
      <c r="Q937" s="333"/>
      <c r="R937" s="333"/>
      <c r="S937" s="333"/>
      <c r="T937" s="333"/>
      <c r="U937" s="333"/>
      <c r="V937" s="333"/>
      <c r="W937" s="333"/>
      <c r="X937" s="333"/>
      <c r="Y937" s="333"/>
      <c r="Z937" s="333"/>
    </row>
    <row r="938" spans="1:26" ht="15.6">
      <c r="A938" s="333"/>
      <c r="B938" s="348"/>
      <c r="C938" s="348"/>
      <c r="D938" s="348"/>
      <c r="E938" s="348"/>
      <c r="F938" s="348"/>
      <c r="G938" s="348"/>
      <c r="H938" s="348"/>
      <c r="I938" s="348"/>
      <c r="J938" s="348"/>
      <c r="K938" s="348"/>
      <c r="L938" s="333"/>
      <c r="M938" s="333"/>
      <c r="N938" s="333"/>
      <c r="O938" s="333"/>
      <c r="P938" s="333"/>
      <c r="Q938" s="333"/>
      <c r="R938" s="333"/>
      <c r="S938" s="333"/>
      <c r="T938" s="333"/>
      <c r="U938" s="333"/>
      <c r="V938" s="333"/>
      <c r="W938" s="333"/>
      <c r="X938" s="333"/>
      <c r="Y938" s="333"/>
      <c r="Z938" s="333"/>
    </row>
    <row r="939" spans="1:26" ht="15.6">
      <c r="A939" s="333"/>
      <c r="B939" s="348"/>
      <c r="C939" s="348"/>
      <c r="D939" s="348"/>
      <c r="E939" s="348"/>
      <c r="F939" s="348"/>
      <c r="G939" s="348"/>
      <c r="H939" s="348"/>
      <c r="I939" s="348"/>
      <c r="J939" s="348"/>
      <c r="K939" s="348"/>
      <c r="L939" s="333"/>
      <c r="M939" s="333"/>
      <c r="N939" s="333"/>
      <c r="O939" s="333"/>
      <c r="P939" s="333"/>
      <c r="Q939" s="333"/>
      <c r="R939" s="333"/>
      <c r="S939" s="333"/>
      <c r="T939" s="333"/>
      <c r="U939" s="333"/>
      <c r="V939" s="333"/>
      <c r="W939" s="333"/>
      <c r="X939" s="333"/>
      <c r="Y939" s="333"/>
      <c r="Z939" s="333"/>
    </row>
    <row r="940" spans="1:26" ht="15.6">
      <c r="A940" s="333"/>
      <c r="B940" s="348"/>
      <c r="C940" s="348"/>
      <c r="D940" s="348"/>
      <c r="E940" s="348"/>
      <c r="F940" s="348"/>
      <c r="G940" s="348"/>
      <c r="H940" s="348"/>
      <c r="I940" s="348"/>
      <c r="J940" s="348"/>
      <c r="K940" s="348"/>
      <c r="L940" s="333"/>
      <c r="M940" s="333"/>
      <c r="N940" s="333"/>
      <c r="O940" s="333"/>
      <c r="P940" s="333"/>
      <c r="Q940" s="333"/>
      <c r="R940" s="333"/>
      <c r="S940" s="333"/>
      <c r="T940" s="333"/>
      <c r="U940" s="333"/>
      <c r="V940" s="333"/>
      <c r="W940" s="333"/>
      <c r="X940" s="333"/>
      <c r="Y940" s="333"/>
      <c r="Z940" s="333"/>
    </row>
    <row r="941" spans="1:26" ht="15.6">
      <c r="A941" s="333"/>
      <c r="B941" s="348"/>
      <c r="C941" s="348"/>
      <c r="D941" s="348"/>
      <c r="E941" s="348"/>
      <c r="F941" s="348"/>
      <c r="G941" s="348"/>
      <c r="H941" s="348"/>
      <c r="I941" s="348"/>
      <c r="J941" s="348"/>
      <c r="K941" s="348"/>
      <c r="L941" s="333"/>
      <c r="M941" s="333"/>
      <c r="N941" s="333"/>
      <c r="O941" s="333"/>
      <c r="P941" s="333"/>
      <c r="Q941" s="333"/>
      <c r="R941" s="333"/>
      <c r="S941" s="333"/>
      <c r="T941" s="333"/>
      <c r="U941" s="333"/>
      <c r="V941" s="333"/>
      <c r="W941" s="333"/>
      <c r="X941" s="333"/>
      <c r="Y941" s="333"/>
      <c r="Z941" s="333"/>
    </row>
    <row r="942" spans="1:26" ht="15.6">
      <c r="A942" s="333"/>
      <c r="B942" s="348"/>
      <c r="C942" s="348"/>
      <c r="D942" s="348"/>
      <c r="E942" s="348"/>
      <c r="F942" s="348"/>
      <c r="G942" s="348"/>
      <c r="H942" s="348"/>
      <c r="I942" s="348"/>
      <c r="J942" s="348"/>
      <c r="K942" s="348"/>
      <c r="L942" s="333"/>
      <c r="M942" s="333"/>
      <c r="N942" s="333"/>
      <c r="O942" s="333"/>
      <c r="P942" s="333"/>
      <c r="Q942" s="333"/>
      <c r="R942" s="333"/>
      <c r="S942" s="333"/>
      <c r="T942" s="333"/>
      <c r="U942" s="333"/>
      <c r="V942" s="333"/>
      <c r="W942" s="333"/>
      <c r="X942" s="333"/>
      <c r="Y942" s="333"/>
      <c r="Z942" s="333"/>
    </row>
    <row r="943" spans="1:26" ht="15.6">
      <c r="A943" s="333"/>
      <c r="B943" s="348"/>
      <c r="C943" s="348"/>
      <c r="D943" s="348"/>
      <c r="E943" s="348"/>
      <c r="F943" s="348"/>
      <c r="G943" s="348"/>
      <c r="H943" s="348"/>
      <c r="I943" s="348"/>
      <c r="J943" s="348"/>
      <c r="K943" s="348"/>
      <c r="L943" s="333"/>
      <c r="M943" s="333"/>
      <c r="N943" s="333"/>
      <c r="O943" s="333"/>
      <c r="P943" s="333"/>
      <c r="Q943" s="333"/>
      <c r="R943" s="333"/>
      <c r="S943" s="333"/>
      <c r="T943" s="333"/>
      <c r="U943" s="333"/>
      <c r="V943" s="333"/>
      <c r="W943" s="333"/>
      <c r="X943" s="333"/>
      <c r="Y943" s="333"/>
      <c r="Z943" s="333"/>
    </row>
    <row r="944" spans="1:26" ht="15.6">
      <c r="A944" s="333"/>
      <c r="B944" s="348"/>
      <c r="C944" s="348"/>
      <c r="D944" s="348"/>
      <c r="E944" s="348"/>
      <c r="F944" s="348"/>
      <c r="G944" s="348"/>
      <c r="H944" s="348"/>
      <c r="I944" s="348"/>
      <c r="J944" s="348"/>
      <c r="K944" s="348"/>
      <c r="L944" s="333"/>
      <c r="M944" s="333"/>
      <c r="N944" s="333"/>
      <c r="O944" s="333"/>
      <c r="P944" s="333"/>
      <c r="Q944" s="333"/>
      <c r="R944" s="333"/>
      <c r="S944" s="333"/>
      <c r="T944" s="333"/>
      <c r="U944" s="333"/>
      <c r="V944" s="333"/>
      <c r="W944" s="333"/>
      <c r="X944" s="333"/>
      <c r="Y944" s="333"/>
      <c r="Z944" s="333"/>
    </row>
    <row r="945" spans="1:26" ht="15.6">
      <c r="A945" s="333"/>
      <c r="B945" s="348"/>
      <c r="C945" s="348"/>
      <c r="D945" s="348"/>
      <c r="E945" s="348"/>
      <c r="F945" s="348"/>
      <c r="G945" s="348"/>
      <c r="H945" s="348"/>
      <c r="I945" s="348"/>
      <c r="J945" s="348"/>
      <c r="K945" s="348"/>
      <c r="L945" s="333"/>
      <c r="M945" s="333"/>
      <c r="N945" s="333"/>
      <c r="O945" s="333"/>
      <c r="P945" s="333"/>
      <c r="Q945" s="333"/>
      <c r="R945" s="333"/>
      <c r="S945" s="333"/>
      <c r="T945" s="333"/>
      <c r="U945" s="333"/>
      <c r="V945" s="333"/>
      <c r="W945" s="333"/>
      <c r="X945" s="333"/>
      <c r="Y945" s="333"/>
      <c r="Z945" s="333"/>
    </row>
    <row r="946" spans="1:26" ht="15.6">
      <c r="A946" s="333"/>
      <c r="B946" s="348"/>
      <c r="C946" s="348"/>
      <c r="D946" s="348"/>
      <c r="E946" s="348"/>
      <c r="F946" s="348"/>
      <c r="G946" s="348"/>
      <c r="H946" s="348"/>
      <c r="I946" s="348"/>
      <c r="J946" s="348"/>
      <c r="K946" s="348"/>
      <c r="L946" s="333"/>
      <c r="M946" s="333"/>
      <c r="N946" s="333"/>
      <c r="O946" s="333"/>
      <c r="P946" s="333"/>
      <c r="Q946" s="333"/>
      <c r="R946" s="333"/>
      <c r="S946" s="333"/>
      <c r="T946" s="333"/>
      <c r="U946" s="333"/>
      <c r="V946" s="333"/>
      <c r="W946" s="333"/>
      <c r="X946" s="333"/>
      <c r="Y946" s="333"/>
      <c r="Z946" s="333"/>
    </row>
    <row r="947" spans="1:26" ht="15.6">
      <c r="A947" s="333"/>
      <c r="B947" s="348"/>
      <c r="C947" s="348"/>
      <c r="D947" s="348"/>
      <c r="E947" s="348"/>
      <c r="F947" s="348"/>
      <c r="G947" s="348"/>
      <c r="H947" s="348"/>
      <c r="I947" s="348"/>
      <c r="J947" s="348"/>
      <c r="K947" s="348"/>
      <c r="L947" s="333"/>
      <c r="M947" s="333"/>
      <c r="N947" s="333"/>
      <c r="O947" s="333"/>
      <c r="P947" s="333"/>
      <c r="Q947" s="333"/>
      <c r="R947" s="333"/>
      <c r="S947" s="333"/>
      <c r="T947" s="333"/>
      <c r="U947" s="333"/>
      <c r="V947" s="333"/>
      <c r="W947" s="333"/>
      <c r="X947" s="333"/>
      <c r="Y947" s="333"/>
      <c r="Z947" s="333"/>
    </row>
    <row r="948" spans="1:26" ht="15.6">
      <c r="A948" s="333"/>
      <c r="B948" s="348"/>
      <c r="C948" s="348"/>
      <c r="D948" s="348"/>
      <c r="E948" s="348"/>
      <c r="F948" s="348"/>
      <c r="G948" s="348"/>
      <c r="H948" s="348"/>
      <c r="I948" s="348"/>
      <c r="J948" s="348"/>
      <c r="K948" s="348"/>
      <c r="L948" s="333"/>
      <c r="M948" s="333"/>
      <c r="N948" s="333"/>
      <c r="O948" s="333"/>
      <c r="P948" s="333"/>
      <c r="Q948" s="333"/>
      <c r="R948" s="333"/>
      <c r="S948" s="333"/>
      <c r="T948" s="333"/>
      <c r="U948" s="333"/>
      <c r="V948" s="333"/>
      <c r="W948" s="333"/>
      <c r="X948" s="333"/>
      <c r="Y948" s="333"/>
      <c r="Z948" s="333"/>
    </row>
    <row r="949" spans="1:26" ht="15.6">
      <c r="A949" s="333"/>
      <c r="B949" s="348"/>
      <c r="C949" s="348"/>
      <c r="D949" s="348"/>
      <c r="E949" s="348"/>
      <c r="F949" s="348"/>
      <c r="G949" s="348"/>
      <c r="H949" s="348"/>
      <c r="I949" s="348"/>
      <c r="J949" s="348"/>
      <c r="K949" s="348"/>
      <c r="L949" s="333"/>
      <c r="M949" s="333"/>
      <c r="N949" s="333"/>
      <c r="O949" s="333"/>
      <c r="P949" s="333"/>
      <c r="Q949" s="333"/>
      <c r="R949" s="333"/>
      <c r="S949" s="333"/>
      <c r="T949" s="333"/>
      <c r="U949" s="333"/>
      <c r="V949" s="333"/>
      <c r="W949" s="333"/>
      <c r="X949" s="333"/>
      <c r="Y949" s="333"/>
      <c r="Z949" s="333"/>
    </row>
    <row r="950" spans="1:26" ht="15.6">
      <c r="A950" s="333"/>
      <c r="B950" s="348"/>
      <c r="C950" s="348"/>
      <c r="D950" s="348"/>
      <c r="E950" s="348"/>
      <c r="F950" s="348"/>
      <c r="G950" s="348"/>
      <c r="H950" s="348"/>
      <c r="I950" s="348"/>
      <c r="J950" s="348"/>
      <c r="K950" s="348"/>
      <c r="L950" s="333"/>
      <c r="M950" s="333"/>
      <c r="N950" s="333"/>
      <c r="O950" s="333"/>
      <c r="P950" s="333"/>
      <c r="Q950" s="333"/>
      <c r="R950" s="333"/>
      <c r="S950" s="333"/>
      <c r="T950" s="333"/>
      <c r="U950" s="333"/>
      <c r="V950" s="333"/>
      <c r="W950" s="333"/>
      <c r="X950" s="333"/>
      <c r="Y950" s="333"/>
      <c r="Z950" s="333"/>
    </row>
    <row r="951" spans="1:26" ht="15.6">
      <c r="A951" s="333"/>
      <c r="B951" s="348"/>
      <c r="C951" s="348"/>
      <c r="D951" s="348"/>
      <c r="E951" s="348"/>
      <c r="F951" s="348"/>
      <c r="G951" s="348"/>
      <c r="H951" s="348"/>
      <c r="I951" s="348"/>
      <c r="J951" s="348"/>
      <c r="K951" s="348"/>
      <c r="L951" s="333"/>
      <c r="M951" s="333"/>
      <c r="N951" s="333"/>
      <c r="O951" s="333"/>
      <c r="P951" s="333"/>
      <c r="Q951" s="333"/>
      <c r="R951" s="333"/>
      <c r="S951" s="333"/>
      <c r="T951" s="333"/>
      <c r="U951" s="333"/>
      <c r="V951" s="333"/>
      <c r="W951" s="333"/>
      <c r="X951" s="333"/>
      <c r="Y951" s="333"/>
      <c r="Z951" s="333"/>
    </row>
    <row r="952" spans="1:26" ht="15.6">
      <c r="A952" s="333"/>
      <c r="B952" s="348"/>
      <c r="C952" s="348"/>
      <c r="D952" s="348"/>
      <c r="E952" s="348"/>
      <c r="F952" s="348"/>
      <c r="G952" s="348"/>
      <c r="H952" s="348"/>
      <c r="I952" s="348"/>
      <c r="J952" s="348"/>
      <c r="K952" s="348"/>
      <c r="L952" s="333"/>
      <c r="M952" s="333"/>
      <c r="N952" s="333"/>
      <c r="O952" s="333"/>
      <c r="P952" s="333"/>
      <c r="Q952" s="333"/>
      <c r="R952" s="333"/>
      <c r="S952" s="333"/>
      <c r="T952" s="333"/>
      <c r="U952" s="333"/>
      <c r="V952" s="333"/>
      <c r="W952" s="333"/>
      <c r="X952" s="333"/>
      <c r="Y952" s="333"/>
      <c r="Z952" s="333"/>
    </row>
    <row r="953" spans="1:26" ht="15.6">
      <c r="A953" s="333"/>
      <c r="B953" s="348"/>
      <c r="C953" s="348"/>
      <c r="D953" s="348"/>
      <c r="E953" s="348"/>
      <c r="F953" s="348"/>
      <c r="G953" s="348"/>
      <c r="H953" s="348"/>
      <c r="I953" s="348"/>
      <c r="J953" s="348"/>
      <c r="K953" s="348"/>
      <c r="L953" s="333"/>
      <c r="M953" s="333"/>
      <c r="N953" s="333"/>
      <c r="O953" s="333"/>
      <c r="P953" s="333"/>
      <c r="Q953" s="333"/>
      <c r="R953" s="333"/>
      <c r="S953" s="333"/>
      <c r="T953" s="333"/>
      <c r="U953" s="333"/>
      <c r="V953" s="333"/>
      <c r="W953" s="333"/>
      <c r="X953" s="333"/>
      <c r="Y953" s="333"/>
      <c r="Z953" s="333"/>
    </row>
  </sheetData>
  <mergeCells count="3">
    <mergeCell ref="A2:A3"/>
    <mergeCell ref="B2:F3"/>
    <mergeCell ref="G2:K3"/>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ABB38"/>
    <outlinePr summaryBelow="0" summaryRight="0"/>
  </sheetPr>
  <dimension ref="A1:H974"/>
  <sheetViews>
    <sheetView showGridLines="0" topLeftCell="A6" workbookViewId="0">
      <selection activeCell="A45" sqref="A45"/>
    </sheetView>
  </sheetViews>
  <sheetFormatPr defaultColWidth="11.19921875" defaultRowHeight="15" customHeight="1"/>
  <cols>
    <col min="1" max="1" width="42.09765625" customWidth="1"/>
    <col min="2" max="2" width="11.19921875" customWidth="1"/>
    <col min="3" max="3" width="20.69921875" customWidth="1"/>
    <col min="4" max="4" width="11" customWidth="1"/>
    <col min="5" max="5" width="15.3984375" customWidth="1"/>
    <col min="6" max="6" width="13.09765625" bestFit="1" customWidth="1"/>
    <col min="7" max="7" width="13.09765625" customWidth="1"/>
    <col min="8" max="8" width="13.69921875" customWidth="1"/>
  </cols>
  <sheetData>
    <row r="1" spans="1:8" ht="15.6">
      <c r="A1" s="789" t="s">
        <v>159</v>
      </c>
      <c r="B1" s="790"/>
      <c r="C1" s="129"/>
      <c r="D1" s="130"/>
      <c r="F1" s="791" t="s">
        <v>160</v>
      </c>
      <c r="G1" s="792"/>
    </row>
    <row r="2" spans="1:8" ht="15.6">
      <c r="A2" s="131" t="s">
        <v>161</v>
      </c>
      <c r="B2" s="132">
        <v>44545</v>
      </c>
      <c r="C2" s="133"/>
      <c r="D2" s="134"/>
      <c r="F2" s="135" t="s">
        <v>162</v>
      </c>
      <c r="G2" s="136">
        <f>WACC!H2</f>
        <v>0.74372847945502807</v>
      </c>
    </row>
    <row r="3" spans="1:8" ht="15.6">
      <c r="A3" s="135" t="s">
        <v>163</v>
      </c>
      <c r="B3" s="137" t="s">
        <v>164</v>
      </c>
      <c r="C3" s="133"/>
      <c r="D3" s="134"/>
      <c r="F3" s="135" t="s">
        <v>165</v>
      </c>
      <c r="G3" s="138">
        <f>WACC!H3</f>
        <v>3.7000000000000005E-2</v>
      </c>
    </row>
    <row r="4" spans="1:8" ht="15.6">
      <c r="A4" s="135" t="s">
        <v>166</v>
      </c>
      <c r="B4" s="139">
        <v>20.28</v>
      </c>
      <c r="C4" s="133"/>
      <c r="D4" s="134"/>
      <c r="F4" s="135" t="s">
        <v>167</v>
      </c>
      <c r="G4" s="138">
        <f>WACC!H4</f>
        <v>8.2100000000000006E-2</v>
      </c>
    </row>
    <row r="5" spans="1:8" ht="15.6">
      <c r="A5" s="140" t="s">
        <v>168</v>
      </c>
      <c r="B5" s="141">
        <v>303.71499999999997</v>
      </c>
      <c r="C5" s="133"/>
      <c r="D5" s="134"/>
      <c r="F5" s="135" t="s">
        <v>169</v>
      </c>
      <c r="G5" s="138">
        <f>WACC!H5</f>
        <v>0.57223052843325894</v>
      </c>
    </row>
    <row r="6" spans="1:8" ht="15.6">
      <c r="A6" s="142"/>
      <c r="B6" s="143"/>
      <c r="C6" s="134"/>
      <c r="D6" s="134"/>
      <c r="F6" s="135" t="s">
        <v>170</v>
      </c>
      <c r="G6" s="138">
        <f>WACC!H6</f>
        <v>0.42776947156674106</v>
      </c>
    </row>
    <row r="7" spans="1:8" ht="15.6">
      <c r="A7" s="144"/>
      <c r="B7" s="145"/>
      <c r="C7" s="134"/>
      <c r="D7" s="134"/>
      <c r="F7" s="135" t="s">
        <v>171</v>
      </c>
      <c r="G7" s="146">
        <f>WACC!H7</f>
        <v>7.0000000000000007E-2</v>
      </c>
    </row>
    <row r="8" spans="1:8" ht="15.6">
      <c r="A8" s="793"/>
      <c r="B8" s="765"/>
      <c r="C8" s="134"/>
      <c r="D8" s="134"/>
      <c r="F8" s="135" t="s">
        <v>172</v>
      </c>
      <c r="G8" s="138">
        <f>WACC!H8</f>
        <v>9.8060108163257817E-2</v>
      </c>
    </row>
    <row r="9" spans="1:8" ht="15.6">
      <c r="A9" s="144"/>
      <c r="B9" s="147"/>
      <c r="C9" s="134"/>
      <c r="D9" s="134"/>
      <c r="F9" s="135" t="s">
        <v>173</v>
      </c>
      <c r="G9" s="138">
        <f>WACC!H9</f>
        <v>0.09</v>
      </c>
    </row>
    <row r="10" spans="1:8" ht="15.6">
      <c r="A10" s="144"/>
      <c r="B10" s="148"/>
      <c r="C10" s="134"/>
      <c r="D10" s="134"/>
      <c r="F10" s="140" t="s">
        <v>160</v>
      </c>
      <c r="G10" s="149">
        <f>WACC!H10</f>
        <v>8.9842815880638027E-2</v>
      </c>
    </row>
    <row r="11" spans="1:8" ht="15.6">
      <c r="A11" s="144"/>
      <c r="B11" s="148"/>
      <c r="C11" s="134"/>
      <c r="D11" s="134"/>
      <c r="E11" s="134"/>
      <c r="F11" s="134"/>
      <c r="G11" s="142"/>
      <c r="H11" s="142"/>
    </row>
    <row r="12" spans="1:8" ht="15.6">
      <c r="A12" s="134"/>
      <c r="B12" s="134"/>
      <c r="C12" s="134"/>
      <c r="D12" s="134"/>
      <c r="E12" s="134"/>
      <c r="F12" s="134"/>
      <c r="G12" s="134"/>
      <c r="H12" s="134"/>
    </row>
    <row r="13" spans="1:8" ht="15.6">
      <c r="A13" s="6"/>
      <c r="B13" s="6"/>
      <c r="C13" s="6"/>
      <c r="D13" s="6"/>
      <c r="E13" s="6"/>
      <c r="F13" s="6"/>
      <c r="G13" s="6"/>
      <c r="H13" s="6"/>
    </row>
    <row r="14" spans="1:8" ht="16.8">
      <c r="A14" s="150" t="s">
        <v>174</v>
      </c>
      <c r="B14" s="151"/>
      <c r="C14" s="151"/>
      <c r="D14" s="151"/>
      <c r="E14" s="151"/>
      <c r="F14" s="151"/>
      <c r="G14" s="151"/>
      <c r="H14" s="6"/>
    </row>
    <row r="15" spans="1:8" ht="15" customHeight="1">
      <c r="A15" s="152" t="s">
        <v>175</v>
      </c>
      <c r="B15" s="153"/>
      <c r="C15" s="154"/>
      <c r="D15" s="153"/>
      <c r="E15" s="153"/>
      <c r="F15" s="153"/>
      <c r="G15" s="153"/>
      <c r="H15" s="6"/>
    </row>
    <row r="16" spans="1:8" ht="15.6">
      <c r="A16" s="155" t="s">
        <v>176</v>
      </c>
      <c r="B16" s="156" t="s">
        <v>177</v>
      </c>
      <c r="C16" s="157" t="s">
        <v>178</v>
      </c>
      <c r="D16" s="156" t="s">
        <v>179</v>
      </c>
      <c r="E16" s="156" t="s">
        <v>180</v>
      </c>
      <c r="F16" s="156" t="s">
        <v>181</v>
      </c>
      <c r="G16" s="156" t="s">
        <v>182</v>
      </c>
      <c r="H16" s="15"/>
    </row>
    <row r="17" spans="1:8" ht="15.6">
      <c r="A17" s="158" t="s">
        <v>183</v>
      </c>
      <c r="B17" s="732" t="s">
        <v>640</v>
      </c>
      <c r="C17" s="190">
        <v>3286</v>
      </c>
      <c r="D17" s="159">
        <v>9.2999999999999999E-2</v>
      </c>
      <c r="E17" s="159">
        <v>6.2E-2</v>
      </c>
      <c r="F17" s="160">
        <v>10.75</v>
      </c>
      <c r="G17" s="161">
        <v>26.8</v>
      </c>
      <c r="H17" s="15"/>
    </row>
    <row r="18" spans="1:8" ht="15.6">
      <c r="A18" s="162" t="s">
        <v>184</v>
      </c>
      <c r="B18" s="733" t="s">
        <v>641</v>
      </c>
      <c r="C18" s="195">
        <v>11291.5</v>
      </c>
      <c r="D18" s="163">
        <v>6.6000000000000003E-2</v>
      </c>
      <c r="E18" s="163">
        <v>2.5999999999999999E-2</v>
      </c>
      <c r="F18" s="164">
        <v>14.33</v>
      </c>
      <c r="G18" s="165">
        <v>19.5</v>
      </c>
      <c r="H18" s="15"/>
    </row>
    <row r="19" spans="1:8" ht="15.6">
      <c r="A19" s="162" t="s">
        <v>185</v>
      </c>
      <c r="B19" s="733" t="s">
        <v>641</v>
      </c>
      <c r="C19" s="195">
        <v>21787</v>
      </c>
      <c r="D19" s="163">
        <v>0.14299999999999999</v>
      </c>
      <c r="E19" s="163">
        <v>2.5999999999999999E-2</v>
      </c>
      <c r="F19" s="164">
        <v>3.4</v>
      </c>
      <c r="G19" s="165">
        <v>15.4</v>
      </c>
      <c r="H19" s="15"/>
    </row>
    <row r="20" spans="1:8" ht="15.6">
      <c r="A20" s="162" t="s">
        <v>186</v>
      </c>
      <c r="B20" s="733" t="s">
        <v>641</v>
      </c>
      <c r="C20" s="195">
        <v>20500</v>
      </c>
      <c r="D20" s="163">
        <v>7.6999999999999999E-2</v>
      </c>
      <c r="E20" s="163">
        <v>3.1E-2</v>
      </c>
      <c r="F20" s="164">
        <v>1.3</v>
      </c>
      <c r="G20" s="165">
        <v>14.1</v>
      </c>
      <c r="H20" s="15"/>
    </row>
    <row r="21" spans="1:8" ht="15.6">
      <c r="A21" s="162" t="s">
        <v>644</v>
      </c>
      <c r="B21" s="733" t="s">
        <v>642</v>
      </c>
      <c r="C21" s="195">
        <v>7456</v>
      </c>
      <c r="D21" s="166">
        <v>0.15</v>
      </c>
      <c r="E21" s="166">
        <v>9.0999999999999998E-2</v>
      </c>
      <c r="F21" s="164">
        <v>1.8</v>
      </c>
      <c r="G21" s="165">
        <v>12.1</v>
      </c>
      <c r="H21" s="15"/>
    </row>
    <row r="22" spans="1:8" ht="15.6">
      <c r="A22" s="162" t="s">
        <v>645</v>
      </c>
      <c r="B22" s="733" t="s">
        <v>642</v>
      </c>
      <c r="C22" s="195">
        <v>6803</v>
      </c>
      <c r="D22" s="163">
        <v>0.10199999999999999</v>
      </c>
      <c r="E22" s="163">
        <v>3.6999999999999998E-2</v>
      </c>
      <c r="F22" s="164">
        <v>1.8</v>
      </c>
      <c r="G22" s="165">
        <v>19.100000000000001</v>
      </c>
      <c r="H22" s="15"/>
    </row>
    <row r="23" spans="1:8" ht="15.6">
      <c r="A23" s="162" t="s">
        <v>646</v>
      </c>
      <c r="B23" s="733" t="s">
        <v>642</v>
      </c>
      <c r="C23" s="195">
        <v>36786</v>
      </c>
      <c r="D23" s="167" t="s">
        <v>187</v>
      </c>
      <c r="E23" s="167" t="s">
        <v>187</v>
      </c>
      <c r="F23" s="164">
        <v>1.8</v>
      </c>
      <c r="G23" s="165">
        <v>21.7</v>
      </c>
      <c r="H23" s="15"/>
    </row>
    <row r="24" spans="1:8" ht="15.6">
      <c r="A24" s="162" t="s">
        <v>647</v>
      </c>
      <c r="B24" s="733" t="s">
        <v>642</v>
      </c>
      <c r="C24" s="195">
        <v>40046</v>
      </c>
      <c r="D24" s="163">
        <v>9.6000000000000002E-2</v>
      </c>
      <c r="E24" s="163">
        <v>5.3999999999999999E-2</v>
      </c>
      <c r="F24" s="164">
        <v>1.2</v>
      </c>
      <c r="G24" s="165">
        <v>14.7</v>
      </c>
      <c r="H24" s="15"/>
    </row>
    <row r="25" spans="1:8" ht="15.6">
      <c r="A25" s="794" t="s">
        <v>188</v>
      </c>
      <c r="B25" s="765"/>
      <c r="C25" s="637">
        <f t="shared" ref="C25:E25" si="0">MEDIAN(C17:C24)</f>
        <v>15895.75</v>
      </c>
      <c r="D25" s="168">
        <f t="shared" si="0"/>
        <v>9.6000000000000002E-2</v>
      </c>
      <c r="E25" s="168">
        <f t="shared" si="0"/>
        <v>3.6999999999999998E-2</v>
      </c>
      <c r="F25" s="169">
        <f>MEDIAN(F21:F24)</f>
        <v>1.8</v>
      </c>
      <c r="G25" s="170">
        <f>MEDIAN(G17:G24)</f>
        <v>17.25</v>
      </c>
      <c r="H25" s="15"/>
    </row>
    <row r="26" spans="1:8" ht="15.6">
      <c r="A26" s="735" t="s">
        <v>643</v>
      </c>
      <c r="B26" s="734" t="s">
        <v>642</v>
      </c>
      <c r="C26" s="638">
        <v>5937</v>
      </c>
      <c r="D26" s="171">
        <v>9.6000000000000002E-2</v>
      </c>
      <c r="E26" s="171">
        <v>3.1E-2</v>
      </c>
      <c r="F26" s="172">
        <v>1.7</v>
      </c>
      <c r="G26" s="173">
        <v>22.8</v>
      </c>
      <c r="H26" s="15"/>
    </row>
    <row r="27" spans="1:8" ht="15.6">
      <c r="A27" s="174"/>
      <c r="B27" s="151"/>
      <c r="C27" s="151"/>
      <c r="D27" s="175"/>
      <c r="E27" s="151"/>
      <c r="F27" s="176"/>
      <c r="G27" s="177"/>
      <c r="H27" s="15"/>
    </row>
    <row r="28" spans="1:8" ht="15.6">
      <c r="A28" s="174" t="s">
        <v>189</v>
      </c>
      <c r="B28" s="178">
        <f>IS!G18/B5</f>
        <v>1.1193520180167631</v>
      </c>
      <c r="C28" s="151"/>
      <c r="D28" s="175"/>
      <c r="E28" s="151"/>
      <c r="F28" s="176"/>
      <c r="G28" s="177"/>
      <c r="H28" s="15"/>
    </row>
    <row r="29" spans="1:8" ht="15.6">
      <c r="A29" s="179" t="s">
        <v>175</v>
      </c>
      <c r="B29" s="180">
        <f>G25</f>
        <v>17.25</v>
      </c>
      <c r="C29" s="151"/>
      <c r="D29" s="175"/>
      <c r="E29" s="151"/>
      <c r="F29" s="176"/>
      <c r="G29" s="177"/>
      <c r="H29" s="15"/>
    </row>
    <row r="30" spans="1:8" ht="15.6">
      <c r="A30" s="181" t="s">
        <v>190</v>
      </c>
      <c r="B30" s="182">
        <f>B28*B29</f>
        <v>19.308822310789164</v>
      </c>
      <c r="C30" s="183"/>
      <c r="D30" s="184"/>
      <c r="E30" s="184"/>
      <c r="F30" s="185"/>
      <c r="G30" s="186"/>
      <c r="H30" s="15"/>
    </row>
    <row r="31" spans="1:8" ht="15.6">
      <c r="A31" s="52"/>
      <c r="B31" s="52"/>
      <c r="C31" s="52"/>
      <c r="D31" s="52"/>
      <c r="E31" s="52"/>
      <c r="F31" s="52"/>
      <c r="G31" s="52"/>
      <c r="H31" s="6"/>
    </row>
    <row r="32" spans="1:8" ht="15.6">
      <c r="A32" s="6"/>
      <c r="B32" s="6"/>
      <c r="C32" s="6"/>
      <c r="D32" s="6"/>
      <c r="E32" s="6"/>
      <c r="F32" s="6"/>
      <c r="G32" s="6"/>
      <c r="H32" s="6"/>
    </row>
    <row r="33" spans="1:8" ht="15.6">
      <c r="A33" s="6"/>
      <c r="B33" s="6"/>
      <c r="C33" s="6"/>
      <c r="D33" s="6"/>
      <c r="E33" s="6"/>
      <c r="F33" s="6"/>
      <c r="G33" s="6"/>
      <c r="H33" s="6"/>
    </row>
    <row r="34" spans="1:8" ht="15.6">
      <c r="A34" s="6"/>
      <c r="B34" s="6"/>
      <c r="C34" s="6"/>
      <c r="D34" s="6"/>
      <c r="E34" s="6"/>
      <c r="F34" s="6"/>
      <c r="G34" s="6"/>
      <c r="H34" s="6"/>
    </row>
    <row r="35" spans="1:8" ht="15.6">
      <c r="A35" s="67"/>
      <c r="B35" s="67"/>
      <c r="C35" s="67"/>
      <c r="D35" s="6"/>
      <c r="E35" s="6"/>
      <c r="F35" s="6"/>
      <c r="G35" s="6"/>
      <c r="H35" s="6"/>
    </row>
    <row r="36" spans="1:8" ht="18.600000000000001">
      <c r="A36" s="187" t="s">
        <v>191</v>
      </c>
      <c r="B36" s="188" t="s">
        <v>64</v>
      </c>
      <c r="C36" s="188" t="s">
        <v>65</v>
      </c>
      <c r="D36" s="188" t="s">
        <v>66</v>
      </c>
      <c r="E36" s="188" t="s">
        <v>67</v>
      </c>
      <c r="F36" s="189" t="s">
        <v>68</v>
      </c>
      <c r="G36" s="15"/>
      <c r="H36" s="6"/>
    </row>
    <row r="37" spans="1:8" ht="15.6">
      <c r="A37" s="736" t="s">
        <v>648</v>
      </c>
      <c r="B37" s="190">
        <f>IS!G6+IS!G10+IS!G11</f>
        <v>670.32375024572707</v>
      </c>
      <c r="C37" s="190">
        <f>IS!H6+IS!H10+IS!H11</f>
        <v>1210.0944985039487</v>
      </c>
      <c r="D37" s="190">
        <f>IS!I6+IS!I10+IS!I11</f>
        <v>1283.3493619002002</v>
      </c>
      <c r="E37" s="190">
        <f>IS!J6+IS!J10+IS!J11</f>
        <v>1250.4932180430797</v>
      </c>
      <c r="F37" s="191">
        <f>IS!K6+IS!K10+IS!K11</f>
        <v>1244.952319535395</v>
      </c>
      <c r="G37" s="15"/>
      <c r="H37" s="6"/>
    </row>
    <row r="38" spans="1:8" ht="15.6">
      <c r="A38" s="737" t="s">
        <v>649</v>
      </c>
      <c r="B38" s="193">
        <f>IS!G16+IS!G17</f>
        <v>-28.213297147456313</v>
      </c>
      <c r="C38" s="193">
        <f>IS!H16+IS!H17</f>
        <v>-32.110001182207455</v>
      </c>
      <c r="D38" s="193">
        <f>IS!I16+IS!I17</f>
        <v>-39.560702443686111</v>
      </c>
      <c r="E38" s="193">
        <f>IS!J16+IS!J17</f>
        <v>-25.620761908371993</v>
      </c>
      <c r="F38" s="194">
        <f>IS!K16+IS!K17</f>
        <v>-29.544396170579937</v>
      </c>
      <c r="G38" s="15"/>
      <c r="H38" s="6"/>
    </row>
    <row r="39" spans="1:8" ht="15.6">
      <c r="A39" s="737" t="s">
        <v>650</v>
      </c>
      <c r="B39" s="195">
        <f>CF!G7</f>
        <v>349.74999999999989</v>
      </c>
      <c r="C39" s="195">
        <f>CF!H7</f>
        <v>968.99999999999989</v>
      </c>
      <c r="D39" s="195">
        <f>CF!I7</f>
        <v>968.99999999999989</v>
      </c>
      <c r="E39" s="195">
        <f>CF!J7</f>
        <v>968.99999999999989</v>
      </c>
      <c r="F39" s="196">
        <f>CF!K7</f>
        <v>968.99999999999989</v>
      </c>
      <c r="G39" s="15"/>
      <c r="H39" s="6"/>
    </row>
    <row r="40" spans="1:8" ht="15.6">
      <c r="A40" s="737" t="s">
        <v>651</v>
      </c>
      <c r="B40" s="195">
        <f>SUM(CF!I8:I10,CF!I14:I16)</f>
        <v>-481.85843794176901</v>
      </c>
      <c r="C40" s="195">
        <f>SUM(CF!J8:J10,CF!J14:J16)</f>
        <v>-332.76844047727684</v>
      </c>
      <c r="D40" s="195">
        <f>SUM(CF!K8:K10,CF!K14:K16)</f>
        <v>-185.13736412136117</v>
      </c>
      <c r="E40" s="195">
        <f>SUM(CF!L8:L10,CF!L14:L16)</f>
        <v>0</v>
      </c>
      <c r="F40" s="196">
        <f>SUM(CF!M8:M10,CF!M14:M16)</f>
        <v>0</v>
      </c>
      <c r="G40" s="15"/>
      <c r="H40" s="6"/>
    </row>
    <row r="41" spans="1:8" ht="15.6">
      <c r="A41" s="192" t="s">
        <v>192</v>
      </c>
      <c r="B41" s="195">
        <f>CF!G25</f>
        <v>-8389.5</v>
      </c>
      <c r="C41" s="195">
        <f>CF!H25</f>
        <v>-2872.5</v>
      </c>
      <c r="D41" s="195">
        <f>CF!I25</f>
        <v>-520</v>
      </c>
      <c r="E41" s="195">
        <f>CF!J25</f>
        <v>-520</v>
      </c>
      <c r="F41" s="196">
        <f>CF!K25</f>
        <v>20</v>
      </c>
      <c r="G41" s="15"/>
      <c r="H41" s="6"/>
    </row>
    <row r="42" spans="1:8" ht="15.6">
      <c r="A42" s="197" t="s">
        <v>193</v>
      </c>
      <c r="B42" s="198">
        <f t="shared" ref="B42:F42" si="1">SUM(B37:B41)</f>
        <v>-7879.4979848434987</v>
      </c>
      <c r="C42" s="198">
        <f t="shared" si="1"/>
        <v>-1058.2839431555358</v>
      </c>
      <c r="D42" s="198">
        <f t="shared" si="1"/>
        <v>1507.6512953351528</v>
      </c>
      <c r="E42" s="198">
        <f t="shared" si="1"/>
        <v>1673.8724561347076</v>
      </c>
      <c r="F42" s="199">
        <f t="shared" si="1"/>
        <v>2204.4079233648149</v>
      </c>
      <c r="G42" s="15"/>
      <c r="H42" s="6"/>
    </row>
    <row r="43" spans="1:8" ht="15.6">
      <c r="A43" s="200" t="s">
        <v>160</v>
      </c>
      <c r="B43" s="163">
        <f>G10</f>
        <v>8.9842815880638027E-2</v>
      </c>
      <c r="C43" s="201"/>
      <c r="D43" s="201"/>
      <c r="E43" s="201"/>
      <c r="F43" s="202"/>
      <c r="G43" s="15"/>
      <c r="H43" s="6"/>
    </row>
    <row r="44" spans="1:8" ht="15.6">
      <c r="A44" s="200" t="s">
        <v>194</v>
      </c>
      <c r="B44" s="195">
        <f>1/12</f>
        <v>8.3333333333333329E-2</v>
      </c>
      <c r="C44" s="195">
        <f t="shared" ref="C44:F44" si="2">1+B44</f>
        <v>1.0833333333333333</v>
      </c>
      <c r="D44" s="195">
        <f t="shared" si="2"/>
        <v>2.083333333333333</v>
      </c>
      <c r="E44" s="195">
        <f t="shared" si="2"/>
        <v>3.083333333333333</v>
      </c>
      <c r="F44" s="196">
        <f t="shared" si="2"/>
        <v>4.083333333333333</v>
      </c>
      <c r="G44" s="15"/>
      <c r="H44" s="6"/>
    </row>
    <row r="45" spans="1:8" ht="15.6">
      <c r="A45" s="200" t="s">
        <v>195</v>
      </c>
      <c r="B45" s="195">
        <f t="shared" ref="B45:F45" si="3">1/(1+$B$43)^B44</f>
        <v>0.99285618255914765</v>
      </c>
      <c r="C45" s="195">
        <f t="shared" si="3"/>
        <v>0.91100860426086194</v>
      </c>
      <c r="D45" s="195">
        <f t="shared" si="3"/>
        <v>0.83590825299401483</v>
      </c>
      <c r="E45" s="195">
        <f t="shared" si="3"/>
        <v>0.76699891104807294</v>
      </c>
      <c r="F45" s="196">
        <f t="shared" si="3"/>
        <v>0.70377021334797341</v>
      </c>
      <c r="G45" s="15"/>
      <c r="H45" s="6"/>
    </row>
    <row r="46" spans="1:8" ht="15.6">
      <c r="A46" s="203" t="s">
        <v>196</v>
      </c>
      <c r="B46" s="204">
        <f t="shared" ref="B46:F46" si="4">B45*B42</f>
        <v>-7823.2082897142127</v>
      </c>
      <c r="C46" s="204">
        <f t="shared" si="4"/>
        <v>-964.10577796580606</v>
      </c>
      <c r="D46" s="204">
        <f t="shared" si="4"/>
        <v>1260.2581604077711</v>
      </c>
      <c r="E46" s="204">
        <f t="shared" si="4"/>
        <v>1283.858351088684</v>
      </c>
      <c r="F46" s="205">
        <f t="shared" si="4"/>
        <v>1551.3966345324188</v>
      </c>
      <c r="G46" s="33"/>
      <c r="H46" s="7"/>
    </row>
    <row r="47" spans="1:8" ht="15.6">
      <c r="A47" s="52"/>
      <c r="B47" s="52"/>
      <c r="C47" s="52"/>
      <c r="D47" s="52"/>
      <c r="E47" s="52"/>
      <c r="F47" s="52"/>
      <c r="G47" s="6"/>
      <c r="H47" s="6"/>
    </row>
    <row r="48" spans="1:8" ht="15.6">
      <c r="A48" s="67"/>
      <c r="B48" s="67"/>
      <c r="C48" s="6"/>
      <c r="D48" s="67"/>
      <c r="E48" s="67"/>
      <c r="F48" s="67"/>
      <c r="G48" s="6"/>
      <c r="H48" s="6"/>
    </row>
    <row r="49" spans="1:8" ht="15.6">
      <c r="A49" s="795" t="s">
        <v>666</v>
      </c>
      <c r="B49" s="790"/>
      <c r="C49" s="206"/>
      <c r="D49" s="795" t="s">
        <v>197</v>
      </c>
      <c r="E49" s="796"/>
      <c r="F49" s="790"/>
      <c r="G49" s="15"/>
      <c r="H49" s="6"/>
    </row>
    <row r="50" spans="1:8" ht="15.6">
      <c r="A50" s="207" t="s">
        <v>198</v>
      </c>
      <c r="B50" s="208">
        <f>SUM(B46:F46)</f>
        <v>-4691.8009216511455</v>
      </c>
      <c r="C50" s="206"/>
      <c r="D50" s="797" t="s">
        <v>199</v>
      </c>
      <c r="E50" s="798"/>
      <c r="F50" s="209">
        <f>B60</f>
        <v>11253.479365800506</v>
      </c>
      <c r="G50" s="15"/>
      <c r="H50" s="6"/>
    </row>
    <row r="51" spans="1:8" ht="15.6">
      <c r="A51" s="210"/>
      <c r="B51" s="211"/>
      <c r="C51" s="206"/>
      <c r="D51" s="803" t="s">
        <v>200</v>
      </c>
      <c r="E51" s="765"/>
      <c r="F51" s="212">
        <f>BS!F19+BS!F21</f>
        <v>3801.5</v>
      </c>
      <c r="G51" s="15"/>
      <c r="H51" s="6"/>
    </row>
    <row r="52" spans="1:8" ht="15.6">
      <c r="A52" s="210" t="s">
        <v>201</v>
      </c>
      <c r="B52" s="211"/>
      <c r="C52" s="206"/>
      <c r="D52" s="803" t="s">
        <v>202</v>
      </c>
      <c r="E52" s="765"/>
      <c r="F52" s="212">
        <f>BS!F5</f>
        <v>135.4</v>
      </c>
      <c r="G52" s="15"/>
      <c r="H52" s="6"/>
    </row>
    <row r="53" spans="1:8" ht="15.6">
      <c r="A53" s="210"/>
      <c r="B53" s="213"/>
      <c r="C53" s="206"/>
      <c r="D53" s="803" t="s">
        <v>203</v>
      </c>
      <c r="E53" s="765"/>
      <c r="F53" s="211"/>
      <c r="G53" s="15"/>
      <c r="H53" s="6"/>
    </row>
    <row r="54" spans="1:8" ht="15.6">
      <c r="A54" s="210" t="s">
        <v>97</v>
      </c>
      <c r="B54" s="214">
        <v>0.02</v>
      </c>
      <c r="C54" s="206"/>
      <c r="D54" s="804" t="s">
        <v>204</v>
      </c>
      <c r="E54" s="765"/>
      <c r="F54" s="215">
        <f>F50-F51+F52</f>
        <v>7587.3793658005052</v>
      </c>
      <c r="G54" s="15"/>
      <c r="H54" s="6"/>
    </row>
    <row r="55" spans="1:8" ht="15.6">
      <c r="A55" s="192" t="s">
        <v>205</v>
      </c>
      <c r="B55" s="216">
        <f>F46*(1+B54)/(B43-B54)</f>
        <v>22656.94112229731</v>
      </c>
      <c r="C55" s="206"/>
      <c r="D55" s="192"/>
      <c r="E55" s="217"/>
      <c r="F55" s="211"/>
      <c r="G55" s="15"/>
      <c r="H55" s="6"/>
    </row>
    <row r="56" spans="1:8" ht="15.6">
      <c r="A56" s="210" t="s">
        <v>195</v>
      </c>
      <c r="B56" s="218">
        <f>F45</f>
        <v>0.70377021334797341</v>
      </c>
      <c r="C56" s="206"/>
      <c r="D56" s="804" t="s">
        <v>206</v>
      </c>
      <c r="E56" s="765"/>
      <c r="F56" s="219">
        <v>303.72000000000003</v>
      </c>
      <c r="G56" s="15"/>
      <c r="H56" s="6"/>
    </row>
    <row r="57" spans="1:8" ht="15.6">
      <c r="A57" s="210" t="s">
        <v>207</v>
      </c>
      <c r="B57" s="216">
        <f>B55*B56</f>
        <v>15945.280287451651</v>
      </c>
      <c r="C57" s="206"/>
      <c r="D57" s="805" t="s">
        <v>208</v>
      </c>
      <c r="E57" s="806"/>
      <c r="F57" s="220">
        <f>F54/F56</f>
        <v>24.981494026736812</v>
      </c>
      <c r="G57" s="15"/>
      <c r="H57" s="6"/>
    </row>
    <row r="58" spans="1:8" ht="15.6">
      <c r="A58" s="210"/>
      <c r="B58" s="211"/>
      <c r="C58" s="221"/>
      <c r="D58" s="48"/>
      <c r="E58" s="48"/>
      <c r="F58" s="48"/>
      <c r="G58" s="6"/>
      <c r="H58" s="6"/>
    </row>
    <row r="59" spans="1:8" ht="15.6">
      <c r="A59" s="210"/>
      <c r="B59" s="211"/>
      <c r="C59" s="221"/>
      <c r="D59" s="222"/>
      <c r="E59" s="222"/>
      <c r="F59" s="222"/>
      <c r="G59" s="6"/>
      <c r="H59" s="6"/>
    </row>
    <row r="60" spans="1:8" ht="15.6">
      <c r="A60" s="223" t="s">
        <v>199</v>
      </c>
      <c r="B60" s="224">
        <f>B57+B50</f>
        <v>11253.479365800506</v>
      </c>
      <c r="C60" s="15"/>
      <c r="D60" s="6"/>
      <c r="E60" s="6"/>
      <c r="F60" s="6"/>
      <c r="G60" s="6"/>
      <c r="H60" s="6"/>
    </row>
    <row r="61" spans="1:8" ht="15.6">
      <c r="A61" s="52"/>
      <c r="B61" s="52"/>
      <c r="C61" s="6"/>
      <c r="D61" s="6"/>
      <c r="E61" s="6"/>
      <c r="F61" s="6"/>
      <c r="G61" s="6"/>
      <c r="H61" s="6"/>
    </row>
    <row r="62" spans="1:8" ht="15.6">
      <c r="A62" s="67"/>
      <c r="B62" s="6"/>
      <c r="C62" s="6"/>
      <c r="D62" s="6"/>
      <c r="E62" s="6"/>
      <c r="F62" s="6"/>
      <c r="G62" s="6"/>
      <c r="H62" s="6"/>
    </row>
    <row r="63" spans="1:8" ht="24.6">
      <c r="A63" s="225" t="s">
        <v>209</v>
      </c>
      <c r="B63" s="226"/>
      <c r="C63" s="67"/>
      <c r="D63" s="6"/>
      <c r="E63" s="67"/>
      <c r="F63" s="67"/>
      <c r="G63" s="6"/>
      <c r="H63" s="6"/>
    </row>
    <row r="64" spans="1:8" ht="15.6">
      <c r="A64" s="227" t="s">
        <v>210</v>
      </c>
      <c r="B64" s="17" t="s">
        <v>211</v>
      </c>
      <c r="C64" s="228" t="s">
        <v>665</v>
      </c>
      <c r="D64" s="229"/>
      <c r="E64" s="640"/>
      <c r="F64" s="640"/>
      <c r="G64" s="15"/>
      <c r="H64" s="6"/>
    </row>
    <row r="65" spans="1:8" ht="15.6">
      <c r="A65" s="230" t="s">
        <v>175</v>
      </c>
      <c r="B65" s="231">
        <v>0.4</v>
      </c>
      <c r="C65" s="232">
        <f>B30</f>
        <v>19.308822310789164</v>
      </c>
      <c r="D65" s="641"/>
      <c r="E65" s="640"/>
      <c r="F65" s="640"/>
      <c r="G65" s="15"/>
      <c r="H65" s="6"/>
    </row>
    <row r="66" spans="1:8" ht="15.6">
      <c r="A66" s="233" t="s">
        <v>193</v>
      </c>
      <c r="B66" s="234">
        <v>0.6</v>
      </c>
      <c r="C66" s="235">
        <f>F57</f>
        <v>24.981494026736812</v>
      </c>
      <c r="D66" s="229"/>
      <c r="E66" s="640"/>
      <c r="F66" s="640"/>
      <c r="G66" s="15"/>
      <c r="H66" s="6"/>
    </row>
    <row r="67" spans="1:8" ht="15.6">
      <c r="A67" s="807"/>
      <c r="B67" s="808"/>
      <c r="C67" s="809"/>
      <c r="D67" s="229"/>
      <c r="E67" s="640"/>
      <c r="F67" s="640"/>
      <c r="G67" s="15"/>
      <c r="H67" s="6"/>
    </row>
    <row r="68" spans="1:8" ht="15.6">
      <c r="A68" s="227" t="s">
        <v>212</v>
      </c>
      <c r="B68" s="236"/>
      <c r="C68" s="237"/>
      <c r="D68" s="229"/>
      <c r="E68" s="640"/>
      <c r="F68" s="640"/>
      <c r="G68" s="15"/>
      <c r="H68" s="6"/>
    </row>
    <row r="69" spans="1:8" ht="15.6">
      <c r="A69" s="230" t="s">
        <v>664</v>
      </c>
      <c r="B69" s="238">
        <f>B4</f>
        <v>20.28</v>
      </c>
      <c r="C69" s="239"/>
      <c r="D69" s="229"/>
      <c r="E69" s="640"/>
      <c r="F69" s="640"/>
      <c r="G69" s="15"/>
      <c r="H69" s="6"/>
    </row>
    <row r="70" spans="1:8" ht="16.8">
      <c r="A70" s="240" t="s">
        <v>663</v>
      </c>
      <c r="B70" s="241">
        <f>B65*C65+B66*C66</f>
        <v>22.712425340357754</v>
      </c>
      <c r="C70" s="239"/>
      <c r="D70" s="229"/>
      <c r="E70" s="640"/>
      <c r="F70" s="640"/>
      <c r="G70" s="15"/>
      <c r="H70" s="6"/>
    </row>
    <row r="71" spans="1:8" ht="15.6">
      <c r="A71" s="233" t="s">
        <v>213</v>
      </c>
      <c r="B71" s="242">
        <f>(B70-B69)/B69</f>
        <v>0.11994207792691089</v>
      </c>
      <c r="C71" s="243"/>
      <c r="D71" s="229"/>
      <c r="E71" s="640"/>
      <c r="F71" s="640"/>
      <c r="G71" s="15"/>
      <c r="H71" s="6"/>
    </row>
    <row r="72" spans="1:8" ht="15.6">
      <c r="A72" s="52"/>
      <c r="B72" s="52"/>
      <c r="C72" s="52"/>
      <c r="D72" s="50"/>
      <c r="E72" s="640"/>
      <c r="F72" s="640"/>
      <c r="G72" s="15"/>
      <c r="H72" s="6"/>
    </row>
    <row r="73" spans="1:8" ht="15.6">
      <c r="A73" s="6"/>
      <c r="B73" s="6"/>
      <c r="C73" s="6"/>
      <c r="D73" s="50"/>
      <c r="E73" s="640"/>
      <c r="F73" s="640"/>
      <c r="G73" s="15"/>
      <c r="H73" s="6"/>
    </row>
    <row r="74" spans="1:8" ht="15.6">
      <c r="A74" s="6"/>
      <c r="B74" s="253"/>
      <c r="C74" s="253"/>
      <c r="D74" s="253"/>
      <c r="E74" s="253"/>
      <c r="F74" s="253"/>
      <c r="G74" s="253"/>
      <c r="H74" s="253"/>
    </row>
    <row r="75" spans="1:8" ht="15.6">
      <c r="A75" s="799" t="s">
        <v>214</v>
      </c>
      <c r="B75" s="790"/>
      <c r="C75" s="244"/>
      <c r="D75" s="245"/>
      <c r="E75" s="245"/>
      <c r="F75" s="245"/>
      <c r="G75" s="245"/>
      <c r="H75" s="254"/>
    </row>
    <row r="76" spans="1:8" ht="16.8">
      <c r="A76" s="800" t="s">
        <v>160</v>
      </c>
      <c r="B76" s="802" t="s">
        <v>215</v>
      </c>
      <c r="C76" s="796"/>
      <c r="D76" s="796"/>
      <c r="E76" s="796"/>
      <c r="F76" s="796"/>
      <c r="G76" s="790"/>
      <c r="H76" s="254"/>
    </row>
    <row r="77" spans="1:8" ht="15.6">
      <c r="A77" s="801"/>
      <c r="B77" s="731">
        <f>F57</f>
        <v>24.981494026736812</v>
      </c>
      <c r="C77" s="246">
        <v>1.4999999999999999E-2</v>
      </c>
      <c r="D77" s="246">
        <v>1.7500000000000002E-2</v>
      </c>
      <c r="E77" s="247">
        <v>0.02</v>
      </c>
      <c r="F77" s="246">
        <v>2.2499999999999999E-2</v>
      </c>
      <c r="G77" s="248">
        <v>2.5000000000000001E-2</v>
      </c>
      <c r="H77" s="254"/>
    </row>
    <row r="78" spans="1:8" ht="15.6">
      <c r="A78" s="801"/>
      <c r="B78" s="635">
        <f t="shared" ref="B78:B79" si="5">B79-0.25%</f>
        <v>8.48E-2</v>
      </c>
      <c r="C78" s="249">
        <f t="dataTable" ref="C78:G82" dt2D="1" dtr="1" r1="B54" r2="G10"/>
        <v>26.946978412501675</v>
      </c>
      <c r="D78" s="249">
        <v>29.102481977921432</v>
      </c>
      <c r="E78" s="249">
        <v>31.424305262895182</v>
      </c>
      <c r="F78" s="249">
        <v>33.932470705571475</v>
      </c>
      <c r="G78" s="250">
        <v>36.650348977902986</v>
      </c>
      <c r="H78" s="6"/>
    </row>
    <row r="79" spans="1:8" ht="15.6">
      <c r="A79" s="801"/>
      <c r="B79" s="635">
        <f t="shared" si="5"/>
        <v>8.7300000000000003E-2</v>
      </c>
      <c r="C79" s="249">
        <v>24.007308822655908</v>
      </c>
      <c r="D79" s="249">
        <v>25.980916897395087</v>
      </c>
      <c r="E79" s="249">
        <v>28.101152615131209</v>
      </c>
      <c r="F79" s="249">
        <v>30.384986767877862</v>
      </c>
      <c r="G79" s="250">
        <v>32.852114191310413</v>
      </c>
      <c r="H79" s="6"/>
    </row>
    <row r="80" spans="1:8" ht="15.6">
      <c r="A80" s="801"/>
      <c r="B80" s="635">
        <f>8.98%</f>
        <v>8.9800000000000005E-2</v>
      </c>
      <c r="C80" s="249">
        <v>21.278999262163932</v>
      </c>
      <c r="D80" s="249">
        <v>23.090617121573171</v>
      </c>
      <c r="E80" s="639">
        <v>25.032007033948659</v>
      </c>
      <c r="F80" s="249">
        <v>27.117630966560082</v>
      </c>
      <c r="G80" s="250">
        <v>29.364182671749532</v>
      </c>
      <c r="H80" s="6"/>
    </row>
    <row r="81" spans="1:8" ht="15.6">
      <c r="A81" s="801"/>
      <c r="B81" s="635">
        <f t="shared" ref="B81:B82" si="6">B80+0.25%</f>
        <v>9.2300000000000007E-2</v>
      </c>
      <c r="C81" s="249">
        <v>18.74118227598677</v>
      </c>
      <c r="D81" s="249">
        <v>20.40802119094052</v>
      </c>
      <c r="E81" s="249">
        <v>22.190132506651786</v>
      </c>
      <c r="F81" s="249">
        <v>24.099902226067304</v>
      </c>
      <c r="G81" s="250">
        <v>26.151556768619184</v>
      </c>
      <c r="H81" s="6"/>
    </row>
    <row r="82" spans="1:8" ht="15.6">
      <c r="A82" s="768"/>
      <c r="B82" s="636">
        <f t="shared" si="6"/>
        <v>9.4800000000000009E-2</v>
      </c>
      <c r="C82" s="251">
        <v>16.375614808663293</v>
      </c>
      <c r="D82" s="251">
        <v>17.912625456924943</v>
      </c>
      <c r="E82" s="251">
        <v>19.552377458680013</v>
      </c>
      <c r="F82" s="251">
        <v>21.305528630680922</v>
      </c>
      <c r="G82" s="252">
        <v>23.184263697524319</v>
      </c>
      <c r="H82" s="6"/>
    </row>
    <row r="83" spans="1:8" ht="15.6">
      <c r="A83" s="6"/>
      <c r="B83" s="6"/>
      <c r="C83" s="6"/>
      <c r="D83" s="6"/>
      <c r="E83" s="6"/>
      <c r="F83" s="6"/>
      <c r="G83" s="6"/>
      <c r="H83" s="6"/>
    </row>
    <row r="84" spans="1:8" ht="15.6">
      <c r="A84" s="6"/>
      <c r="B84" s="6"/>
      <c r="C84" s="6"/>
      <c r="D84" s="6"/>
      <c r="E84" s="6"/>
      <c r="F84" s="6"/>
      <c r="G84" s="6"/>
      <c r="H84" s="6"/>
    </row>
    <row r="85" spans="1:8" ht="15.6">
      <c r="A85" s="6"/>
      <c r="B85" s="6"/>
      <c r="C85" s="6"/>
      <c r="D85" s="6"/>
      <c r="E85" s="6"/>
      <c r="F85" s="6"/>
      <c r="G85" s="6"/>
      <c r="H85" s="6"/>
    </row>
    <row r="86" spans="1:8" ht="15.6">
      <c r="A86" s="6"/>
      <c r="B86" s="6"/>
      <c r="C86" s="6"/>
      <c r="D86" s="6"/>
      <c r="E86" s="6"/>
      <c r="F86" s="6"/>
      <c r="G86" s="6"/>
      <c r="H86" s="6"/>
    </row>
    <row r="87" spans="1:8" ht="15.6">
      <c r="A87" s="6"/>
      <c r="B87" s="6"/>
      <c r="C87" s="6"/>
      <c r="D87" s="6"/>
      <c r="E87" s="6"/>
      <c r="F87" s="6"/>
      <c r="G87" s="6"/>
      <c r="H87" s="6"/>
    </row>
    <row r="88" spans="1:8" ht="15.6">
      <c r="A88" s="6"/>
      <c r="B88" s="6"/>
      <c r="C88" s="6"/>
      <c r="D88" s="6"/>
      <c r="E88" s="6"/>
      <c r="F88" s="6"/>
      <c r="G88" s="6"/>
      <c r="H88" s="6"/>
    </row>
    <row r="89" spans="1:8" ht="15.6">
      <c r="A89" s="6"/>
      <c r="B89" s="6"/>
      <c r="C89" s="6"/>
      <c r="D89" s="6"/>
      <c r="E89" s="6"/>
      <c r="F89" s="6"/>
      <c r="G89" s="6"/>
      <c r="H89" s="6"/>
    </row>
    <row r="90" spans="1:8" ht="15.6">
      <c r="A90" s="6"/>
      <c r="B90" s="6"/>
      <c r="C90" s="6"/>
      <c r="D90" s="6"/>
      <c r="E90" s="6"/>
      <c r="F90" s="6"/>
      <c r="G90" s="6"/>
      <c r="H90" s="6"/>
    </row>
    <row r="91" spans="1:8" ht="15.6">
      <c r="A91" s="6"/>
      <c r="B91" s="6"/>
      <c r="C91" s="6"/>
      <c r="D91" s="6"/>
      <c r="E91" s="6"/>
      <c r="F91" s="6"/>
      <c r="G91" s="6"/>
      <c r="H91" s="6"/>
    </row>
    <row r="92" spans="1:8" ht="15.6">
      <c r="A92" s="6"/>
      <c r="B92" s="6"/>
      <c r="C92" s="6"/>
      <c r="D92" s="6"/>
      <c r="E92" s="6"/>
      <c r="F92" s="6"/>
      <c r="G92" s="6"/>
      <c r="H92" s="6"/>
    </row>
    <row r="93" spans="1:8" ht="15.6">
      <c r="A93" s="6"/>
      <c r="B93" s="6"/>
      <c r="C93" s="6"/>
      <c r="D93" s="6"/>
      <c r="E93" s="6"/>
      <c r="F93" s="6"/>
      <c r="G93" s="6"/>
      <c r="H93" s="6"/>
    </row>
    <row r="94" spans="1:8" ht="15.6">
      <c r="A94" s="6"/>
      <c r="B94" s="6"/>
      <c r="C94" s="6"/>
      <c r="D94" s="6"/>
      <c r="E94" s="6"/>
      <c r="F94" s="6"/>
      <c r="G94" s="6"/>
      <c r="H94" s="6"/>
    </row>
    <row r="95" spans="1:8" ht="15.6">
      <c r="A95" s="6"/>
      <c r="B95" s="6"/>
      <c r="C95" s="6"/>
      <c r="D95" s="6"/>
      <c r="E95" s="6"/>
      <c r="F95" s="6"/>
      <c r="G95" s="6"/>
      <c r="H95" s="6"/>
    </row>
    <row r="96" spans="1:8" ht="15.6">
      <c r="A96" s="6"/>
      <c r="B96" s="6"/>
      <c r="C96" s="6"/>
      <c r="D96" s="6"/>
      <c r="E96" s="6"/>
      <c r="F96" s="6"/>
      <c r="G96" s="6"/>
      <c r="H96" s="6"/>
    </row>
    <row r="97" spans="1:8" ht="15.6">
      <c r="A97" s="6"/>
      <c r="B97" s="6"/>
      <c r="C97" s="6"/>
      <c r="D97" s="6"/>
      <c r="E97" s="6"/>
      <c r="F97" s="6"/>
      <c r="G97" s="6"/>
      <c r="H97" s="6"/>
    </row>
    <row r="98" spans="1:8" ht="15.6">
      <c r="A98" s="6"/>
      <c r="B98" s="6"/>
      <c r="C98" s="6"/>
      <c r="D98" s="6"/>
      <c r="E98" s="6"/>
      <c r="F98" s="6"/>
      <c r="G98" s="6"/>
      <c r="H98" s="6"/>
    </row>
    <row r="99" spans="1:8" ht="15.6">
      <c r="A99" s="6"/>
      <c r="B99" s="6"/>
      <c r="C99" s="6"/>
      <c r="D99" s="6"/>
      <c r="E99" s="6"/>
      <c r="F99" s="6"/>
      <c r="G99" s="6"/>
      <c r="H99" s="6"/>
    </row>
    <row r="100" spans="1:8" ht="15.6">
      <c r="A100" s="6"/>
      <c r="B100" s="6"/>
      <c r="C100" s="6"/>
      <c r="D100" s="6"/>
      <c r="E100" s="6"/>
      <c r="F100" s="6"/>
      <c r="G100" s="6"/>
      <c r="H100" s="6"/>
    </row>
    <row r="101" spans="1:8" ht="15.6">
      <c r="A101" s="6"/>
      <c r="B101" s="6"/>
      <c r="C101" s="6"/>
      <c r="D101" s="6"/>
      <c r="E101" s="6"/>
      <c r="F101" s="6"/>
      <c r="G101" s="6"/>
      <c r="H101" s="6"/>
    </row>
    <row r="102" spans="1:8" ht="15.6">
      <c r="A102" s="6"/>
      <c r="B102" s="6"/>
      <c r="C102" s="6"/>
      <c r="D102" s="6"/>
      <c r="E102" s="6"/>
      <c r="F102" s="6"/>
      <c r="G102" s="6"/>
      <c r="H102" s="6"/>
    </row>
    <row r="103" spans="1:8" ht="15.6">
      <c r="A103" s="6"/>
      <c r="B103" s="6"/>
      <c r="C103" s="6"/>
      <c r="D103" s="6"/>
      <c r="E103" s="6"/>
      <c r="F103" s="6"/>
      <c r="G103" s="6"/>
      <c r="H103" s="6"/>
    </row>
    <row r="104" spans="1:8" ht="15.6">
      <c r="A104" s="6"/>
      <c r="B104" s="6"/>
      <c r="C104" s="6"/>
      <c r="D104" s="6"/>
      <c r="E104" s="6"/>
      <c r="F104" s="6"/>
      <c r="G104" s="6"/>
      <c r="H104" s="6"/>
    </row>
    <row r="105" spans="1:8" ht="15.6">
      <c r="A105" s="6"/>
      <c r="B105" s="6"/>
      <c r="C105" s="6"/>
      <c r="D105" s="6"/>
      <c r="E105" s="6"/>
      <c r="F105" s="6"/>
      <c r="G105" s="6"/>
      <c r="H105" s="6"/>
    </row>
    <row r="106" spans="1:8" ht="15.6">
      <c r="A106" s="6"/>
      <c r="B106" s="6"/>
      <c r="C106" s="6"/>
      <c r="D106" s="6"/>
      <c r="E106" s="6"/>
      <c r="F106" s="6"/>
      <c r="G106" s="6"/>
      <c r="H106" s="6"/>
    </row>
    <row r="107" spans="1:8" ht="15.6">
      <c r="A107" s="6"/>
      <c r="B107" s="6"/>
      <c r="C107" s="6"/>
      <c r="D107" s="6"/>
      <c r="E107" s="6"/>
      <c r="F107" s="6"/>
      <c r="G107" s="6"/>
      <c r="H107" s="6"/>
    </row>
    <row r="108" spans="1:8" ht="15.6">
      <c r="A108" s="6"/>
      <c r="B108" s="6"/>
      <c r="C108" s="6"/>
      <c r="D108" s="6"/>
      <c r="E108" s="6"/>
      <c r="F108" s="6"/>
      <c r="G108" s="6"/>
      <c r="H108" s="6"/>
    </row>
    <row r="109" spans="1:8" ht="15.6">
      <c r="A109" s="6"/>
      <c r="B109" s="6"/>
      <c r="C109" s="6"/>
      <c r="D109" s="6"/>
      <c r="E109" s="6"/>
      <c r="F109" s="6"/>
      <c r="G109" s="6"/>
      <c r="H109" s="6"/>
    </row>
    <row r="110" spans="1:8" ht="15.6">
      <c r="A110" s="6"/>
      <c r="B110" s="6"/>
      <c r="C110" s="6"/>
      <c r="D110" s="6"/>
      <c r="E110" s="6"/>
      <c r="F110" s="6"/>
      <c r="G110" s="6"/>
      <c r="H110" s="6"/>
    </row>
    <row r="111" spans="1:8" ht="15.6">
      <c r="A111" s="6"/>
      <c r="B111" s="6"/>
      <c r="C111" s="6"/>
      <c r="D111" s="6"/>
      <c r="E111" s="6"/>
      <c r="F111" s="6"/>
      <c r="G111" s="6"/>
      <c r="H111" s="6"/>
    </row>
    <row r="112" spans="1:8" ht="15.6">
      <c r="A112" s="6"/>
      <c r="B112" s="6"/>
      <c r="C112" s="6"/>
      <c r="D112" s="6"/>
      <c r="E112" s="6"/>
      <c r="F112" s="6"/>
      <c r="G112" s="6"/>
      <c r="H112" s="6"/>
    </row>
    <row r="113" spans="1:8" ht="15.6">
      <c r="A113" s="6"/>
      <c r="B113" s="6"/>
      <c r="C113" s="6"/>
      <c r="D113" s="6"/>
      <c r="E113" s="6"/>
      <c r="F113" s="6"/>
      <c r="G113" s="6"/>
      <c r="H113" s="6"/>
    </row>
    <row r="114" spans="1:8" ht="15.6">
      <c r="A114" s="6"/>
      <c r="B114" s="6"/>
      <c r="C114" s="6"/>
      <c r="D114" s="6"/>
      <c r="E114" s="6"/>
      <c r="F114" s="6"/>
      <c r="G114" s="6"/>
      <c r="H114" s="6"/>
    </row>
    <row r="115" spans="1:8" ht="15.6">
      <c r="A115" s="6"/>
      <c r="B115" s="6"/>
      <c r="C115" s="6"/>
      <c r="D115" s="6"/>
      <c r="E115" s="6"/>
      <c r="F115" s="6"/>
      <c r="G115" s="6"/>
      <c r="H115" s="6"/>
    </row>
    <row r="116" spans="1:8" ht="15.6">
      <c r="A116" s="6"/>
      <c r="B116" s="6"/>
      <c r="C116" s="6"/>
      <c r="D116" s="6"/>
      <c r="E116" s="6"/>
      <c r="F116" s="6"/>
      <c r="G116" s="6"/>
      <c r="H116" s="6"/>
    </row>
    <row r="117" spans="1:8" ht="15.6">
      <c r="A117" s="6"/>
      <c r="B117" s="6"/>
      <c r="C117" s="6"/>
      <c r="D117" s="6"/>
      <c r="E117" s="6"/>
      <c r="F117" s="6"/>
      <c r="G117" s="6"/>
      <c r="H117" s="6"/>
    </row>
    <row r="118" spans="1:8" ht="15.6">
      <c r="A118" s="6"/>
      <c r="B118" s="6"/>
      <c r="C118" s="6"/>
      <c r="D118" s="6"/>
      <c r="E118" s="6"/>
      <c r="F118" s="6"/>
      <c r="G118" s="6"/>
      <c r="H118" s="6"/>
    </row>
    <row r="119" spans="1:8" ht="15.6">
      <c r="A119" s="6"/>
      <c r="B119" s="6"/>
      <c r="C119" s="6"/>
      <c r="D119" s="6"/>
      <c r="E119" s="6"/>
      <c r="F119" s="6"/>
      <c r="G119" s="6"/>
      <c r="H119" s="6"/>
    </row>
    <row r="120" spans="1:8" ht="15.6">
      <c r="A120" s="6"/>
      <c r="B120" s="6"/>
      <c r="C120" s="6"/>
      <c r="D120" s="6"/>
      <c r="E120" s="6"/>
      <c r="F120" s="6"/>
      <c r="G120" s="6"/>
      <c r="H120" s="6"/>
    </row>
    <row r="121" spans="1:8" ht="15.6">
      <c r="A121" s="6"/>
      <c r="B121" s="6"/>
      <c r="C121" s="6"/>
      <c r="D121" s="6"/>
      <c r="E121" s="6"/>
      <c r="F121" s="6"/>
      <c r="G121" s="6"/>
      <c r="H121" s="6"/>
    </row>
    <row r="122" spans="1:8" ht="15.6">
      <c r="A122" s="6"/>
      <c r="B122" s="6"/>
      <c r="C122" s="6"/>
      <c r="D122" s="6"/>
      <c r="E122" s="6"/>
      <c r="F122" s="6"/>
      <c r="G122" s="6"/>
      <c r="H122" s="6"/>
    </row>
    <row r="123" spans="1:8" ht="15.6">
      <c r="A123" s="6"/>
      <c r="B123" s="6"/>
      <c r="C123" s="6"/>
      <c r="D123" s="6"/>
      <c r="E123" s="6"/>
      <c r="F123" s="6"/>
      <c r="G123" s="6"/>
      <c r="H123" s="6"/>
    </row>
    <row r="124" spans="1:8" ht="15.6">
      <c r="A124" s="6"/>
      <c r="B124" s="6"/>
      <c r="C124" s="6"/>
      <c r="D124" s="6"/>
      <c r="E124" s="6"/>
      <c r="F124" s="6"/>
      <c r="G124" s="6"/>
      <c r="H124" s="6"/>
    </row>
    <row r="125" spans="1:8" ht="15.6">
      <c r="A125" s="6"/>
      <c r="B125" s="6"/>
      <c r="C125" s="6"/>
      <c r="D125" s="6"/>
      <c r="E125" s="6"/>
      <c r="F125" s="6"/>
      <c r="G125" s="6"/>
      <c r="H125" s="6"/>
    </row>
    <row r="126" spans="1:8" ht="15.6">
      <c r="A126" s="6"/>
      <c r="B126" s="6"/>
      <c r="C126" s="6"/>
      <c r="D126" s="6"/>
      <c r="E126" s="6"/>
      <c r="F126" s="6"/>
      <c r="G126" s="6"/>
      <c r="H126" s="6"/>
    </row>
    <row r="127" spans="1:8" ht="15.6">
      <c r="A127" s="6"/>
      <c r="B127" s="6"/>
      <c r="C127" s="6"/>
      <c r="D127" s="6"/>
      <c r="E127" s="6"/>
      <c r="F127" s="6"/>
      <c r="G127" s="6"/>
      <c r="H127" s="6"/>
    </row>
    <row r="128" spans="1:8" ht="15.6">
      <c r="A128" s="6"/>
      <c r="B128" s="6"/>
      <c r="C128" s="6"/>
      <c r="D128" s="6"/>
      <c r="E128" s="6"/>
      <c r="F128" s="6"/>
      <c r="G128" s="6"/>
      <c r="H128" s="6"/>
    </row>
    <row r="129" spans="1:8" ht="15.6">
      <c r="A129" s="6"/>
      <c r="B129" s="6"/>
      <c r="C129" s="6"/>
      <c r="D129" s="6"/>
      <c r="E129" s="6"/>
      <c r="F129" s="6"/>
      <c r="G129" s="6"/>
      <c r="H129" s="6"/>
    </row>
    <row r="130" spans="1:8" ht="15.6">
      <c r="A130" s="6"/>
      <c r="B130" s="6"/>
      <c r="C130" s="6"/>
      <c r="D130" s="6"/>
      <c r="E130" s="6"/>
      <c r="F130" s="6"/>
      <c r="G130" s="6"/>
      <c r="H130" s="6"/>
    </row>
    <row r="131" spans="1:8" ht="15.6">
      <c r="A131" s="6"/>
      <c r="B131" s="6"/>
      <c r="C131" s="6"/>
      <c r="D131" s="6"/>
      <c r="E131" s="6"/>
      <c r="F131" s="6"/>
      <c r="G131" s="6"/>
      <c r="H131" s="6"/>
    </row>
    <row r="132" spans="1:8" ht="15.6">
      <c r="A132" s="6"/>
      <c r="B132" s="6"/>
      <c r="C132" s="6"/>
      <c r="D132" s="6"/>
      <c r="E132" s="6"/>
      <c r="F132" s="6"/>
      <c r="G132" s="6"/>
      <c r="H132" s="6"/>
    </row>
    <row r="133" spans="1:8" ht="15.6">
      <c r="A133" s="6"/>
      <c r="B133" s="6"/>
      <c r="C133" s="6"/>
      <c r="D133" s="6"/>
      <c r="E133" s="6"/>
      <c r="F133" s="6"/>
      <c r="G133" s="6"/>
      <c r="H133" s="6"/>
    </row>
    <row r="134" spans="1:8" ht="15.6">
      <c r="A134" s="6"/>
      <c r="B134" s="6"/>
      <c r="C134" s="6"/>
      <c r="D134" s="6"/>
      <c r="E134" s="6"/>
      <c r="F134" s="6"/>
      <c r="G134" s="6"/>
      <c r="H134" s="6"/>
    </row>
    <row r="135" spans="1:8" ht="15.6">
      <c r="A135" s="6"/>
      <c r="B135" s="6"/>
      <c r="C135" s="6"/>
      <c r="D135" s="6"/>
      <c r="E135" s="6"/>
      <c r="F135" s="6"/>
      <c r="G135" s="6"/>
      <c r="H135" s="6"/>
    </row>
    <row r="136" spans="1:8" ht="15.6">
      <c r="A136" s="6"/>
      <c r="B136" s="6"/>
      <c r="C136" s="6"/>
      <c r="D136" s="6"/>
      <c r="E136" s="6"/>
      <c r="F136" s="6"/>
      <c r="G136" s="6"/>
      <c r="H136" s="6"/>
    </row>
    <row r="137" spans="1:8" ht="15.6">
      <c r="A137" s="6"/>
      <c r="B137" s="6"/>
      <c r="C137" s="6"/>
      <c r="D137" s="6"/>
      <c r="E137" s="6"/>
      <c r="F137" s="6"/>
      <c r="G137" s="6"/>
      <c r="H137" s="6"/>
    </row>
    <row r="138" spans="1:8" ht="15.6">
      <c r="A138" s="6"/>
      <c r="B138" s="6"/>
      <c r="C138" s="6"/>
      <c r="D138" s="6"/>
      <c r="E138" s="6"/>
      <c r="F138" s="6"/>
      <c r="G138" s="6"/>
      <c r="H138" s="6"/>
    </row>
    <row r="139" spans="1:8" ht="15.6">
      <c r="A139" s="6"/>
      <c r="B139" s="6"/>
      <c r="C139" s="6"/>
      <c r="D139" s="6"/>
      <c r="E139" s="6"/>
      <c r="F139" s="6"/>
      <c r="G139" s="6"/>
      <c r="H139" s="6"/>
    </row>
    <row r="140" spans="1:8" ht="15.6">
      <c r="A140" s="6"/>
      <c r="B140" s="6"/>
      <c r="C140" s="6"/>
      <c r="D140" s="6"/>
      <c r="E140" s="6"/>
      <c r="F140" s="6"/>
      <c r="G140" s="6"/>
      <c r="H140" s="6"/>
    </row>
    <row r="141" spans="1:8" ht="15.6">
      <c r="A141" s="6"/>
      <c r="B141" s="6"/>
      <c r="C141" s="6"/>
      <c r="D141" s="6"/>
      <c r="E141" s="6"/>
      <c r="F141" s="6"/>
      <c r="G141" s="6"/>
      <c r="H141" s="6"/>
    </row>
    <row r="142" spans="1:8" ht="15.6">
      <c r="A142" s="6"/>
      <c r="B142" s="6"/>
      <c r="C142" s="6"/>
      <c r="D142" s="6"/>
      <c r="E142" s="6"/>
      <c r="F142" s="6"/>
      <c r="G142" s="6"/>
      <c r="H142" s="6"/>
    </row>
    <row r="143" spans="1:8" ht="15.6">
      <c r="A143" s="6"/>
      <c r="B143" s="6"/>
      <c r="C143" s="6"/>
      <c r="D143" s="6"/>
      <c r="E143" s="6"/>
      <c r="F143" s="6"/>
      <c r="G143" s="6"/>
      <c r="H143" s="6"/>
    </row>
    <row r="144" spans="1:8" ht="15.6">
      <c r="A144" s="6"/>
      <c r="B144" s="6"/>
      <c r="C144" s="6"/>
      <c r="D144" s="6"/>
      <c r="E144" s="6"/>
      <c r="F144" s="6"/>
      <c r="G144" s="6"/>
      <c r="H144" s="6"/>
    </row>
    <row r="145" spans="1:8" ht="15.6">
      <c r="A145" s="6"/>
      <c r="B145" s="6"/>
      <c r="C145" s="6"/>
      <c r="D145" s="6"/>
      <c r="E145" s="6"/>
      <c r="F145" s="6"/>
      <c r="G145" s="6"/>
      <c r="H145" s="6"/>
    </row>
    <row r="146" spans="1:8" ht="15.6">
      <c r="A146" s="6"/>
      <c r="B146" s="6"/>
      <c r="C146" s="6"/>
      <c r="D146" s="6"/>
      <c r="E146" s="6"/>
      <c r="F146" s="6"/>
      <c r="G146" s="6"/>
      <c r="H146" s="6"/>
    </row>
    <row r="147" spans="1:8" ht="15.6">
      <c r="A147" s="6"/>
      <c r="B147" s="6"/>
      <c r="C147" s="6"/>
      <c r="D147" s="6"/>
      <c r="E147" s="6"/>
      <c r="F147" s="6"/>
      <c r="G147" s="6"/>
      <c r="H147" s="6"/>
    </row>
    <row r="148" spans="1:8" ht="15.6">
      <c r="A148" s="6"/>
      <c r="B148" s="6"/>
      <c r="C148" s="6"/>
      <c r="D148" s="6"/>
      <c r="E148" s="6"/>
      <c r="F148" s="6"/>
      <c r="G148" s="6"/>
      <c r="H148" s="6"/>
    </row>
    <row r="149" spans="1:8" ht="15.6">
      <c r="A149" s="6"/>
      <c r="B149" s="6"/>
      <c r="C149" s="6"/>
      <c r="D149" s="6"/>
      <c r="E149" s="6"/>
      <c r="F149" s="6"/>
      <c r="G149" s="6"/>
      <c r="H149" s="6"/>
    </row>
    <row r="150" spans="1:8" ht="15.6">
      <c r="A150" s="6"/>
      <c r="B150" s="6"/>
      <c r="C150" s="6"/>
      <c r="D150" s="6"/>
      <c r="E150" s="6"/>
      <c r="F150" s="6"/>
      <c r="G150" s="6"/>
      <c r="H150" s="6"/>
    </row>
    <row r="151" spans="1:8" ht="15.6">
      <c r="A151" s="6"/>
      <c r="B151" s="6"/>
      <c r="C151" s="6"/>
      <c r="D151" s="6"/>
      <c r="E151" s="6"/>
      <c r="F151" s="6"/>
      <c r="G151" s="6"/>
      <c r="H151" s="6"/>
    </row>
    <row r="152" spans="1:8" ht="15.6">
      <c r="A152" s="6"/>
      <c r="B152" s="6"/>
      <c r="C152" s="6"/>
      <c r="D152" s="6"/>
      <c r="E152" s="6"/>
      <c r="F152" s="6"/>
      <c r="G152" s="6"/>
      <c r="H152" s="6"/>
    </row>
    <row r="153" spans="1:8" ht="15.6">
      <c r="A153" s="6"/>
      <c r="B153" s="6"/>
      <c r="C153" s="6"/>
      <c r="D153" s="6"/>
      <c r="E153" s="6"/>
      <c r="F153" s="6"/>
      <c r="G153" s="6"/>
      <c r="H153" s="6"/>
    </row>
    <row r="154" spans="1:8" ht="15.6">
      <c r="A154" s="6"/>
      <c r="B154" s="6"/>
      <c r="C154" s="6"/>
      <c r="D154" s="6"/>
      <c r="E154" s="6"/>
      <c r="F154" s="6"/>
      <c r="G154" s="6"/>
      <c r="H154" s="6"/>
    </row>
    <row r="155" spans="1:8" ht="15.6">
      <c r="A155" s="6"/>
      <c r="B155" s="6"/>
      <c r="C155" s="6"/>
      <c r="D155" s="6"/>
      <c r="E155" s="6"/>
      <c r="F155" s="6"/>
      <c r="G155" s="6"/>
      <c r="H155" s="6"/>
    </row>
    <row r="156" spans="1:8" ht="15.6">
      <c r="A156" s="6"/>
      <c r="B156" s="6"/>
      <c r="C156" s="6"/>
      <c r="D156" s="6"/>
      <c r="E156" s="6"/>
      <c r="F156" s="6"/>
      <c r="G156" s="6"/>
      <c r="H156" s="6"/>
    </row>
    <row r="157" spans="1:8" ht="15.6">
      <c r="A157" s="6"/>
      <c r="B157" s="6"/>
      <c r="C157" s="6"/>
      <c r="D157" s="6"/>
      <c r="E157" s="6"/>
      <c r="F157" s="6"/>
      <c r="G157" s="6"/>
      <c r="H157" s="6"/>
    </row>
    <row r="158" spans="1:8" ht="15.6">
      <c r="A158" s="6"/>
      <c r="B158" s="6"/>
      <c r="C158" s="6"/>
      <c r="D158" s="6"/>
      <c r="E158" s="6"/>
      <c r="F158" s="6"/>
      <c r="G158" s="6"/>
      <c r="H158" s="6"/>
    </row>
    <row r="159" spans="1:8" ht="15.6">
      <c r="A159" s="6"/>
      <c r="B159" s="6"/>
      <c r="C159" s="6"/>
      <c r="D159" s="6"/>
      <c r="E159" s="6"/>
      <c r="F159" s="6"/>
      <c r="G159" s="6"/>
      <c r="H159" s="6"/>
    </row>
    <row r="160" spans="1:8" ht="15.6">
      <c r="A160" s="6"/>
      <c r="B160" s="6"/>
      <c r="C160" s="6"/>
      <c r="D160" s="6"/>
      <c r="E160" s="6"/>
      <c r="F160" s="6"/>
      <c r="G160" s="6"/>
      <c r="H160" s="6"/>
    </row>
    <row r="161" spans="1:8" ht="15.6">
      <c r="A161" s="6"/>
      <c r="B161" s="6"/>
      <c r="C161" s="6"/>
      <c r="D161" s="6"/>
      <c r="E161" s="6"/>
      <c r="F161" s="6"/>
      <c r="G161" s="6"/>
      <c r="H161" s="6"/>
    </row>
    <row r="162" spans="1:8" ht="15.6">
      <c r="A162" s="6"/>
      <c r="B162" s="6"/>
      <c r="C162" s="6"/>
      <c r="D162" s="6"/>
      <c r="E162" s="6"/>
      <c r="F162" s="6"/>
      <c r="G162" s="6"/>
      <c r="H162" s="6"/>
    </row>
    <row r="163" spans="1:8" ht="15.6">
      <c r="A163" s="6"/>
      <c r="B163" s="6"/>
      <c r="C163" s="6"/>
      <c r="D163" s="6"/>
      <c r="E163" s="6"/>
      <c r="F163" s="6"/>
      <c r="G163" s="6"/>
      <c r="H163" s="6"/>
    </row>
    <row r="164" spans="1:8" ht="15.6">
      <c r="A164" s="6"/>
      <c r="B164" s="6"/>
      <c r="C164" s="6"/>
      <c r="D164" s="6"/>
      <c r="E164" s="6"/>
      <c r="F164" s="6"/>
      <c r="G164" s="6"/>
      <c r="H164" s="6"/>
    </row>
    <row r="165" spans="1:8" ht="15.6">
      <c r="A165" s="6"/>
      <c r="B165" s="6"/>
      <c r="C165" s="6"/>
      <c r="D165" s="6"/>
      <c r="E165" s="6"/>
      <c r="F165" s="6"/>
      <c r="G165" s="6"/>
      <c r="H165" s="6"/>
    </row>
    <row r="166" spans="1:8" ht="15.6">
      <c r="A166" s="6"/>
      <c r="B166" s="6"/>
      <c r="C166" s="6"/>
      <c r="D166" s="6"/>
      <c r="E166" s="6"/>
      <c r="F166" s="6"/>
      <c r="G166" s="6"/>
      <c r="H166" s="6"/>
    </row>
    <row r="167" spans="1:8" ht="15.6">
      <c r="A167" s="6"/>
      <c r="B167" s="6"/>
      <c r="C167" s="6"/>
      <c r="D167" s="6"/>
      <c r="E167" s="6"/>
      <c r="F167" s="6"/>
      <c r="G167" s="6"/>
      <c r="H167" s="6"/>
    </row>
    <row r="168" spans="1:8" ht="15.6">
      <c r="A168" s="6"/>
      <c r="B168" s="6"/>
      <c r="C168" s="6"/>
      <c r="D168" s="6"/>
      <c r="E168" s="6"/>
      <c r="F168" s="6"/>
      <c r="G168" s="6"/>
      <c r="H168" s="6"/>
    </row>
    <row r="169" spans="1:8" ht="15.6">
      <c r="A169" s="6"/>
      <c r="B169" s="6"/>
      <c r="C169" s="6"/>
      <c r="D169" s="6"/>
      <c r="E169" s="6"/>
      <c r="F169" s="6"/>
      <c r="G169" s="6"/>
      <c r="H169" s="6"/>
    </row>
    <row r="170" spans="1:8" ht="15.6">
      <c r="A170" s="6"/>
      <c r="B170" s="6"/>
      <c r="C170" s="6"/>
      <c r="D170" s="6"/>
      <c r="E170" s="6"/>
      <c r="F170" s="6"/>
      <c r="G170" s="6"/>
      <c r="H170" s="6"/>
    </row>
    <row r="171" spans="1:8" ht="15.6">
      <c r="A171" s="6"/>
      <c r="B171" s="6"/>
      <c r="C171" s="6"/>
      <c r="D171" s="6"/>
      <c r="E171" s="6"/>
      <c r="F171" s="6"/>
      <c r="G171" s="6"/>
      <c r="H171" s="6"/>
    </row>
    <row r="172" spans="1:8" ht="15.6">
      <c r="A172" s="6"/>
      <c r="B172" s="6"/>
      <c r="C172" s="6"/>
      <c r="D172" s="6"/>
      <c r="E172" s="6"/>
      <c r="F172" s="6"/>
      <c r="G172" s="6"/>
      <c r="H172" s="6"/>
    </row>
    <row r="173" spans="1:8" ht="15.6">
      <c r="A173" s="6"/>
      <c r="B173" s="6"/>
      <c r="C173" s="6"/>
      <c r="D173" s="6"/>
      <c r="E173" s="6"/>
      <c r="F173" s="6"/>
      <c r="G173" s="6"/>
      <c r="H173" s="6"/>
    </row>
    <row r="174" spans="1:8" ht="15.6">
      <c r="A174" s="6"/>
      <c r="B174" s="6"/>
      <c r="C174" s="6"/>
      <c r="D174" s="6"/>
      <c r="E174" s="6"/>
      <c r="F174" s="6"/>
      <c r="G174" s="6"/>
      <c r="H174" s="6"/>
    </row>
    <row r="175" spans="1:8" ht="15.6">
      <c r="A175" s="6"/>
      <c r="B175" s="6"/>
      <c r="C175" s="6"/>
      <c r="D175" s="6"/>
      <c r="E175" s="6"/>
      <c r="F175" s="6"/>
      <c r="G175" s="6"/>
      <c r="H175" s="6"/>
    </row>
    <row r="176" spans="1:8" ht="15.6">
      <c r="A176" s="6"/>
      <c r="B176" s="6"/>
      <c r="C176" s="6"/>
      <c r="D176" s="6"/>
      <c r="E176" s="6"/>
      <c r="F176" s="6"/>
      <c r="G176" s="6"/>
      <c r="H176" s="6"/>
    </row>
    <row r="177" spans="1:8" ht="15.6">
      <c r="A177" s="6"/>
      <c r="B177" s="6"/>
      <c r="C177" s="6"/>
      <c r="D177" s="6"/>
      <c r="E177" s="6"/>
      <c r="F177" s="6"/>
      <c r="G177" s="6"/>
      <c r="H177" s="6"/>
    </row>
    <row r="178" spans="1:8" ht="15.6">
      <c r="A178" s="6"/>
      <c r="B178" s="6"/>
      <c r="C178" s="6"/>
      <c r="D178" s="6"/>
      <c r="E178" s="6"/>
      <c r="F178" s="6"/>
      <c r="G178" s="6"/>
      <c r="H178" s="6"/>
    </row>
    <row r="179" spans="1:8" ht="15.6">
      <c r="A179" s="6"/>
      <c r="B179" s="6"/>
      <c r="C179" s="6"/>
      <c r="D179" s="6"/>
      <c r="E179" s="6"/>
      <c r="F179" s="6"/>
      <c r="G179" s="6"/>
      <c r="H179" s="6"/>
    </row>
    <row r="180" spans="1:8" ht="15.6">
      <c r="A180" s="6"/>
      <c r="B180" s="6"/>
      <c r="C180" s="6"/>
      <c r="D180" s="6"/>
      <c r="E180" s="6"/>
      <c r="F180" s="6"/>
      <c r="G180" s="6"/>
      <c r="H180" s="6"/>
    </row>
    <row r="181" spans="1:8" ht="15.6">
      <c r="A181" s="6"/>
      <c r="B181" s="6"/>
      <c r="C181" s="6"/>
      <c r="D181" s="6"/>
      <c r="E181" s="6"/>
      <c r="F181" s="6"/>
      <c r="G181" s="6"/>
      <c r="H181" s="6"/>
    </row>
    <row r="182" spans="1:8" ht="15.6">
      <c r="A182" s="6"/>
      <c r="B182" s="6"/>
      <c r="C182" s="6"/>
      <c r="D182" s="6"/>
      <c r="E182" s="6"/>
      <c r="F182" s="6"/>
      <c r="G182" s="6"/>
      <c r="H182" s="6"/>
    </row>
    <row r="183" spans="1:8" ht="15.6">
      <c r="A183" s="6"/>
      <c r="B183" s="6"/>
      <c r="C183" s="6"/>
      <c r="D183" s="6"/>
      <c r="E183" s="6"/>
      <c r="F183" s="6"/>
      <c r="G183" s="6"/>
      <c r="H183" s="6"/>
    </row>
    <row r="184" spans="1:8" ht="15.6">
      <c r="A184" s="6"/>
      <c r="B184" s="6"/>
      <c r="C184" s="6"/>
      <c r="D184" s="6"/>
      <c r="E184" s="6"/>
      <c r="F184" s="6"/>
      <c r="G184" s="6"/>
      <c r="H184" s="6"/>
    </row>
    <row r="185" spans="1:8" ht="15.6">
      <c r="A185" s="6"/>
      <c r="B185" s="6"/>
      <c r="C185" s="6"/>
      <c r="D185" s="6"/>
      <c r="E185" s="6"/>
      <c r="F185" s="6"/>
      <c r="G185" s="6"/>
      <c r="H185" s="6"/>
    </row>
    <row r="186" spans="1:8" ht="15.6">
      <c r="A186" s="6"/>
      <c r="B186" s="6"/>
      <c r="C186" s="6"/>
      <c r="D186" s="6"/>
      <c r="E186" s="6"/>
      <c r="F186" s="6"/>
      <c r="G186" s="6"/>
      <c r="H186" s="6"/>
    </row>
    <row r="187" spans="1:8" ht="15.6">
      <c r="A187" s="6"/>
      <c r="B187" s="6"/>
      <c r="C187" s="6"/>
      <c r="D187" s="6"/>
      <c r="E187" s="6"/>
      <c r="F187" s="6"/>
      <c r="G187" s="6"/>
      <c r="H187" s="6"/>
    </row>
    <row r="188" spans="1:8" ht="15.6">
      <c r="A188" s="6"/>
      <c r="B188" s="6"/>
      <c r="C188" s="6"/>
      <c r="D188" s="6"/>
      <c r="E188" s="6"/>
      <c r="F188" s="6"/>
      <c r="G188" s="6"/>
      <c r="H188" s="6"/>
    </row>
    <row r="189" spans="1:8" ht="15.6">
      <c r="A189" s="6"/>
      <c r="B189" s="6"/>
      <c r="C189" s="6"/>
      <c r="D189" s="6"/>
      <c r="E189" s="6"/>
      <c r="F189" s="6"/>
      <c r="G189" s="6"/>
      <c r="H189" s="6"/>
    </row>
    <row r="190" spans="1:8" ht="15.6">
      <c r="A190" s="6"/>
      <c r="B190" s="6"/>
      <c r="C190" s="6"/>
      <c r="D190" s="6"/>
      <c r="E190" s="6"/>
      <c r="F190" s="6"/>
      <c r="G190" s="6"/>
      <c r="H190" s="6"/>
    </row>
    <row r="191" spans="1:8" ht="15.6">
      <c r="A191" s="6"/>
      <c r="B191" s="6"/>
      <c r="C191" s="6"/>
      <c r="D191" s="6"/>
      <c r="E191" s="6"/>
      <c r="F191" s="6"/>
      <c r="G191" s="6"/>
      <c r="H191" s="6"/>
    </row>
    <row r="192" spans="1:8" ht="15.6">
      <c r="A192" s="6"/>
      <c r="B192" s="6"/>
      <c r="C192" s="6"/>
      <c r="D192" s="6"/>
      <c r="E192" s="6"/>
      <c r="F192" s="6"/>
      <c r="G192" s="6"/>
      <c r="H192" s="6"/>
    </row>
    <row r="193" spans="1:8" ht="15.6">
      <c r="A193" s="6"/>
      <c r="B193" s="6"/>
      <c r="C193" s="6"/>
      <c r="D193" s="6"/>
      <c r="E193" s="6"/>
      <c r="F193" s="6"/>
      <c r="G193" s="6"/>
      <c r="H193" s="6"/>
    </row>
    <row r="194" spans="1:8" ht="15.6">
      <c r="A194" s="6"/>
      <c r="B194" s="6"/>
      <c r="C194" s="6"/>
      <c r="D194" s="6"/>
      <c r="E194" s="6"/>
      <c r="F194" s="6"/>
      <c r="G194" s="6"/>
      <c r="H194" s="6"/>
    </row>
    <row r="195" spans="1:8" ht="15.6">
      <c r="A195" s="6"/>
      <c r="B195" s="6"/>
      <c r="C195" s="6"/>
      <c r="D195" s="6"/>
      <c r="E195" s="6"/>
      <c r="F195" s="6"/>
      <c r="G195" s="6"/>
      <c r="H195" s="6"/>
    </row>
    <row r="196" spans="1:8" ht="15.6">
      <c r="A196" s="6"/>
      <c r="B196" s="6"/>
      <c r="C196" s="6"/>
      <c r="D196" s="6"/>
      <c r="E196" s="6"/>
      <c r="F196" s="6"/>
      <c r="G196" s="6"/>
      <c r="H196" s="6"/>
    </row>
    <row r="197" spans="1:8" ht="15.6">
      <c r="A197" s="6"/>
      <c r="B197" s="6"/>
      <c r="C197" s="6"/>
      <c r="D197" s="6"/>
      <c r="E197" s="6"/>
      <c r="F197" s="6"/>
      <c r="G197" s="6"/>
      <c r="H197" s="6"/>
    </row>
    <row r="198" spans="1:8" ht="15.6">
      <c r="A198" s="6"/>
      <c r="B198" s="6"/>
      <c r="C198" s="6"/>
      <c r="D198" s="6"/>
      <c r="E198" s="6"/>
      <c r="F198" s="6"/>
      <c r="G198" s="6"/>
      <c r="H198" s="6"/>
    </row>
    <row r="199" spans="1:8" ht="15.6">
      <c r="A199" s="6"/>
      <c r="B199" s="6"/>
      <c r="C199" s="6"/>
      <c r="D199" s="6"/>
      <c r="E199" s="6"/>
      <c r="F199" s="6"/>
      <c r="G199" s="6"/>
      <c r="H199" s="6"/>
    </row>
    <row r="200" spans="1:8" ht="15.6">
      <c r="A200" s="6"/>
      <c r="B200" s="6"/>
      <c r="C200" s="6"/>
      <c r="D200" s="6"/>
      <c r="E200" s="6"/>
      <c r="F200" s="6"/>
      <c r="G200" s="6"/>
      <c r="H200" s="6"/>
    </row>
    <row r="201" spans="1:8" ht="15.6">
      <c r="A201" s="6"/>
      <c r="B201" s="6"/>
      <c r="C201" s="6"/>
      <c r="D201" s="6"/>
      <c r="E201" s="6"/>
      <c r="F201" s="6"/>
      <c r="G201" s="6"/>
      <c r="H201" s="6"/>
    </row>
    <row r="202" spans="1:8" ht="15.6">
      <c r="A202" s="6"/>
      <c r="B202" s="6"/>
      <c r="C202" s="6"/>
      <c r="D202" s="6"/>
      <c r="E202" s="6"/>
      <c r="F202" s="6"/>
      <c r="G202" s="6"/>
      <c r="H202" s="6"/>
    </row>
    <row r="203" spans="1:8" ht="15.6">
      <c r="A203" s="6"/>
      <c r="B203" s="6"/>
      <c r="C203" s="6"/>
      <c r="D203" s="6"/>
      <c r="E203" s="6"/>
      <c r="F203" s="6"/>
      <c r="G203" s="6"/>
      <c r="H203" s="6"/>
    </row>
    <row r="204" spans="1:8" ht="15.6">
      <c r="A204" s="6"/>
      <c r="B204" s="6"/>
      <c r="C204" s="6"/>
      <c r="D204" s="6"/>
      <c r="E204" s="6"/>
      <c r="F204" s="6"/>
      <c r="G204" s="6"/>
      <c r="H204" s="6"/>
    </row>
    <row r="205" spans="1:8" ht="15.6">
      <c r="A205" s="6"/>
      <c r="B205" s="6"/>
      <c r="C205" s="6"/>
      <c r="D205" s="6"/>
      <c r="E205" s="6"/>
      <c r="F205" s="6"/>
      <c r="G205" s="6"/>
      <c r="H205" s="6"/>
    </row>
    <row r="206" spans="1:8" ht="15.6">
      <c r="A206" s="6"/>
      <c r="B206" s="6"/>
      <c r="C206" s="6"/>
      <c r="D206" s="6"/>
      <c r="E206" s="6"/>
      <c r="F206" s="6"/>
      <c r="G206" s="6"/>
      <c r="H206" s="6"/>
    </row>
    <row r="207" spans="1:8" ht="15.6">
      <c r="A207" s="6"/>
      <c r="B207" s="6"/>
      <c r="C207" s="6"/>
      <c r="D207" s="6"/>
      <c r="E207" s="6"/>
      <c r="F207" s="6"/>
      <c r="G207" s="6"/>
      <c r="H207" s="6"/>
    </row>
    <row r="208" spans="1:8" ht="15.6">
      <c r="A208" s="6"/>
      <c r="B208" s="6"/>
      <c r="C208" s="6"/>
      <c r="D208" s="6"/>
      <c r="E208" s="6"/>
      <c r="F208" s="6"/>
      <c r="G208" s="6"/>
      <c r="H208" s="6"/>
    </row>
    <row r="209" spans="1:8" ht="15.6">
      <c r="A209" s="6"/>
      <c r="B209" s="6"/>
      <c r="C209" s="6"/>
      <c r="D209" s="6"/>
      <c r="E209" s="6"/>
      <c r="F209" s="6"/>
      <c r="G209" s="6"/>
      <c r="H209" s="6"/>
    </row>
    <row r="210" spans="1:8" ht="15.6">
      <c r="A210" s="6"/>
      <c r="B210" s="6"/>
      <c r="C210" s="6"/>
      <c r="D210" s="6"/>
      <c r="E210" s="6"/>
      <c r="F210" s="6"/>
      <c r="G210" s="6"/>
      <c r="H210" s="6"/>
    </row>
    <row r="211" spans="1:8" ht="15.6">
      <c r="A211" s="6"/>
      <c r="B211" s="6"/>
      <c r="C211" s="6"/>
      <c r="D211" s="6"/>
      <c r="E211" s="6"/>
      <c r="F211" s="6"/>
      <c r="G211" s="6"/>
      <c r="H211" s="6"/>
    </row>
    <row r="212" spans="1:8" ht="15.6">
      <c r="A212" s="6"/>
      <c r="B212" s="6"/>
      <c r="C212" s="6"/>
      <c r="D212" s="6"/>
      <c r="E212" s="6"/>
      <c r="F212" s="6"/>
      <c r="G212" s="6"/>
      <c r="H212" s="6"/>
    </row>
    <row r="213" spans="1:8" ht="15.6">
      <c r="A213" s="6"/>
      <c r="B213" s="6"/>
      <c r="C213" s="6"/>
      <c r="D213" s="6"/>
      <c r="E213" s="6"/>
      <c r="F213" s="6"/>
      <c r="G213" s="6"/>
      <c r="H213" s="6"/>
    </row>
    <row r="214" spans="1:8" ht="15.6">
      <c r="A214" s="6"/>
      <c r="B214" s="6"/>
      <c r="C214" s="6"/>
      <c r="D214" s="6"/>
      <c r="E214" s="6"/>
      <c r="F214" s="6"/>
      <c r="G214" s="6"/>
      <c r="H214" s="6"/>
    </row>
    <row r="215" spans="1:8" ht="15.6">
      <c r="A215" s="6"/>
      <c r="B215" s="6"/>
      <c r="C215" s="6"/>
      <c r="D215" s="6"/>
      <c r="E215" s="6"/>
      <c r="F215" s="6"/>
      <c r="G215" s="6"/>
      <c r="H215" s="6"/>
    </row>
    <row r="216" spans="1:8" ht="15.6">
      <c r="A216" s="6"/>
      <c r="B216" s="6"/>
      <c r="C216" s="6"/>
      <c r="D216" s="6"/>
      <c r="E216" s="6"/>
      <c r="F216" s="6"/>
      <c r="G216" s="6"/>
      <c r="H216" s="6"/>
    </row>
    <row r="217" spans="1:8" ht="15.6">
      <c r="A217" s="6"/>
      <c r="B217" s="6"/>
      <c r="C217" s="6"/>
      <c r="D217" s="6"/>
      <c r="E217" s="6"/>
      <c r="F217" s="6"/>
      <c r="G217" s="6"/>
      <c r="H217" s="6"/>
    </row>
    <row r="218" spans="1:8" ht="15.6">
      <c r="A218" s="6"/>
      <c r="B218" s="6"/>
      <c r="C218" s="6"/>
      <c r="D218" s="6"/>
      <c r="E218" s="6"/>
      <c r="F218" s="6"/>
      <c r="G218" s="6"/>
      <c r="H218" s="6"/>
    </row>
    <row r="219" spans="1:8" ht="15.6">
      <c r="A219" s="6"/>
      <c r="B219" s="6"/>
      <c r="C219" s="6"/>
      <c r="D219" s="6"/>
      <c r="E219" s="6"/>
      <c r="F219" s="6"/>
      <c r="G219" s="6"/>
      <c r="H219" s="6"/>
    </row>
    <row r="220" spans="1:8" ht="15.6">
      <c r="A220" s="6"/>
      <c r="B220" s="6"/>
      <c r="C220" s="6"/>
      <c r="D220" s="6"/>
      <c r="E220" s="6"/>
      <c r="F220" s="6"/>
      <c r="G220" s="6"/>
      <c r="H220" s="6"/>
    </row>
    <row r="221" spans="1:8" ht="15.6">
      <c r="A221" s="6"/>
      <c r="B221" s="6"/>
      <c r="C221" s="6"/>
      <c r="D221" s="6"/>
      <c r="E221" s="6"/>
      <c r="F221" s="6"/>
      <c r="G221" s="6"/>
      <c r="H221" s="6"/>
    </row>
    <row r="222" spans="1:8" ht="15.6">
      <c r="A222" s="6"/>
      <c r="B222" s="6"/>
      <c r="C222" s="6"/>
      <c r="D222" s="6"/>
      <c r="E222" s="6"/>
      <c r="F222" s="6"/>
      <c r="G222" s="6"/>
      <c r="H222" s="6"/>
    </row>
    <row r="223" spans="1:8" ht="15.6">
      <c r="A223" s="6"/>
      <c r="B223" s="6"/>
      <c r="C223" s="6"/>
      <c r="D223" s="6"/>
      <c r="E223" s="6"/>
      <c r="F223" s="6"/>
      <c r="G223" s="6"/>
      <c r="H223" s="6"/>
    </row>
    <row r="224" spans="1:8" ht="15.6">
      <c r="A224" s="6"/>
      <c r="B224" s="6"/>
      <c r="C224" s="6"/>
      <c r="D224" s="6"/>
      <c r="E224" s="6"/>
      <c r="F224" s="6"/>
      <c r="G224" s="6"/>
      <c r="H224" s="6"/>
    </row>
    <row r="225" spans="1:8" ht="15.6">
      <c r="A225" s="6"/>
      <c r="B225" s="6"/>
      <c r="C225" s="6"/>
      <c r="D225" s="6"/>
      <c r="E225" s="6"/>
      <c r="F225" s="6"/>
      <c r="G225" s="6"/>
      <c r="H225" s="6"/>
    </row>
    <row r="226" spans="1:8" ht="15.6">
      <c r="A226" s="6"/>
      <c r="B226" s="6"/>
      <c r="C226" s="6"/>
      <c r="D226" s="6"/>
      <c r="E226" s="6"/>
      <c r="F226" s="6"/>
      <c r="G226" s="6"/>
      <c r="H226" s="6"/>
    </row>
    <row r="227" spans="1:8" ht="15.6">
      <c r="A227" s="6"/>
      <c r="B227" s="6"/>
      <c r="C227" s="6"/>
      <c r="D227" s="6"/>
      <c r="E227" s="6"/>
      <c r="F227" s="6"/>
      <c r="G227" s="6"/>
      <c r="H227" s="6"/>
    </row>
    <row r="228" spans="1:8" ht="15.6">
      <c r="A228" s="6"/>
      <c r="B228" s="6"/>
      <c r="C228" s="6"/>
      <c r="D228" s="6"/>
      <c r="E228" s="6"/>
      <c r="F228" s="6"/>
      <c r="G228" s="6"/>
      <c r="H228" s="6"/>
    </row>
    <row r="229" spans="1:8" ht="15.6">
      <c r="A229" s="6"/>
      <c r="B229" s="6"/>
      <c r="C229" s="6"/>
      <c r="D229" s="6"/>
      <c r="E229" s="6"/>
      <c r="F229" s="6"/>
      <c r="G229" s="6"/>
      <c r="H229" s="6"/>
    </row>
    <row r="230" spans="1:8" ht="15.6">
      <c r="A230" s="6"/>
      <c r="B230" s="6"/>
      <c r="C230" s="6"/>
      <c r="D230" s="6"/>
      <c r="E230" s="6"/>
      <c r="F230" s="6"/>
      <c r="G230" s="6"/>
      <c r="H230" s="6"/>
    </row>
    <row r="231" spans="1:8" ht="15.6">
      <c r="A231" s="6"/>
      <c r="B231" s="6"/>
      <c r="C231" s="6"/>
      <c r="D231" s="6"/>
      <c r="E231" s="6"/>
      <c r="F231" s="6"/>
      <c r="G231" s="6"/>
      <c r="H231" s="6"/>
    </row>
    <row r="232" spans="1:8" ht="15.6">
      <c r="A232" s="6"/>
      <c r="B232" s="6"/>
      <c r="C232" s="6"/>
      <c r="D232" s="6"/>
      <c r="E232" s="6"/>
      <c r="F232" s="6"/>
      <c r="G232" s="6"/>
      <c r="H232" s="6"/>
    </row>
    <row r="233" spans="1:8" ht="15.6">
      <c r="A233" s="6"/>
      <c r="B233" s="6"/>
      <c r="C233" s="6"/>
      <c r="D233" s="6"/>
      <c r="E233" s="6"/>
      <c r="F233" s="6"/>
      <c r="G233" s="6"/>
      <c r="H233" s="6"/>
    </row>
    <row r="234" spans="1:8" ht="15.6">
      <c r="A234" s="6"/>
      <c r="B234" s="6"/>
      <c r="C234" s="6"/>
      <c r="D234" s="6"/>
      <c r="E234" s="6"/>
      <c r="F234" s="6"/>
      <c r="G234" s="6"/>
      <c r="H234" s="6"/>
    </row>
    <row r="235" spans="1:8" ht="15.6">
      <c r="A235" s="6"/>
      <c r="B235" s="6"/>
      <c r="C235" s="6"/>
      <c r="D235" s="6"/>
      <c r="E235" s="6"/>
      <c r="F235" s="6"/>
      <c r="G235" s="6"/>
      <c r="H235" s="6"/>
    </row>
    <row r="236" spans="1:8" ht="15.6">
      <c r="A236" s="6"/>
      <c r="B236" s="6"/>
      <c r="C236" s="6"/>
      <c r="D236" s="6"/>
      <c r="E236" s="6"/>
      <c r="F236" s="6"/>
      <c r="G236" s="6"/>
      <c r="H236" s="6"/>
    </row>
    <row r="237" spans="1:8" ht="15.6">
      <c r="A237" s="6"/>
      <c r="B237" s="6"/>
      <c r="C237" s="6"/>
      <c r="D237" s="6"/>
      <c r="E237" s="6"/>
      <c r="F237" s="6"/>
      <c r="G237" s="6"/>
      <c r="H237" s="6"/>
    </row>
    <row r="238" spans="1:8" ht="15.6">
      <c r="A238" s="6"/>
      <c r="B238" s="6"/>
      <c r="C238" s="6"/>
      <c r="D238" s="6"/>
      <c r="E238" s="6"/>
      <c r="F238" s="6"/>
      <c r="G238" s="6"/>
      <c r="H238" s="6"/>
    </row>
    <row r="239" spans="1:8" ht="15.6">
      <c r="A239" s="6"/>
      <c r="B239" s="6"/>
      <c r="C239" s="6"/>
      <c r="D239" s="6"/>
      <c r="E239" s="6"/>
      <c r="F239" s="6"/>
      <c r="G239" s="6"/>
      <c r="H239" s="6"/>
    </row>
    <row r="240" spans="1:8" ht="15.6">
      <c r="A240" s="6"/>
      <c r="B240" s="6"/>
      <c r="C240" s="6"/>
      <c r="D240" s="6"/>
      <c r="E240" s="6"/>
      <c r="F240" s="6"/>
      <c r="G240" s="6"/>
      <c r="H240" s="6"/>
    </row>
    <row r="241" spans="1:8" ht="15.6">
      <c r="A241" s="6"/>
      <c r="B241" s="6"/>
      <c r="C241" s="6"/>
      <c r="D241" s="6"/>
      <c r="E241" s="6"/>
      <c r="F241" s="6"/>
      <c r="G241" s="6"/>
      <c r="H241" s="6"/>
    </row>
    <row r="242" spans="1:8" ht="15.6">
      <c r="A242" s="6"/>
      <c r="B242" s="6"/>
      <c r="C242" s="6"/>
      <c r="D242" s="6"/>
      <c r="E242" s="6"/>
      <c r="F242" s="6"/>
      <c r="G242" s="6"/>
      <c r="H242" s="6"/>
    </row>
    <row r="243" spans="1:8" ht="15.6">
      <c r="A243" s="6"/>
      <c r="B243" s="6"/>
      <c r="C243" s="6"/>
      <c r="D243" s="6"/>
      <c r="E243" s="6"/>
      <c r="F243" s="6"/>
      <c r="G243" s="6"/>
      <c r="H243" s="6"/>
    </row>
    <row r="244" spans="1:8" ht="15.6">
      <c r="A244" s="6"/>
      <c r="B244" s="6"/>
      <c r="C244" s="6"/>
      <c r="D244" s="6"/>
      <c r="E244" s="6"/>
      <c r="F244" s="6"/>
      <c r="G244" s="6"/>
      <c r="H244" s="6"/>
    </row>
    <row r="245" spans="1:8" ht="15.6">
      <c r="A245" s="6"/>
      <c r="B245" s="6"/>
      <c r="C245" s="6"/>
      <c r="D245" s="6"/>
      <c r="E245" s="6"/>
      <c r="F245" s="6"/>
      <c r="G245" s="6"/>
      <c r="H245" s="6"/>
    </row>
    <row r="246" spans="1:8" ht="15.6">
      <c r="A246" s="6"/>
      <c r="B246" s="6"/>
      <c r="C246" s="6"/>
      <c r="D246" s="6"/>
      <c r="E246" s="6"/>
      <c r="F246" s="6"/>
      <c r="G246" s="6"/>
      <c r="H246" s="6"/>
    </row>
    <row r="247" spans="1:8" ht="15.6">
      <c r="A247" s="6"/>
      <c r="B247" s="6"/>
      <c r="C247" s="6"/>
      <c r="D247" s="6"/>
      <c r="E247" s="6"/>
      <c r="F247" s="6"/>
      <c r="G247" s="6"/>
      <c r="H247" s="6"/>
    </row>
    <row r="248" spans="1:8" ht="15.6">
      <c r="A248" s="6"/>
      <c r="B248" s="6"/>
      <c r="C248" s="6"/>
      <c r="D248" s="6"/>
      <c r="E248" s="6"/>
      <c r="F248" s="6"/>
      <c r="G248" s="6"/>
      <c r="H248" s="6"/>
    </row>
    <row r="249" spans="1:8" ht="15.6">
      <c r="A249" s="6"/>
      <c r="B249" s="6"/>
      <c r="C249" s="6"/>
      <c r="D249" s="6"/>
      <c r="E249" s="6"/>
      <c r="F249" s="6"/>
      <c r="G249" s="6"/>
      <c r="H249" s="6"/>
    </row>
    <row r="250" spans="1:8" ht="15.6">
      <c r="A250" s="6"/>
      <c r="B250" s="6"/>
      <c r="C250" s="6"/>
      <c r="D250" s="6"/>
      <c r="E250" s="6"/>
      <c r="F250" s="6"/>
      <c r="G250" s="6"/>
      <c r="H250" s="6"/>
    </row>
    <row r="251" spans="1:8" ht="15.6">
      <c r="A251" s="6"/>
      <c r="B251" s="6"/>
      <c r="C251" s="6"/>
      <c r="D251" s="6"/>
      <c r="E251" s="6"/>
      <c r="F251" s="6"/>
      <c r="G251" s="6"/>
      <c r="H251" s="6"/>
    </row>
    <row r="252" spans="1:8" ht="15.6">
      <c r="A252" s="6"/>
      <c r="B252" s="6"/>
      <c r="C252" s="6"/>
      <c r="D252" s="6"/>
      <c r="E252" s="6"/>
      <c r="F252" s="6"/>
      <c r="G252" s="6"/>
      <c r="H252" s="6"/>
    </row>
    <row r="253" spans="1:8" ht="15.6">
      <c r="A253" s="6"/>
      <c r="B253" s="6"/>
      <c r="C253" s="6"/>
      <c r="D253" s="6"/>
      <c r="E253" s="6"/>
      <c r="F253" s="6"/>
      <c r="G253" s="6"/>
      <c r="H253" s="6"/>
    </row>
    <row r="254" spans="1:8" ht="15.6">
      <c r="A254" s="6"/>
      <c r="B254" s="6"/>
      <c r="C254" s="6"/>
      <c r="D254" s="6"/>
      <c r="E254" s="6"/>
      <c r="F254" s="6"/>
      <c r="G254" s="6"/>
      <c r="H254" s="6"/>
    </row>
    <row r="255" spans="1:8" ht="15.6">
      <c r="A255" s="6"/>
      <c r="B255" s="6"/>
      <c r="C255" s="6"/>
      <c r="D255" s="6"/>
      <c r="E255" s="6"/>
      <c r="F255" s="6"/>
      <c r="G255" s="6"/>
      <c r="H255" s="6"/>
    </row>
    <row r="256" spans="1:8" ht="15.6">
      <c r="A256" s="6"/>
      <c r="B256" s="6"/>
      <c r="C256" s="6"/>
      <c r="D256" s="6"/>
      <c r="E256" s="6"/>
      <c r="F256" s="6"/>
      <c r="G256" s="6"/>
      <c r="H256" s="6"/>
    </row>
    <row r="257" spans="1:8" ht="15.6">
      <c r="A257" s="6"/>
      <c r="B257" s="6"/>
      <c r="C257" s="6"/>
      <c r="D257" s="6"/>
      <c r="E257" s="6"/>
      <c r="F257" s="6"/>
      <c r="G257" s="6"/>
      <c r="H257" s="6"/>
    </row>
    <row r="258" spans="1:8" ht="15.6">
      <c r="A258" s="6"/>
      <c r="B258" s="6"/>
      <c r="C258" s="6"/>
      <c r="D258" s="6"/>
      <c r="E258" s="6"/>
      <c r="F258" s="6"/>
      <c r="G258" s="6"/>
      <c r="H258" s="6"/>
    </row>
    <row r="259" spans="1:8" ht="15.6">
      <c r="A259" s="6"/>
      <c r="B259" s="6"/>
      <c r="C259" s="6"/>
      <c r="D259" s="6"/>
      <c r="E259" s="6"/>
      <c r="F259" s="6"/>
      <c r="G259" s="6"/>
      <c r="H259" s="6"/>
    </row>
    <row r="260" spans="1:8" ht="15.6">
      <c r="A260" s="6"/>
      <c r="B260" s="6"/>
      <c r="C260" s="6"/>
      <c r="D260" s="6"/>
      <c r="E260" s="6"/>
      <c r="F260" s="6"/>
      <c r="G260" s="6"/>
      <c r="H260" s="6"/>
    </row>
    <row r="261" spans="1:8" ht="15.6">
      <c r="A261" s="6"/>
      <c r="B261" s="6"/>
      <c r="C261" s="6"/>
      <c r="D261" s="6"/>
      <c r="E261" s="6"/>
      <c r="F261" s="6"/>
      <c r="G261" s="6"/>
      <c r="H261" s="6"/>
    </row>
    <row r="262" spans="1:8" ht="15.6">
      <c r="A262" s="6"/>
      <c r="B262" s="6"/>
      <c r="C262" s="6"/>
      <c r="D262" s="6"/>
      <c r="E262" s="6"/>
      <c r="F262" s="6"/>
      <c r="G262" s="6"/>
      <c r="H262" s="6"/>
    </row>
    <row r="263" spans="1:8" ht="15.6">
      <c r="A263" s="6"/>
      <c r="B263" s="6"/>
      <c r="C263" s="6"/>
      <c r="D263" s="6"/>
      <c r="E263" s="6"/>
      <c r="F263" s="6"/>
      <c r="G263" s="6"/>
      <c r="H263" s="6"/>
    </row>
    <row r="264" spans="1:8" ht="15.6">
      <c r="A264" s="6"/>
      <c r="B264" s="6"/>
      <c r="C264" s="6"/>
      <c r="D264" s="6"/>
      <c r="E264" s="6"/>
      <c r="F264" s="6"/>
      <c r="G264" s="6"/>
      <c r="H264" s="6"/>
    </row>
    <row r="265" spans="1:8" ht="15.6">
      <c r="A265" s="6"/>
      <c r="B265" s="6"/>
      <c r="C265" s="6"/>
      <c r="D265" s="6"/>
      <c r="E265" s="6"/>
      <c r="F265" s="6"/>
      <c r="G265" s="6"/>
      <c r="H265" s="6"/>
    </row>
    <row r="266" spans="1:8" ht="15.6">
      <c r="A266" s="6"/>
      <c r="B266" s="6"/>
      <c r="C266" s="6"/>
      <c r="D266" s="6"/>
      <c r="E266" s="6"/>
      <c r="F266" s="6"/>
      <c r="G266" s="6"/>
      <c r="H266" s="6"/>
    </row>
    <row r="267" spans="1:8" ht="15.6">
      <c r="A267" s="6"/>
      <c r="B267" s="6"/>
      <c r="C267" s="6"/>
      <c r="D267" s="6"/>
      <c r="E267" s="6"/>
      <c r="F267" s="6"/>
      <c r="G267" s="6"/>
      <c r="H267" s="6"/>
    </row>
    <row r="268" spans="1:8" ht="15.6">
      <c r="A268" s="6"/>
      <c r="B268" s="6"/>
      <c r="C268" s="6"/>
      <c r="D268" s="6"/>
      <c r="E268" s="6"/>
      <c r="F268" s="6"/>
      <c r="G268" s="6"/>
      <c r="H268" s="6"/>
    </row>
    <row r="269" spans="1:8" ht="15.6">
      <c r="A269" s="6"/>
      <c r="B269" s="6"/>
      <c r="C269" s="6"/>
      <c r="D269" s="6"/>
      <c r="E269" s="6"/>
      <c r="F269" s="6"/>
      <c r="G269" s="6"/>
      <c r="H269" s="6"/>
    </row>
    <row r="270" spans="1:8" ht="15.6">
      <c r="A270" s="6"/>
      <c r="B270" s="6"/>
      <c r="C270" s="6"/>
      <c r="D270" s="6"/>
      <c r="E270" s="6"/>
      <c r="F270" s="6"/>
      <c r="G270" s="6"/>
      <c r="H270" s="6"/>
    </row>
    <row r="271" spans="1:8" ht="15.6">
      <c r="A271" s="6"/>
      <c r="B271" s="6"/>
      <c r="C271" s="6"/>
      <c r="D271" s="6"/>
      <c r="E271" s="6"/>
      <c r="F271" s="6"/>
      <c r="G271" s="6"/>
      <c r="H271" s="6"/>
    </row>
    <row r="272" spans="1:8" ht="15.6">
      <c r="A272" s="6"/>
      <c r="B272" s="6"/>
      <c r="C272" s="6"/>
      <c r="D272" s="6"/>
      <c r="E272" s="6"/>
      <c r="F272" s="6"/>
      <c r="G272" s="6"/>
      <c r="H272" s="6"/>
    </row>
    <row r="273" spans="1:8" ht="15.6">
      <c r="A273" s="6"/>
      <c r="B273" s="6"/>
      <c r="C273" s="6"/>
      <c r="D273" s="6"/>
      <c r="E273" s="6"/>
      <c r="F273" s="6"/>
      <c r="G273" s="6"/>
      <c r="H273" s="6"/>
    </row>
    <row r="274" spans="1:8" ht="15.6">
      <c r="A274" s="6"/>
      <c r="B274" s="6"/>
      <c r="C274" s="6"/>
      <c r="D274" s="6"/>
      <c r="E274" s="6"/>
      <c r="F274" s="6"/>
      <c r="G274" s="6"/>
      <c r="H274" s="6"/>
    </row>
    <row r="275" spans="1:8" ht="15.6">
      <c r="A275" s="6"/>
      <c r="B275" s="6"/>
      <c r="C275" s="6"/>
      <c r="D275" s="6"/>
      <c r="E275" s="6"/>
      <c r="F275" s="6"/>
      <c r="G275" s="6"/>
      <c r="H275" s="6"/>
    </row>
    <row r="276" spans="1:8" ht="15.6">
      <c r="A276" s="6"/>
      <c r="B276" s="6"/>
      <c r="C276" s="6"/>
      <c r="D276" s="6"/>
      <c r="E276" s="6"/>
      <c r="F276" s="6"/>
      <c r="G276" s="6"/>
      <c r="H276" s="6"/>
    </row>
    <row r="277" spans="1:8" ht="15.6">
      <c r="A277" s="6"/>
      <c r="B277" s="6"/>
      <c r="C277" s="6"/>
      <c r="D277" s="6"/>
      <c r="E277" s="6"/>
      <c r="F277" s="6"/>
      <c r="G277" s="6"/>
      <c r="H277" s="6"/>
    </row>
    <row r="278" spans="1:8" ht="15.6">
      <c r="A278" s="6"/>
      <c r="B278" s="6"/>
      <c r="C278" s="6"/>
      <c r="D278" s="6"/>
      <c r="E278" s="6"/>
      <c r="F278" s="6"/>
      <c r="G278" s="6"/>
      <c r="H278" s="6"/>
    </row>
    <row r="279" spans="1:8" ht="15.6">
      <c r="A279" s="6"/>
      <c r="B279" s="6"/>
      <c r="C279" s="6"/>
      <c r="D279" s="6"/>
      <c r="E279" s="6"/>
      <c r="F279" s="6"/>
      <c r="G279" s="6"/>
      <c r="H279" s="6"/>
    </row>
    <row r="280" spans="1:8" ht="15.6">
      <c r="A280" s="6"/>
      <c r="B280" s="6"/>
      <c r="C280" s="6"/>
      <c r="D280" s="6"/>
      <c r="E280" s="6"/>
      <c r="F280" s="6"/>
      <c r="G280" s="6"/>
      <c r="H280" s="6"/>
    </row>
    <row r="281" spans="1:8" ht="15.6">
      <c r="A281" s="6"/>
      <c r="B281" s="6"/>
      <c r="C281" s="6"/>
      <c r="D281" s="6"/>
      <c r="E281" s="6"/>
      <c r="F281" s="6"/>
      <c r="G281" s="6"/>
      <c r="H281" s="6"/>
    </row>
    <row r="282" spans="1:8" ht="15.6">
      <c r="A282" s="6"/>
      <c r="B282" s="6"/>
      <c r="C282" s="6"/>
      <c r="D282" s="6"/>
      <c r="E282" s="6"/>
      <c r="F282" s="6"/>
      <c r="G282" s="6"/>
      <c r="H282" s="6"/>
    </row>
    <row r="283" spans="1:8" ht="15.6">
      <c r="A283" s="6"/>
      <c r="B283" s="6"/>
      <c r="C283" s="6"/>
      <c r="D283" s="6"/>
      <c r="E283" s="6"/>
      <c r="F283" s="6"/>
      <c r="G283" s="6"/>
      <c r="H283" s="6"/>
    </row>
    <row r="284" spans="1:8" ht="15.6">
      <c r="A284" s="6"/>
      <c r="B284" s="6"/>
      <c r="C284" s="6"/>
      <c r="D284" s="6"/>
      <c r="E284" s="6"/>
      <c r="F284" s="6"/>
      <c r="G284" s="6"/>
      <c r="H284" s="6"/>
    </row>
    <row r="285" spans="1:8" ht="15.6">
      <c r="A285" s="6"/>
      <c r="B285" s="6"/>
      <c r="C285" s="6"/>
      <c r="D285" s="6"/>
      <c r="E285" s="6"/>
      <c r="F285" s="6"/>
      <c r="G285" s="6"/>
      <c r="H285" s="6"/>
    </row>
    <row r="286" spans="1:8" ht="15.6">
      <c r="A286" s="6"/>
      <c r="B286" s="6"/>
      <c r="C286" s="6"/>
      <c r="D286" s="6"/>
      <c r="E286" s="6"/>
      <c r="F286" s="6"/>
      <c r="G286" s="6"/>
      <c r="H286" s="6"/>
    </row>
    <row r="287" spans="1:8" ht="15.6">
      <c r="A287" s="6"/>
      <c r="B287" s="6"/>
      <c r="C287" s="6"/>
      <c r="D287" s="6"/>
      <c r="E287" s="6"/>
      <c r="F287" s="6"/>
      <c r="G287" s="6"/>
      <c r="H287" s="6"/>
    </row>
    <row r="288" spans="1:8" ht="15.6">
      <c r="A288" s="6"/>
      <c r="B288" s="6"/>
      <c r="C288" s="6"/>
      <c r="D288" s="6"/>
      <c r="E288" s="6"/>
      <c r="F288" s="6"/>
      <c r="G288" s="6"/>
      <c r="H288" s="6"/>
    </row>
    <row r="289" spans="1:8" ht="15.6">
      <c r="A289" s="6"/>
      <c r="B289" s="6"/>
      <c r="C289" s="6"/>
      <c r="D289" s="6"/>
      <c r="E289" s="6"/>
      <c r="F289" s="6"/>
      <c r="G289" s="6"/>
      <c r="H289" s="6"/>
    </row>
    <row r="290" spans="1:8" ht="15.6">
      <c r="A290" s="6"/>
      <c r="B290" s="6"/>
      <c r="C290" s="6"/>
      <c r="D290" s="6"/>
      <c r="E290" s="6"/>
      <c r="F290" s="6"/>
      <c r="G290" s="6"/>
      <c r="H290" s="6"/>
    </row>
    <row r="291" spans="1:8" ht="15.6">
      <c r="A291" s="6"/>
      <c r="B291" s="6"/>
      <c r="C291" s="6"/>
      <c r="D291" s="6"/>
      <c r="E291" s="6"/>
      <c r="F291" s="6"/>
      <c r="G291" s="6"/>
      <c r="H291" s="6"/>
    </row>
    <row r="292" spans="1:8" ht="15.6">
      <c r="A292" s="6"/>
      <c r="B292" s="6"/>
      <c r="C292" s="6"/>
      <c r="D292" s="6"/>
      <c r="E292" s="6"/>
      <c r="F292" s="6"/>
      <c r="G292" s="6"/>
      <c r="H292" s="6"/>
    </row>
    <row r="293" spans="1:8" ht="15.6">
      <c r="A293" s="6"/>
      <c r="B293" s="6"/>
      <c r="C293" s="6"/>
      <c r="D293" s="6"/>
      <c r="E293" s="6"/>
      <c r="F293" s="6"/>
      <c r="G293" s="6"/>
      <c r="H293" s="6"/>
    </row>
    <row r="294" spans="1:8" ht="15.6">
      <c r="A294" s="6"/>
      <c r="B294" s="6"/>
      <c r="C294" s="6"/>
      <c r="D294" s="6"/>
      <c r="E294" s="6"/>
      <c r="F294" s="6"/>
      <c r="G294" s="6"/>
      <c r="H294" s="6"/>
    </row>
    <row r="295" spans="1:8" ht="15.6">
      <c r="A295" s="6"/>
      <c r="B295" s="6"/>
      <c r="C295" s="6"/>
      <c r="D295" s="6"/>
      <c r="E295" s="6"/>
      <c r="F295" s="6"/>
      <c r="G295" s="6"/>
      <c r="H295" s="6"/>
    </row>
    <row r="296" spans="1:8" ht="15.6">
      <c r="A296" s="6"/>
      <c r="B296" s="6"/>
      <c r="C296" s="6"/>
      <c r="D296" s="6"/>
      <c r="E296" s="6"/>
      <c r="F296" s="6"/>
      <c r="G296" s="6"/>
      <c r="H296" s="6"/>
    </row>
    <row r="297" spans="1:8" ht="15.6">
      <c r="A297" s="6"/>
      <c r="B297" s="6"/>
      <c r="C297" s="6"/>
      <c r="D297" s="6"/>
      <c r="E297" s="6"/>
      <c r="F297" s="6"/>
      <c r="G297" s="6"/>
      <c r="H297" s="6"/>
    </row>
    <row r="298" spans="1:8" ht="15.6">
      <c r="A298" s="6"/>
      <c r="B298" s="6"/>
      <c r="C298" s="6"/>
      <c r="D298" s="6"/>
      <c r="E298" s="6"/>
      <c r="F298" s="6"/>
      <c r="G298" s="6"/>
      <c r="H298" s="6"/>
    </row>
    <row r="299" spans="1:8" ht="15.6">
      <c r="A299" s="6"/>
      <c r="B299" s="6"/>
      <c r="C299" s="6"/>
      <c r="D299" s="6"/>
      <c r="E299" s="6"/>
      <c r="F299" s="6"/>
      <c r="G299" s="6"/>
      <c r="H299" s="6"/>
    </row>
    <row r="300" spans="1:8" ht="15.6">
      <c r="A300" s="6"/>
      <c r="B300" s="6"/>
      <c r="C300" s="6"/>
      <c r="D300" s="6"/>
      <c r="E300" s="6"/>
      <c r="F300" s="6"/>
      <c r="G300" s="6"/>
      <c r="H300" s="6"/>
    </row>
    <row r="301" spans="1:8" ht="15.6">
      <c r="A301" s="6"/>
      <c r="B301" s="6"/>
      <c r="C301" s="6"/>
      <c r="D301" s="6"/>
      <c r="E301" s="6"/>
      <c r="F301" s="6"/>
      <c r="G301" s="6"/>
      <c r="H301" s="6"/>
    </row>
    <row r="302" spans="1:8" ht="15.6">
      <c r="A302" s="6"/>
      <c r="B302" s="6"/>
      <c r="C302" s="6"/>
      <c r="D302" s="6"/>
      <c r="E302" s="6"/>
      <c r="F302" s="6"/>
      <c r="G302" s="6"/>
      <c r="H302" s="6"/>
    </row>
    <row r="303" spans="1:8" ht="15.6">
      <c r="A303" s="6"/>
      <c r="B303" s="6"/>
      <c r="C303" s="6"/>
      <c r="D303" s="6"/>
      <c r="E303" s="6"/>
      <c r="F303" s="6"/>
      <c r="G303" s="6"/>
      <c r="H303" s="6"/>
    </row>
    <row r="304" spans="1:8" ht="15.6">
      <c r="A304" s="6"/>
      <c r="B304" s="6"/>
      <c r="C304" s="6"/>
      <c r="D304" s="6"/>
      <c r="E304" s="6"/>
      <c r="F304" s="6"/>
      <c r="G304" s="6"/>
      <c r="H304" s="6"/>
    </row>
    <row r="305" spans="1:8" ht="15.6">
      <c r="A305" s="6"/>
      <c r="B305" s="6"/>
      <c r="C305" s="6"/>
      <c r="D305" s="6"/>
      <c r="E305" s="6"/>
      <c r="F305" s="6"/>
      <c r="G305" s="6"/>
      <c r="H305" s="6"/>
    </row>
    <row r="306" spans="1:8" ht="15.6">
      <c r="A306" s="6"/>
      <c r="B306" s="6"/>
      <c r="C306" s="6"/>
      <c r="D306" s="6"/>
      <c r="E306" s="6"/>
      <c r="F306" s="6"/>
      <c r="G306" s="6"/>
      <c r="H306" s="6"/>
    </row>
    <row r="307" spans="1:8" ht="15.6">
      <c r="A307" s="6"/>
      <c r="B307" s="6"/>
      <c r="C307" s="6"/>
      <c r="D307" s="6"/>
      <c r="E307" s="6"/>
      <c r="F307" s="6"/>
      <c r="G307" s="6"/>
      <c r="H307" s="6"/>
    </row>
    <row r="308" spans="1:8" ht="15.6">
      <c r="A308" s="6"/>
      <c r="B308" s="6"/>
      <c r="C308" s="6"/>
      <c r="D308" s="6"/>
      <c r="E308" s="6"/>
      <c r="F308" s="6"/>
      <c r="G308" s="6"/>
      <c r="H308" s="6"/>
    </row>
    <row r="309" spans="1:8" ht="15.6">
      <c r="A309" s="6"/>
      <c r="B309" s="6"/>
      <c r="C309" s="6"/>
      <c r="D309" s="6"/>
      <c r="E309" s="6"/>
      <c r="F309" s="6"/>
      <c r="G309" s="6"/>
      <c r="H309" s="6"/>
    </row>
    <row r="310" spans="1:8" ht="15.6">
      <c r="A310" s="6"/>
      <c r="B310" s="6"/>
      <c r="C310" s="6"/>
      <c r="D310" s="6"/>
      <c r="E310" s="6"/>
      <c r="F310" s="6"/>
      <c r="G310" s="6"/>
      <c r="H310" s="6"/>
    </row>
    <row r="311" spans="1:8" ht="15.6">
      <c r="A311" s="6"/>
      <c r="B311" s="6"/>
      <c r="C311" s="6"/>
      <c r="D311" s="6"/>
      <c r="E311" s="6"/>
      <c r="F311" s="6"/>
      <c r="G311" s="6"/>
      <c r="H311" s="6"/>
    </row>
    <row r="312" spans="1:8" ht="15.6">
      <c r="A312" s="6"/>
      <c r="B312" s="6"/>
      <c r="C312" s="6"/>
      <c r="D312" s="6"/>
      <c r="E312" s="6"/>
      <c r="F312" s="6"/>
      <c r="G312" s="6"/>
      <c r="H312" s="6"/>
    </row>
    <row r="313" spans="1:8" ht="15.6">
      <c r="A313" s="6"/>
      <c r="B313" s="6"/>
      <c r="C313" s="6"/>
      <c r="D313" s="6"/>
      <c r="E313" s="6"/>
      <c r="F313" s="6"/>
      <c r="G313" s="6"/>
      <c r="H313" s="6"/>
    </row>
    <row r="314" spans="1:8" ht="15.6">
      <c r="A314" s="6"/>
      <c r="B314" s="6"/>
      <c r="C314" s="6"/>
      <c r="D314" s="6"/>
      <c r="E314" s="6"/>
      <c r="F314" s="6"/>
      <c r="G314" s="6"/>
      <c r="H314" s="6"/>
    </row>
    <row r="315" spans="1:8" ht="15.6">
      <c r="A315" s="6"/>
      <c r="B315" s="6"/>
      <c r="C315" s="6"/>
      <c r="D315" s="6"/>
      <c r="E315" s="6"/>
      <c r="F315" s="6"/>
      <c r="G315" s="6"/>
      <c r="H315" s="6"/>
    </row>
    <row r="316" spans="1:8" ht="15.6">
      <c r="A316" s="6"/>
      <c r="B316" s="6"/>
      <c r="C316" s="6"/>
      <c r="D316" s="6"/>
      <c r="E316" s="6"/>
      <c r="F316" s="6"/>
      <c r="G316" s="6"/>
      <c r="H316" s="6"/>
    </row>
    <row r="317" spans="1:8" ht="15.6">
      <c r="A317" s="6"/>
      <c r="B317" s="6"/>
      <c r="C317" s="6"/>
      <c r="D317" s="6"/>
      <c r="E317" s="6"/>
      <c r="F317" s="6"/>
      <c r="G317" s="6"/>
      <c r="H317" s="6"/>
    </row>
    <row r="318" spans="1:8" ht="15.6">
      <c r="A318" s="6"/>
      <c r="B318" s="6"/>
      <c r="C318" s="6"/>
      <c r="D318" s="6"/>
      <c r="E318" s="6"/>
      <c r="F318" s="6"/>
      <c r="G318" s="6"/>
      <c r="H318" s="6"/>
    </row>
    <row r="319" spans="1:8" ht="15.6">
      <c r="A319" s="6"/>
      <c r="B319" s="6"/>
      <c r="C319" s="6"/>
      <c r="D319" s="6"/>
      <c r="E319" s="6"/>
      <c r="F319" s="6"/>
      <c r="G319" s="6"/>
      <c r="H319" s="6"/>
    </row>
    <row r="320" spans="1:8" ht="15.6">
      <c r="A320" s="6"/>
      <c r="B320" s="6"/>
      <c r="C320" s="6"/>
      <c r="D320" s="6"/>
      <c r="E320" s="6"/>
      <c r="F320" s="6"/>
      <c r="G320" s="6"/>
      <c r="H320" s="6"/>
    </row>
    <row r="321" spans="1:8" ht="15.6">
      <c r="A321" s="6"/>
      <c r="B321" s="6"/>
      <c r="C321" s="6"/>
      <c r="D321" s="6"/>
      <c r="E321" s="6"/>
      <c r="F321" s="6"/>
      <c r="G321" s="6"/>
      <c r="H321" s="6"/>
    </row>
    <row r="322" spans="1:8" ht="15.6">
      <c r="A322" s="6"/>
      <c r="B322" s="6"/>
      <c r="C322" s="6"/>
      <c r="D322" s="6"/>
      <c r="E322" s="6"/>
      <c r="F322" s="6"/>
      <c r="G322" s="6"/>
      <c r="H322" s="6"/>
    </row>
    <row r="323" spans="1:8" ht="15.6">
      <c r="A323" s="6"/>
      <c r="B323" s="6"/>
      <c r="C323" s="6"/>
      <c r="D323" s="6"/>
      <c r="E323" s="6"/>
      <c r="F323" s="6"/>
      <c r="G323" s="6"/>
      <c r="H323" s="6"/>
    </row>
    <row r="324" spans="1:8" ht="15.6">
      <c r="A324" s="6"/>
      <c r="B324" s="6"/>
      <c r="C324" s="6"/>
      <c r="D324" s="6"/>
      <c r="E324" s="6"/>
      <c r="F324" s="6"/>
      <c r="G324" s="6"/>
      <c r="H324" s="6"/>
    </row>
    <row r="325" spans="1:8" ht="15.6">
      <c r="A325" s="6"/>
      <c r="B325" s="6"/>
      <c r="C325" s="6"/>
      <c r="D325" s="6"/>
      <c r="E325" s="6"/>
      <c r="F325" s="6"/>
      <c r="G325" s="6"/>
      <c r="H325" s="6"/>
    </row>
    <row r="326" spans="1:8" ht="15.6">
      <c r="A326" s="6"/>
      <c r="B326" s="6"/>
      <c r="C326" s="6"/>
      <c r="D326" s="6"/>
      <c r="E326" s="6"/>
      <c r="F326" s="6"/>
      <c r="G326" s="6"/>
      <c r="H326" s="6"/>
    </row>
    <row r="327" spans="1:8" ht="15.6">
      <c r="A327" s="6"/>
      <c r="B327" s="6"/>
      <c r="C327" s="6"/>
      <c r="D327" s="6"/>
      <c r="E327" s="6"/>
      <c r="F327" s="6"/>
      <c r="G327" s="6"/>
      <c r="H327" s="6"/>
    </row>
    <row r="328" spans="1:8" ht="15.6">
      <c r="A328" s="6"/>
      <c r="B328" s="6"/>
      <c r="C328" s="6"/>
      <c r="D328" s="6"/>
      <c r="E328" s="6"/>
      <c r="F328" s="6"/>
      <c r="G328" s="6"/>
      <c r="H328" s="6"/>
    </row>
    <row r="329" spans="1:8" ht="15.6">
      <c r="A329" s="6"/>
      <c r="B329" s="6"/>
      <c r="C329" s="6"/>
      <c r="D329" s="6"/>
      <c r="E329" s="6"/>
      <c r="F329" s="6"/>
      <c r="G329" s="6"/>
      <c r="H329" s="6"/>
    </row>
    <row r="330" spans="1:8" ht="15.6">
      <c r="A330" s="6"/>
      <c r="B330" s="6"/>
      <c r="C330" s="6"/>
      <c r="D330" s="6"/>
      <c r="E330" s="6"/>
      <c r="F330" s="6"/>
      <c r="G330" s="6"/>
      <c r="H330" s="6"/>
    </row>
    <row r="331" spans="1:8" ht="15.6">
      <c r="A331" s="6"/>
      <c r="B331" s="6"/>
      <c r="C331" s="6"/>
      <c r="D331" s="6"/>
      <c r="E331" s="6"/>
      <c r="F331" s="6"/>
      <c r="G331" s="6"/>
      <c r="H331" s="6"/>
    </row>
    <row r="332" spans="1:8" ht="15.6">
      <c r="A332" s="6"/>
      <c r="B332" s="6"/>
      <c r="C332" s="6"/>
      <c r="D332" s="6"/>
      <c r="E332" s="6"/>
      <c r="F332" s="6"/>
      <c r="G332" s="6"/>
      <c r="H332" s="6"/>
    </row>
    <row r="333" spans="1:8" ht="15.6">
      <c r="A333" s="6"/>
      <c r="B333" s="6"/>
      <c r="C333" s="6"/>
      <c r="D333" s="6"/>
      <c r="E333" s="6"/>
      <c r="F333" s="6"/>
      <c r="G333" s="6"/>
      <c r="H333" s="6"/>
    </row>
    <row r="334" spans="1:8" ht="15.6">
      <c r="A334" s="6"/>
      <c r="B334" s="6"/>
      <c r="C334" s="6"/>
      <c r="D334" s="6"/>
      <c r="E334" s="6"/>
      <c r="F334" s="6"/>
      <c r="G334" s="6"/>
      <c r="H334" s="6"/>
    </row>
    <row r="335" spans="1:8" ht="15.6">
      <c r="A335" s="6"/>
      <c r="B335" s="6"/>
      <c r="C335" s="6"/>
      <c r="D335" s="6"/>
      <c r="E335" s="6"/>
      <c r="F335" s="6"/>
      <c r="G335" s="6"/>
      <c r="H335" s="6"/>
    </row>
    <row r="336" spans="1:8" ht="15.6">
      <c r="A336" s="6"/>
      <c r="B336" s="6"/>
      <c r="C336" s="6"/>
      <c r="D336" s="6"/>
      <c r="E336" s="6"/>
      <c r="F336" s="6"/>
      <c r="G336" s="6"/>
      <c r="H336" s="6"/>
    </row>
    <row r="337" spans="1:8" ht="15.6">
      <c r="A337" s="6"/>
      <c r="B337" s="6"/>
      <c r="C337" s="6"/>
      <c r="D337" s="6"/>
      <c r="E337" s="6"/>
      <c r="F337" s="6"/>
      <c r="G337" s="6"/>
      <c r="H337" s="6"/>
    </row>
    <row r="338" spans="1:8" ht="15.6">
      <c r="A338" s="6"/>
      <c r="B338" s="6"/>
      <c r="C338" s="6"/>
      <c r="D338" s="6"/>
      <c r="E338" s="6"/>
      <c r="F338" s="6"/>
      <c r="G338" s="6"/>
      <c r="H338" s="6"/>
    </row>
    <row r="339" spans="1:8" ht="15.6">
      <c r="A339" s="6"/>
      <c r="B339" s="6"/>
      <c r="C339" s="6"/>
      <c r="D339" s="6"/>
      <c r="E339" s="6"/>
      <c r="F339" s="6"/>
      <c r="G339" s="6"/>
      <c r="H339" s="6"/>
    </row>
    <row r="340" spans="1:8" ht="15.6">
      <c r="A340" s="6"/>
      <c r="B340" s="6"/>
      <c r="C340" s="6"/>
      <c r="D340" s="6"/>
      <c r="E340" s="6"/>
      <c r="F340" s="6"/>
      <c r="G340" s="6"/>
      <c r="H340" s="6"/>
    </row>
    <row r="341" spans="1:8" ht="15.6">
      <c r="A341" s="6"/>
      <c r="B341" s="6"/>
      <c r="C341" s="6"/>
      <c r="D341" s="6"/>
      <c r="E341" s="6"/>
      <c r="F341" s="6"/>
      <c r="G341" s="6"/>
      <c r="H341" s="6"/>
    </row>
    <row r="342" spans="1:8" ht="15.6">
      <c r="A342" s="6"/>
      <c r="B342" s="6"/>
      <c r="C342" s="6"/>
      <c r="D342" s="6"/>
      <c r="E342" s="6"/>
      <c r="F342" s="6"/>
      <c r="G342" s="6"/>
      <c r="H342" s="6"/>
    </row>
    <row r="343" spans="1:8" ht="15.6">
      <c r="A343" s="6"/>
      <c r="B343" s="6"/>
      <c r="C343" s="6"/>
      <c r="D343" s="6"/>
      <c r="E343" s="6"/>
      <c r="F343" s="6"/>
      <c r="G343" s="6"/>
      <c r="H343" s="6"/>
    </row>
    <row r="344" spans="1:8" ht="15.6">
      <c r="A344" s="6"/>
      <c r="B344" s="6"/>
      <c r="C344" s="6"/>
      <c r="D344" s="6"/>
      <c r="E344" s="6"/>
      <c r="F344" s="6"/>
      <c r="G344" s="6"/>
      <c r="H344" s="6"/>
    </row>
    <row r="345" spans="1:8" ht="15.6">
      <c r="A345" s="6"/>
      <c r="B345" s="6"/>
      <c r="C345" s="6"/>
      <c r="D345" s="6"/>
      <c r="E345" s="6"/>
      <c r="F345" s="6"/>
      <c r="G345" s="6"/>
      <c r="H345" s="6"/>
    </row>
    <row r="346" spans="1:8" ht="15.6">
      <c r="A346" s="6"/>
      <c r="B346" s="6"/>
      <c r="C346" s="6"/>
      <c r="D346" s="6"/>
      <c r="E346" s="6"/>
      <c r="F346" s="6"/>
      <c r="G346" s="6"/>
      <c r="H346" s="6"/>
    </row>
    <row r="347" spans="1:8" ht="15.6">
      <c r="A347" s="6"/>
      <c r="B347" s="6"/>
      <c r="C347" s="6"/>
      <c r="D347" s="6"/>
      <c r="E347" s="6"/>
      <c r="F347" s="6"/>
      <c r="G347" s="6"/>
      <c r="H347" s="6"/>
    </row>
    <row r="348" spans="1:8" ht="15.6">
      <c r="A348" s="6"/>
      <c r="B348" s="6"/>
      <c r="C348" s="6"/>
      <c r="D348" s="6"/>
      <c r="E348" s="6"/>
      <c r="F348" s="6"/>
      <c r="G348" s="6"/>
      <c r="H348" s="6"/>
    </row>
    <row r="349" spans="1:8" ht="15.6">
      <c r="A349" s="6"/>
      <c r="B349" s="6"/>
      <c r="C349" s="6"/>
      <c r="D349" s="6"/>
      <c r="E349" s="6"/>
      <c r="F349" s="6"/>
      <c r="G349" s="6"/>
      <c r="H349" s="6"/>
    </row>
    <row r="350" spans="1:8" ht="15.6">
      <c r="A350" s="6"/>
      <c r="B350" s="6"/>
      <c r="C350" s="6"/>
      <c r="D350" s="6"/>
      <c r="E350" s="6"/>
      <c r="F350" s="6"/>
      <c r="G350" s="6"/>
      <c r="H350" s="6"/>
    </row>
    <row r="351" spans="1:8" ht="15.6">
      <c r="A351" s="6"/>
      <c r="B351" s="6"/>
      <c r="C351" s="6"/>
      <c r="D351" s="6"/>
      <c r="E351" s="6"/>
      <c r="F351" s="6"/>
      <c r="G351" s="6"/>
      <c r="H351" s="6"/>
    </row>
    <row r="352" spans="1:8" ht="15.6">
      <c r="A352" s="6"/>
      <c r="B352" s="6"/>
      <c r="C352" s="6"/>
      <c r="D352" s="6"/>
      <c r="E352" s="6"/>
      <c r="F352" s="6"/>
      <c r="G352" s="6"/>
      <c r="H352" s="6"/>
    </row>
    <row r="353" spans="1:8" ht="15.6">
      <c r="A353" s="6"/>
      <c r="B353" s="6"/>
      <c r="C353" s="6"/>
      <c r="D353" s="6"/>
      <c r="E353" s="6"/>
      <c r="F353" s="6"/>
      <c r="G353" s="6"/>
      <c r="H353" s="6"/>
    </row>
    <row r="354" spans="1:8" ht="15.6">
      <c r="A354" s="6"/>
      <c r="B354" s="6"/>
      <c r="C354" s="6"/>
      <c r="D354" s="6"/>
      <c r="E354" s="6"/>
      <c r="F354" s="6"/>
      <c r="G354" s="6"/>
      <c r="H354" s="6"/>
    </row>
    <row r="355" spans="1:8" ht="15.6">
      <c r="A355" s="6"/>
      <c r="B355" s="6"/>
      <c r="C355" s="6"/>
      <c r="D355" s="6"/>
      <c r="E355" s="6"/>
      <c r="F355" s="6"/>
      <c r="G355" s="6"/>
      <c r="H355" s="6"/>
    </row>
    <row r="356" spans="1:8" ht="15.6">
      <c r="A356" s="6"/>
      <c r="B356" s="6"/>
      <c r="C356" s="6"/>
      <c r="D356" s="6"/>
      <c r="E356" s="6"/>
      <c r="F356" s="6"/>
      <c r="G356" s="6"/>
      <c r="H356" s="6"/>
    </row>
    <row r="357" spans="1:8" ht="15.6">
      <c r="A357" s="6"/>
      <c r="B357" s="6"/>
      <c r="C357" s="6"/>
      <c r="D357" s="6"/>
      <c r="E357" s="6"/>
      <c r="F357" s="6"/>
      <c r="G357" s="6"/>
      <c r="H357" s="6"/>
    </row>
    <row r="358" spans="1:8" ht="15.6">
      <c r="A358" s="6"/>
      <c r="B358" s="6"/>
      <c r="C358" s="6"/>
      <c r="D358" s="6"/>
      <c r="E358" s="6"/>
      <c r="F358" s="6"/>
      <c r="G358" s="6"/>
      <c r="H358" s="6"/>
    </row>
    <row r="359" spans="1:8" ht="15.6">
      <c r="A359" s="6"/>
      <c r="B359" s="6"/>
      <c r="C359" s="6"/>
      <c r="D359" s="6"/>
      <c r="E359" s="6"/>
      <c r="F359" s="6"/>
      <c r="G359" s="6"/>
      <c r="H359" s="6"/>
    </row>
    <row r="360" spans="1:8" ht="15.6">
      <c r="A360" s="6"/>
      <c r="B360" s="6"/>
      <c r="C360" s="6"/>
      <c r="D360" s="6"/>
      <c r="E360" s="6"/>
      <c r="F360" s="6"/>
      <c r="G360" s="6"/>
      <c r="H360" s="6"/>
    </row>
    <row r="361" spans="1:8" ht="15.6">
      <c r="A361" s="6"/>
      <c r="B361" s="6"/>
      <c r="C361" s="6"/>
      <c r="D361" s="6"/>
      <c r="E361" s="6"/>
      <c r="F361" s="6"/>
      <c r="G361" s="6"/>
      <c r="H361" s="6"/>
    </row>
    <row r="362" spans="1:8" ht="15.6">
      <c r="A362" s="6"/>
      <c r="B362" s="6"/>
      <c r="C362" s="6"/>
      <c r="D362" s="6"/>
      <c r="E362" s="6"/>
      <c r="F362" s="6"/>
      <c r="G362" s="6"/>
      <c r="H362" s="6"/>
    </row>
    <row r="363" spans="1:8" ht="15.6">
      <c r="A363" s="6"/>
      <c r="B363" s="6"/>
      <c r="C363" s="6"/>
      <c r="D363" s="6"/>
      <c r="E363" s="6"/>
      <c r="F363" s="6"/>
      <c r="G363" s="6"/>
      <c r="H363" s="6"/>
    </row>
    <row r="364" spans="1:8" ht="15.6">
      <c r="A364" s="6"/>
      <c r="B364" s="6"/>
      <c r="C364" s="6"/>
      <c r="D364" s="6"/>
      <c r="E364" s="6"/>
      <c r="F364" s="6"/>
      <c r="G364" s="6"/>
      <c r="H364" s="6"/>
    </row>
    <row r="365" spans="1:8" ht="15.6">
      <c r="A365" s="6"/>
      <c r="B365" s="6"/>
      <c r="C365" s="6"/>
      <c r="D365" s="6"/>
      <c r="E365" s="6"/>
      <c r="F365" s="6"/>
      <c r="G365" s="6"/>
      <c r="H365" s="6"/>
    </row>
    <row r="366" spans="1:8" ht="15.6">
      <c r="A366" s="6"/>
      <c r="B366" s="6"/>
      <c r="C366" s="6"/>
      <c r="D366" s="6"/>
      <c r="E366" s="6"/>
      <c r="F366" s="6"/>
      <c r="G366" s="6"/>
      <c r="H366" s="6"/>
    </row>
    <row r="367" spans="1:8" ht="15.6">
      <c r="A367" s="6"/>
      <c r="B367" s="6"/>
      <c r="C367" s="6"/>
      <c r="D367" s="6"/>
      <c r="E367" s="6"/>
      <c r="F367" s="6"/>
      <c r="G367" s="6"/>
      <c r="H367" s="6"/>
    </row>
    <row r="368" spans="1:8" ht="15.6">
      <c r="A368" s="6"/>
      <c r="B368" s="6"/>
      <c r="C368" s="6"/>
      <c r="D368" s="6"/>
      <c r="E368" s="6"/>
      <c r="F368" s="6"/>
      <c r="G368" s="6"/>
      <c r="H368" s="6"/>
    </row>
    <row r="369" spans="1:8" ht="15.6">
      <c r="A369" s="6"/>
      <c r="B369" s="6"/>
      <c r="C369" s="6"/>
      <c r="D369" s="6"/>
      <c r="E369" s="6"/>
      <c r="F369" s="6"/>
      <c r="G369" s="6"/>
      <c r="H369" s="6"/>
    </row>
    <row r="370" spans="1:8" ht="15.6">
      <c r="A370" s="6"/>
      <c r="B370" s="6"/>
      <c r="C370" s="6"/>
      <c r="D370" s="6"/>
      <c r="E370" s="6"/>
      <c r="F370" s="6"/>
      <c r="G370" s="6"/>
      <c r="H370" s="6"/>
    </row>
    <row r="371" spans="1:8" ht="15.6">
      <c r="A371" s="6"/>
      <c r="B371" s="6"/>
      <c r="C371" s="6"/>
      <c r="D371" s="6"/>
      <c r="E371" s="6"/>
      <c r="F371" s="6"/>
      <c r="G371" s="6"/>
      <c r="H371" s="6"/>
    </row>
    <row r="372" spans="1:8" ht="15.6">
      <c r="A372" s="6"/>
      <c r="B372" s="6"/>
      <c r="C372" s="6"/>
      <c r="D372" s="6"/>
      <c r="E372" s="6"/>
      <c r="F372" s="6"/>
      <c r="G372" s="6"/>
      <c r="H372" s="6"/>
    </row>
    <row r="373" spans="1:8" ht="15.6">
      <c r="A373" s="6"/>
      <c r="B373" s="6"/>
      <c r="C373" s="6"/>
      <c r="D373" s="6"/>
      <c r="E373" s="6"/>
      <c r="F373" s="6"/>
      <c r="G373" s="6"/>
      <c r="H373" s="6"/>
    </row>
    <row r="374" spans="1:8" ht="15.6">
      <c r="A374" s="6"/>
      <c r="B374" s="6"/>
      <c r="C374" s="6"/>
      <c r="D374" s="6"/>
      <c r="E374" s="6"/>
      <c r="F374" s="6"/>
      <c r="G374" s="6"/>
      <c r="H374" s="6"/>
    </row>
    <row r="375" spans="1:8" ht="15.6">
      <c r="A375" s="6"/>
      <c r="B375" s="6"/>
      <c r="C375" s="6"/>
      <c r="D375" s="6"/>
      <c r="E375" s="6"/>
      <c r="F375" s="6"/>
      <c r="G375" s="6"/>
      <c r="H375" s="6"/>
    </row>
    <row r="376" spans="1:8" ht="15.6">
      <c r="A376" s="6"/>
      <c r="B376" s="6"/>
      <c r="C376" s="6"/>
      <c r="D376" s="6"/>
      <c r="E376" s="6"/>
      <c r="F376" s="6"/>
      <c r="G376" s="6"/>
      <c r="H376" s="6"/>
    </row>
    <row r="377" spans="1:8" ht="15.6">
      <c r="A377" s="6"/>
      <c r="B377" s="6"/>
      <c r="C377" s="6"/>
      <c r="D377" s="6"/>
      <c r="E377" s="6"/>
      <c r="F377" s="6"/>
      <c r="G377" s="6"/>
      <c r="H377" s="6"/>
    </row>
    <row r="378" spans="1:8" ht="15.6">
      <c r="A378" s="6"/>
      <c r="B378" s="6"/>
      <c r="C378" s="6"/>
      <c r="D378" s="6"/>
      <c r="E378" s="6"/>
      <c r="F378" s="6"/>
      <c r="G378" s="6"/>
      <c r="H378" s="6"/>
    </row>
    <row r="379" spans="1:8" ht="15.6">
      <c r="A379" s="6"/>
      <c r="B379" s="6"/>
      <c r="C379" s="6"/>
      <c r="D379" s="6"/>
      <c r="E379" s="6"/>
      <c r="F379" s="6"/>
      <c r="G379" s="6"/>
      <c r="H379" s="6"/>
    </row>
    <row r="380" spans="1:8" ht="15.6">
      <c r="A380" s="6"/>
      <c r="B380" s="6"/>
      <c r="C380" s="6"/>
      <c r="D380" s="6"/>
      <c r="E380" s="6"/>
      <c r="F380" s="6"/>
      <c r="G380" s="6"/>
      <c r="H380" s="6"/>
    </row>
    <row r="381" spans="1:8" ht="15.6">
      <c r="A381" s="6"/>
      <c r="B381" s="6"/>
      <c r="C381" s="6"/>
      <c r="D381" s="6"/>
      <c r="E381" s="6"/>
      <c r="F381" s="6"/>
      <c r="G381" s="6"/>
      <c r="H381" s="6"/>
    </row>
    <row r="382" spans="1:8" ht="15.6">
      <c r="A382" s="6"/>
      <c r="B382" s="6"/>
      <c r="C382" s="6"/>
      <c r="D382" s="6"/>
      <c r="E382" s="6"/>
      <c r="F382" s="6"/>
      <c r="G382" s="6"/>
      <c r="H382" s="6"/>
    </row>
    <row r="383" spans="1:8" ht="15.6">
      <c r="A383" s="6"/>
      <c r="B383" s="6"/>
      <c r="C383" s="6"/>
      <c r="D383" s="6"/>
      <c r="E383" s="6"/>
      <c r="F383" s="6"/>
      <c r="G383" s="6"/>
      <c r="H383" s="6"/>
    </row>
    <row r="384" spans="1:8" ht="15.6">
      <c r="A384" s="6"/>
      <c r="B384" s="6"/>
      <c r="C384" s="6"/>
      <c r="D384" s="6"/>
      <c r="E384" s="6"/>
      <c r="F384" s="6"/>
      <c r="G384" s="6"/>
      <c r="H384" s="6"/>
    </row>
    <row r="385" spans="1:8" ht="15.6">
      <c r="A385" s="6"/>
      <c r="B385" s="6"/>
      <c r="C385" s="6"/>
      <c r="D385" s="6"/>
      <c r="E385" s="6"/>
      <c r="F385" s="6"/>
      <c r="G385" s="6"/>
      <c r="H385" s="6"/>
    </row>
    <row r="386" spans="1:8" ht="15.6">
      <c r="A386" s="6"/>
      <c r="B386" s="6"/>
      <c r="C386" s="6"/>
      <c r="D386" s="6"/>
      <c r="E386" s="6"/>
      <c r="F386" s="6"/>
      <c r="G386" s="6"/>
      <c r="H386" s="6"/>
    </row>
    <row r="387" spans="1:8" ht="15.6">
      <c r="A387" s="6"/>
      <c r="B387" s="6"/>
      <c r="C387" s="6"/>
      <c r="D387" s="6"/>
      <c r="E387" s="6"/>
      <c r="F387" s="6"/>
      <c r="G387" s="6"/>
      <c r="H387" s="6"/>
    </row>
    <row r="388" spans="1:8" ht="15.6">
      <c r="A388" s="6"/>
      <c r="B388" s="6"/>
      <c r="C388" s="6"/>
      <c r="D388" s="6"/>
      <c r="E388" s="6"/>
      <c r="F388" s="6"/>
      <c r="G388" s="6"/>
      <c r="H388" s="6"/>
    </row>
    <row r="389" spans="1:8" ht="15.6">
      <c r="A389" s="6"/>
      <c r="B389" s="6"/>
      <c r="C389" s="6"/>
      <c r="D389" s="6"/>
      <c r="E389" s="6"/>
      <c r="F389" s="6"/>
      <c r="G389" s="6"/>
      <c r="H389" s="6"/>
    </row>
    <row r="390" spans="1:8" ht="15.6">
      <c r="A390" s="6"/>
      <c r="B390" s="6"/>
      <c r="C390" s="6"/>
      <c r="D390" s="6"/>
      <c r="E390" s="6"/>
      <c r="F390" s="6"/>
      <c r="G390" s="6"/>
      <c r="H390" s="6"/>
    </row>
    <row r="391" spans="1:8" ht="15.6">
      <c r="A391" s="6"/>
      <c r="B391" s="6"/>
      <c r="C391" s="6"/>
      <c r="D391" s="6"/>
      <c r="E391" s="6"/>
      <c r="F391" s="6"/>
      <c r="G391" s="6"/>
      <c r="H391" s="6"/>
    </row>
    <row r="392" spans="1:8" ht="15.6">
      <c r="A392" s="6"/>
      <c r="B392" s="6"/>
      <c r="C392" s="6"/>
      <c r="D392" s="6"/>
      <c r="E392" s="6"/>
      <c r="F392" s="6"/>
      <c r="G392" s="6"/>
      <c r="H392" s="6"/>
    </row>
    <row r="393" spans="1:8" ht="15.6">
      <c r="A393" s="6"/>
      <c r="B393" s="6"/>
      <c r="C393" s="6"/>
      <c r="D393" s="6"/>
      <c r="E393" s="6"/>
      <c r="F393" s="6"/>
      <c r="G393" s="6"/>
      <c r="H393" s="6"/>
    </row>
    <row r="394" spans="1:8" ht="15.6">
      <c r="A394" s="6"/>
      <c r="B394" s="6"/>
      <c r="C394" s="6"/>
      <c r="D394" s="6"/>
      <c r="E394" s="6"/>
      <c r="F394" s="6"/>
      <c r="G394" s="6"/>
      <c r="H394" s="6"/>
    </row>
    <row r="395" spans="1:8" ht="15.6">
      <c r="A395" s="6"/>
      <c r="B395" s="6"/>
      <c r="C395" s="6"/>
      <c r="D395" s="6"/>
      <c r="E395" s="6"/>
      <c r="F395" s="6"/>
      <c r="G395" s="6"/>
      <c r="H395" s="6"/>
    </row>
    <row r="396" spans="1:8" ht="15.6">
      <c r="A396" s="6"/>
      <c r="B396" s="6"/>
      <c r="C396" s="6"/>
      <c r="D396" s="6"/>
      <c r="E396" s="6"/>
      <c r="F396" s="6"/>
      <c r="G396" s="6"/>
      <c r="H396" s="6"/>
    </row>
    <row r="397" spans="1:8" ht="15.6">
      <c r="A397" s="6"/>
      <c r="B397" s="6"/>
      <c r="C397" s="6"/>
      <c r="D397" s="6"/>
      <c r="E397" s="6"/>
      <c r="F397" s="6"/>
      <c r="G397" s="6"/>
      <c r="H397" s="6"/>
    </row>
    <row r="398" spans="1:8" ht="15.6">
      <c r="A398" s="6"/>
      <c r="B398" s="6"/>
      <c r="C398" s="6"/>
      <c r="D398" s="6"/>
      <c r="E398" s="6"/>
      <c r="F398" s="6"/>
      <c r="G398" s="6"/>
      <c r="H398" s="6"/>
    </row>
    <row r="399" spans="1:8" ht="15.6">
      <c r="A399" s="6"/>
      <c r="B399" s="6"/>
      <c r="C399" s="6"/>
      <c r="D399" s="6"/>
      <c r="E399" s="6"/>
      <c r="F399" s="6"/>
      <c r="G399" s="6"/>
      <c r="H399" s="6"/>
    </row>
    <row r="400" spans="1:8" ht="15.6">
      <c r="A400" s="6"/>
      <c r="B400" s="6"/>
      <c r="C400" s="6"/>
      <c r="D400" s="6"/>
      <c r="E400" s="6"/>
      <c r="F400" s="6"/>
      <c r="G400" s="6"/>
      <c r="H400" s="6"/>
    </row>
    <row r="401" spans="1:8" ht="15.6">
      <c r="A401" s="6"/>
      <c r="B401" s="6"/>
      <c r="C401" s="6"/>
      <c r="D401" s="6"/>
      <c r="E401" s="6"/>
      <c r="F401" s="6"/>
      <c r="G401" s="6"/>
      <c r="H401" s="6"/>
    </row>
    <row r="402" spans="1:8" ht="15.6">
      <c r="A402" s="6"/>
      <c r="B402" s="6"/>
      <c r="C402" s="6"/>
      <c r="D402" s="6"/>
      <c r="E402" s="6"/>
      <c r="F402" s="6"/>
      <c r="G402" s="6"/>
      <c r="H402" s="6"/>
    </row>
    <row r="403" spans="1:8" ht="15.6">
      <c r="A403" s="6"/>
      <c r="B403" s="6"/>
      <c r="C403" s="6"/>
      <c r="D403" s="6"/>
      <c r="E403" s="6"/>
      <c r="F403" s="6"/>
      <c r="G403" s="6"/>
      <c r="H403" s="6"/>
    </row>
    <row r="404" spans="1:8" ht="15.6">
      <c r="A404" s="6"/>
      <c r="B404" s="6"/>
      <c r="C404" s="6"/>
      <c r="D404" s="6"/>
      <c r="E404" s="6"/>
      <c r="F404" s="6"/>
      <c r="G404" s="6"/>
      <c r="H404" s="6"/>
    </row>
    <row r="405" spans="1:8" ht="15.6">
      <c r="A405" s="6"/>
      <c r="B405" s="6"/>
      <c r="C405" s="6"/>
      <c r="D405" s="6"/>
      <c r="E405" s="6"/>
      <c r="F405" s="6"/>
      <c r="G405" s="6"/>
      <c r="H405" s="6"/>
    </row>
    <row r="406" spans="1:8" ht="15.6">
      <c r="A406" s="6"/>
      <c r="B406" s="6"/>
      <c r="C406" s="6"/>
      <c r="D406" s="6"/>
      <c r="E406" s="6"/>
      <c r="F406" s="6"/>
      <c r="G406" s="6"/>
      <c r="H406" s="6"/>
    </row>
    <row r="407" spans="1:8" ht="15.6">
      <c r="A407" s="6"/>
      <c r="B407" s="6"/>
      <c r="C407" s="6"/>
      <c r="D407" s="6"/>
      <c r="E407" s="6"/>
      <c r="F407" s="6"/>
      <c r="G407" s="6"/>
      <c r="H407" s="6"/>
    </row>
    <row r="408" spans="1:8" ht="15.6">
      <c r="A408" s="6"/>
      <c r="B408" s="6"/>
      <c r="C408" s="6"/>
      <c r="D408" s="6"/>
      <c r="E408" s="6"/>
      <c r="F408" s="6"/>
      <c r="G408" s="6"/>
      <c r="H408" s="6"/>
    </row>
    <row r="409" spans="1:8" ht="15.6">
      <c r="A409" s="6"/>
      <c r="B409" s="6"/>
      <c r="C409" s="6"/>
      <c r="D409" s="6"/>
      <c r="E409" s="6"/>
      <c r="F409" s="6"/>
      <c r="G409" s="6"/>
      <c r="H409" s="6"/>
    </row>
    <row r="410" spans="1:8" ht="15.6">
      <c r="A410" s="6"/>
      <c r="B410" s="6"/>
      <c r="C410" s="6"/>
      <c r="D410" s="6"/>
      <c r="E410" s="6"/>
      <c r="F410" s="6"/>
      <c r="G410" s="6"/>
      <c r="H410" s="6"/>
    </row>
    <row r="411" spans="1:8" ht="15.6">
      <c r="A411" s="6"/>
      <c r="B411" s="6"/>
      <c r="C411" s="6"/>
      <c r="D411" s="6"/>
      <c r="E411" s="6"/>
      <c r="F411" s="6"/>
      <c r="G411" s="6"/>
      <c r="H411" s="6"/>
    </row>
    <row r="412" spans="1:8" ht="15.6">
      <c r="A412" s="6"/>
      <c r="B412" s="6"/>
      <c r="C412" s="6"/>
      <c r="D412" s="6"/>
      <c r="E412" s="6"/>
      <c r="F412" s="6"/>
      <c r="G412" s="6"/>
      <c r="H412" s="6"/>
    </row>
    <row r="413" spans="1:8" ht="15.6">
      <c r="A413" s="6"/>
      <c r="B413" s="6"/>
      <c r="C413" s="6"/>
      <c r="D413" s="6"/>
      <c r="E413" s="6"/>
      <c r="F413" s="6"/>
      <c r="G413" s="6"/>
      <c r="H413" s="6"/>
    </row>
    <row r="414" spans="1:8" ht="15.6">
      <c r="A414" s="6"/>
      <c r="B414" s="6"/>
      <c r="C414" s="6"/>
      <c r="D414" s="6"/>
      <c r="E414" s="6"/>
      <c r="F414" s="6"/>
      <c r="G414" s="6"/>
      <c r="H414" s="6"/>
    </row>
    <row r="415" spans="1:8" ht="15.6">
      <c r="A415" s="6"/>
      <c r="B415" s="6"/>
      <c r="C415" s="6"/>
      <c r="D415" s="6"/>
      <c r="E415" s="6"/>
      <c r="F415" s="6"/>
      <c r="G415" s="6"/>
      <c r="H415" s="6"/>
    </row>
    <row r="416" spans="1:8" ht="15.6">
      <c r="A416" s="6"/>
      <c r="B416" s="6"/>
      <c r="C416" s="6"/>
      <c r="D416" s="6"/>
      <c r="E416" s="6"/>
      <c r="F416" s="6"/>
      <c r="G416" s="6"/>
      <c r="H416" s="6"/>
    </row>
    <row r="417" spans="1:8" ht="15.6">
      <c r="A417" s="6"/>
      <c r="B417" s="6"/>
      <c r="C417" s="6"/>
      <c r="D417" s="6"/>
      <c r="E417" s="6"/>
      <c r="F417" s="6"/>
      <c r="G417" s="6"/>
      <c r="H417" s="6"/>
    </row>
    <row r="418" spans="1:8" ht="15.6">
      <c r="A418" s="6"/>
      <c r="B418" s="6"/>
      <c r="C418" s="6"/>
      <c r="D418" s="6"/>
      <c r="E418" s="6"/>
      <c r="F418" s="6"/>
      <c r="G418" s="6"/>
      <c r="H418" s="6"/>
    </row>
    <row r="419" spans="1:8" ht="15.6">
      <c r="A419" s="6"/>
      <c r="B419" s="6"/>
      <c r="C419" s="6"/>
      <c r="D419" s="6"/>
      <c r="E419" s="6"/>
      <c r="F419" s="6"/>
      <c r="G419" s="6"/>
      <c r="H419" s="6"/>
    </row>
    <row r="420" spans="1:8" ht="15.6">
      <c r="A420" s="6"/>
      <c r="B420" s="6"/>
      <c r="C420" s="6"/>
      <c r="D420" s="6"/>
      <c r="E420" s="6"/>
      <c r="F420" s="6"/>
      <c r="G420" s="6"/>
      <c r="H420" s="6"/>
    </row>
    <row r="421" spans="1:8" ht="15.6">
      <c r="A421" s="6"/>
      <c r="B421" s="6"/>
      <c r="C421" s="6"/>
      <c r="D421" s="6"/>
      <c r="E421" s="6"/>
      <c r="F421" s="6"/>
      <c r="G421" s="6"/>
      <c r="H421" s="6"/>
    </row>
    <row r="422" spans="1:8" ht="15.6">
      <c r="A422" s="6"/>
      <c r="B422" s="6"/>
      <c r="C422" s="6"/>
      <c r="D422" s="6"/>
      <c r="E422" s="6"/>
      <c r="F422" s="6"/>
      <c r="G422" s="6"/>
      <c r="H422" s="6"/>
    </row>
    <row r="423" spans="1:8" ht="15.6">
      <c r="A423" s="6"/>
      <c r="B423" s="6"/>
      <c r="C423" s="6"/>
      <c r="D423" s="6"/>
      <c r="E423" s="6"/>
      <c r="F423" s="6"/>
      <c r="G423" s="6"/>
      <c r="H423" s="6"/>
    </row>
    <row r="424" spans="1:8" ht="15.6">
      <c r="A424" s="6"/>
      <c r="B424" s="6"/>
      <c r="C424" s="6"/>
      <c r="D424" s="6"/>
      <c r="E424" s="6"/>
      <c r="F424" s="6"/>
      <c r="G424" s="6"/>
      <c r="H424" s="6"/>
    </row>
    <row r="425" spans="1:8" ht="15.6">
      <c r="A425" s="6"/>
      <c r="B425" s="6"/>
      <c r="C425" s="6"/>
      <c r="D425" s="6"/>
      <c r="E425" s="6"/>
      <c r="F425" s="6"/>
      <c r="G425" s="6"/>
      <c r="H425" s="6"/>
    </row>
    <row r="426" spans="1:8" ht="15.6">
      <c r="A426" s="6"/>
      <c r="B426" s="6"/>
      <c r="C426" s="6"/>
      <c r="D426" s="6"/>
      <c r="E426" s="6"/>
      <c r="F426" s="6"/>
      <c r="G426" s="6"/>
      <c r="H426" s="6"/>
    </row>
    <row r="427" spans="1:8" ht="15.6">
      <c r="A427" s="6"/>
      <c r="B427" s="6"/>
      <c r="C427" s="6"/>
      <c r="D427" s="6"/>
      <c r="E427" s="6"/>
      <c r="F427" s="6"/>
      <c r="G427" s="6"/>
      <c r="H427" s="6"/>
    </row>
    <row r="428" spans="1:8" ht="15.6">
      <c r="A428" s="6"/>
      <c r="B428" s="6"/>
      <c r="C428" s="6"/>
      <c r="D428" s="6"/>
      <c r="E428" s="6"/>
      <c r="F428" s="6"/>
      <c r="G428" s="6"/>
      <c r="H428" s="6"/>
    </row>
    <row r="429" spans="1:8" ht="15.6">
      <c r="A429" s="6"/>
      <c r="B429" s="6"/>
      <c r="C429" s="6"/>
      <c r="D429" s="6"/>
      <c r="E429" s="6"/>
      <c r="F429" s="6"/>
      <c r="G429" s="6"/>
      <c r="H429" s="6"/>
    </row>
    <row r="430" spans="1:8" ht="15.6">
      <c r="A430" s="6"/>
      <c r="B430" s="6"/>
      <c r="C430" s="6"/>
      <c r="D430" s="6"/>
      <c r="E430" s="6"/>
      <c r="F430" s="6"/>
      <c r="G430" s="6"/>
      <c r="H430" s="6"/>
    </row>
    <row r="431" spans="1:8" ht="15.6">
      <c r="A431" s="6"/>
      <c r="B431" s="6"/>
      <c r="C431" s="6"/>
      <c r="D431" s="6"/>
      <c r="E431" s="6"/>
      <c r="F431" s="6"/>
      <c r="G431" s="6"/>
      <c r="H431" s="6"/>
    </row>
    <row r="432" spans="1:8" ht="15.6">
      <c r="A432" s="6"/>
      <c r="B432" s="6"/>
      <c r="C432" s="6"/>
      <c r="D432" s="6"/>
      <c r="E432" s="6"/>
      <c r="F432" s="6"/>
      <c r="G432" s="6"/>
      <c r="H432" s="6"/>
    </row>
    <row r="433" spans="1:8" ht="15.6">
      <c r="A433" s="6"/>
      <c r="B433" s="6"/>
      <c r="C433" s="6"/>
      <c r="D433" s="6"/>
      <c r="E433" s="6"/>
      <c r="F433" s="6"/>
      <c r="G433" s="6"/>
      <c r="H433" s="6"/>
    </row>
    <row r="434" spans="1:8" ht="15.6">
      <c r="A434" s="6"/>
      <c r="B434" s="6"/>
      <c r="C434" s="6"/>
      <c r="D434" s="6"/>
      <c r="E434" s="6"/>
      <c r="F434" s="6"/>
      <c r="G434" s="6"/>
      <c r="H434" s="6"/>
    </row>
    <row r="435" spans="1:8" ht="15.6">
      <c r="A435" s="6"/>
      <c r="B435" s="6"/>
      <c r="C435" s="6"/>
      <c r="D435" s="6"/>
      <c r="E435" s="6"/>
      <c r="F435" s="6"/>
      <c r="G435" s="6"/>
      <c r="H435" s="6"/>
    </row>
    <row r="436" spans="1:8" ht="15.6">
      <c r="A436" s="6"/>
      <c r="B436" s="6"/>
      <c r="C436" s="6"/>
      <c r="D436" s="6"/>
      <c r="E436" s="6"/>
      <c r="F436" s="6"/>
      <c r="G436" s="6"/>
      <c r="H436" s="6"/>
    </row>
    <row r="437" spans="1:8" ht="15.6">
      <c r="A437" s="6"/>
      <c r="B437" s="6"/>
      <c r="C437" s="6"/>
      <c r="D437" s="6"/>
      <c r="E437" s="6"/>
      <c r="F437" s="6"/>
      <c r="G437" s="6"/>
      <c r="H437" s="6"/>
    </row>
    <row r="438" spans="1:8" ht="15.6">
      <c r="A438" s="6"/>
      <c r="B438" s="6"/>
      <c r="C438" s="6"/>
      <c r="D438" s="6"/>
      <c r="E438" s="6"/>
      <c r="F438" s="6"/>
      <c r="G438" s="6"/>
      <c r="H438" s="6"/>
    </row>
    <row r="439" spans="1:8" ht="15.6">
      <c r="A439" s="6"/>
      <c r="B439" s="6"/>
      <c r="C439" s="6"/>
      <c r="D439" s="6"/>
      <c r="E439" s="6"/>
      <c r="F439" s="6"/>
      <c r="G439" s="6"/>
      <c r="H439" s="6"/>
    </row>
    <row r="440" spans="1:8" ht="15.6">
      <c r="A440" s="6"/>
      <c r="B440" s="6"/>
      <c r="C440" s="6"/>
      <c r="D440" s="6"/>
      <c r="E440" s="6"/>
      <c r="F440" s="6"/>
      <c r="G440" s="6"/>
      <c r="H440" s="6"/>
    </row>
    <row r="441" spans="1:8" ht="15.6">
      <c r="A441" s="6"/>
      <c r="B441" s="6"/>
      <c r="C441" s="6"/>
      <c r="D441" s="6"/>
      <c r="E441" s="6"/>
      <c r="F441" s="6"/>
      <c r="G441" s="6"/>
      <c r="H441" s="6"/>
    </row>
    <row r="442" spans="1:8" ht="15.6">
      <c r="A442" s="6"/>
      <c r="B442" s="6"/>
      <c r="C442" s="6"/>
      <c r="D442" s="6"/>
      <c r="E442" s="6"/>
      <c r="F442" s="6"/>
      <c r="G442" s="6"/>
      <c r="H442" s="6"/>
    </row>
    <row r="443" spans="1:8" ht="15.6">
      <c r="A443" s="6"/>
      <c r="B443" s="6"/>
      <c r="C443" s="6"/>
      <c r="D443" s="6"/>
      <c r="E443" s="6"/>
      <c r="F443" s="6"/>
      <c r="G443" s="6"/>
      <c r="H443" s="6"/>
    </row>
    <row r="444" spans="1:8" ht="15.6">
      <c r="A444" s="6"/>
      <c r="B444" s="6"/>
      <c r="C444" s="6"/>
      <c r="D444" s="6"/>
      <c r="E444" s="6"/>
      <c r="F444" s="6"/>
      <c r="G444" s="6"/>
      <c r="H444" s="6"/>
    </row>
    <row r="445" spans="1:8" ht="15.6">
      <c r="A445" s="6"/>
      <c r="B445" s="6"/>
      <c r="C445" s="6"/>
      <c r="D445" s="6"/>
      <c r="E445" s="6"/>
      <c r="F445" s="6"/>
      <c r="G445" s="6"/>
      <c r="H445" s="6"/>
    </row>
    <row r="446" spans="1:8" ht="15.6">
      <c r="A446" s="6"/>
      <c r="B446" s="6"/>
      <c r="C446" s="6"/>
      <c r="D446" s="6"/>
      <c r="E446" s="6"/>
      <c r="F446" s="6"/>
      <c r="G446" s="6"/>
      <c r="H446" s="6"/>
    </row>
    <row r="447" spans="1:8" ht="15.6">
      <c r="A447" s="6"/>
      <c r="B447" s="6"/>
      <c r="C447" s="6"/>
      <c r="D447" s="6"/>
      <c r="E447" s="6"/>
      <c r="F447" s="6"/>
      <c r="G447" s="6"/>
      <c r="H447" s="6"/>
    </row>
    <row r="448" spans="1:8" ht="15.6">
      <c r="A448" s="6"/>
      <c r="B448" s="6"/>
      <c r="C448" s="6"/>
      <c r="D448" s="6"/>
      <c r="E448" s="6"/>
      <c r="F448" s="6"/>
      <c r="G448" s="6"/>
      <c r="H448" s="6"/>
    </row>
    <row r="449" spans="1:8" ht="15.6">
      <c r="A449" s="6"/>
      <c r="B449" s="6"/>
      <c r="C449" s="6"/>
      <c r="D449" s="6"/>
      <c r="E449" s="6"/>
      <c r="F449" s="6"/>
      <c r="G449" s="6"/>
      <c r="H449" s="6"/>
    </row>
    <row r="450" spans="1:8" ht="15.6">
      <c r="A450" s="6"/>
      <c r="B450" s="6"/>
      <c r="C450" s="6"/>
      <c r="D450" s="6"/>
      <c r="E450" s="6"/>
      <c r="F450" s="6"/>
      <c r="G450" s="6"/>
      <c r="H450" s="6"/>
    </row>
    <row r="451" spans="1:8" ht="15.6">
      <c r="A451" s="6"/>
      <c r="B451" s="6"/>
      <c r="C451" s="6"/>
      <c r="D451" s="6"/>
      <c r="E451" s="6"/>
      <c r="F451" s="6"/>
      <c r="G451" s="6"/>
      <c r="H451" s="6"/>
    </row>
    <row r="452" spans="1:8" ht="15.6">
      <c r="A452" s="6"/>
      <c r="B452" s="6"/>
      <c r="C452" s="6"/>
      <c r="D452" s="6"/>
      <c r="E452" s="6"/>
      <c r="F452" s="6"/>
      <c r="G452" s="6"/>
      <c r="H452" s="6"/>
    </row>
    <row r="453" spans="1:8" ht="15.6">
      <c r="A453" s="6"/>
      <c r="B453" s="6"/>
      <c r="C453" s="6"/>
      <c r="D453" s="6"/>
      <c r="E453" s="6"/>
      <c r="F453" s="6"/>
      <c r="G453" s="6"/>
      <c r="H453" s="6"/>
    </row>
    <row r="454" spans="1:8" ht="15.6">
      <c r="A454" s="6"/>
      <c r="B454" s="6"/>
      <c r="C454" s="6"/>
      <c r="D454" s="6"/>
      <c r="E454" s="6"/>
      <c r="F454" s="6"/>
      <c r="G454" s="6"/>
      <c r="H454" s="6"/>
    </row>
    <row r="455" spans="1:8" ht="15.6">
      <c r="A455" s="6"/>
      <c r="B455" s="6"/>
      <c r="C455" s="6"/>
      <c r="D455" s="6"/>
      <c r="E455" s="6"/>
      <c r="F455" s="6"/>
      <c r="G455" s="6"/>
      <c r="H455" s="6"/>
    </row>
    <row r="456" spans="1:8" ht="15.6">
      <c r="A456" s="6"/>
      <c r="B456" s="6"/>
      <c r="C456" s="6"/>
      <c r="D456" s="6"/>
      <c r="E456" s="6"/>
      <c r="F456" s="6"/>
      <c r="G456" s="6"/>
      <c r="H456" s="6"/>
    </row>
    <row r="457" spans="1:8" ht="15.6">
      <c r="A457" s="6"/>
      <c r="B457" s="6"/>
      <c r="C457" s="6"/>
      <c r="D457" s="6"/>
      <c r="E457" s="6"/>
      <c r="F457" s="6"/>
      <c r="G457" s="6"/>
      <c r="H457" s="6"/>
    </row>
    <row r="458" spans="1:8" ht="15.6">
      <c r="A458" s="6"/>
      <c r="B458" s="6"/>
      <c r="C458" s="6"/>
      <c r="D458" s="6"/>
      <c r="E458" s="6"/>
      <c r="F458" s="6"/>
      <c r="G458" s="6"/>
      <c r="H458" s="6"/>
    </row>
    <row r="459" spans="1:8" ht="15.6">
      <c r="A459" s="6"/>
      <c r="B459" s="6"/>
      <c r="C459" s="6"/>
      <c r="D459" s="6"/>
      <c r="E459" s="6"/>
      <c r="F459" s="6"/>
      <c r="G459" s="6"/>
      <c r="H459" s="6"/>
    </row>
    <row r="460" spans="1:8" ht="15.6">
      <c r="A460" s="6"/>
      <c r="B460" s="6"/>
      <c r="C460" s="6"/>
      <c r="D460" s="6"/>
      <c r="E460" s="6"/>
      <c r="F460" s="6"/>
      <c r="G460" s="6"/>
      <c r="H460" s="6"/>
    </row>
    <row r="461" spans="1:8" ht="15.6">
      <c r="A461" s="6"/>
      <c r="B461" s="6"/>
      <c r="C461" s="6"/>
      <c r="D461" s="6"/>
      <c r="E461" s="6"/>
      <c r="F461" s="6"/>
      <c r="G461" s="6"/>
      <c r="H461" s="6"/>
    </row>
    <row r="462" spans="1:8" ht="15.6">
      <c r="A462" s="6"/>
      <c r="B462" s="6"/>
      <c r="C462" s="6"/>
      <c r="D462" s="6"/>
      <c r="E462" s="6"/>
      <c r="F462" s="6"/>
      <c r="G462" s="6"/>
      <c r="H462" s="6"/>
    </row>
    <row r="463" spans="1:8" ht="15.6">
      <c r="A463" s="6"/>
      <c r="B463" s="6"/>
      <c r="C463" s="6"/>
      <c r="D463" s="6"/>
      <c r="E463" s="6"/>
      <c r="F463" s="6"/>
      <c r="G463" s="6"/>
      <c r="H463" s="6"/>
    </row>
    <row r="464" spans="1:8" ht="15.6">
      <c r="A464" s="6"/>
      <c r="B464" s="6"/>
      <c r="C464" s="6"/>
      <c r="D464" s="6"/>
      <c r="E464" s="6"/>
      <c r="F464" s="6"/>
      <c r="G464" s="6"/>
      <c r="H464" s="6"/>
    </row>
    <row r="465" spans="1:8" ht="15.6">
      <c r="A465" s="6"/>
      <c r="B465" s="6"/>
      <c r="C465" s="6"/>
      <c r="D465" s="6"/>
      <c r="E465" s="6"/>
      <c r="F465" s="6"/>
      <c r="G465" s="6"/>
      <c r="H465" s="6"/>
    </row>
    <row r="466" spans="1:8" ht="15.6">
      <c r="A466" s="6"/>
      <c r="B466" s="6"/>
      <c r="C466" s="6"/>
      <c r="D466" s="6"/>
      <c r="E466" s="6"/>
      <c r="F466" s="6"/>
      <c r="G466" s="6"/>
      <c r="H466" s="6"/>
    </row>
    <row r="467" spans="1:8" ht="15.6">
      <c r="A467" s="6"/>
      <c r="B467" s="6"/>
      <c r="C467" s="6"/>
      <c r="D467" s="6"/>
      <c r="E467" s="6"/>
      <c r="F467" s="6"/>
      <c r="G467" s="6"/>
      <c r="H467" s="6"/>
    </row>
    <row r="468" spans="1:8" ht="15.6">
      <c r="A468" s="6"/>
      <c r="B468" s="6"/>
      <c r="C468" s="6"/>
      <c r="D468" s="6"/>
      <c r="E468" s="6"/>
      <c r="F468" s="6"/>
      <c r="G468" s="6"/>
      <c r="H468" s="6"/>
    </row>
    <row r="469" spans="1:8" ht="15.6">
      <c r="A469" s="6"/>
      <c r="B469" s="6"/>
      <c r="C469" s="6"/>
      <c r="D469" s="6"/>
      <c r="E469" s="6"/>
      <c r="F469" s="6"/>
      <c r="G469" s="6"/>
      <c r="H469" s="6"/>
    </row>
    <row r="470" spans="1:8" ht="15.6">
      <c r="A470" s="6"/>
      <c r="B470" s="6"/>
      <c r="C470" s="6"/>
      <c r="D470" s="6"/>
      <c r="E470" s="6"/>
      <c r="F470" s="6"/>
      <c r="G470" s="6"/>
      <c r="H470" s="6"/>
    </row>
    <row r="471" spans="1:8" ht="15.6">
      <c r="A471" s="6"/>
      <c r="B471" s="6"/>
      <c r="C471" s="6"/>
      <c r="D471" s="6"/>
      <c r="E471" s="6"/>
      <c r="F471" s="6"/>
      <c r="G471" s="6"/>
      <c r="H471" s="6"/>
    </row>
    <row r="472" spans="1:8" ht="15.6">
      <c r="A472" s="6"/>
      <c r="B472" s="6"/>
      <c r="C472" s="6"/>
      <c r="D472" s="6"/>
      <c r="E472" s="6"/>
      <c r="F472" s="6"/>
      <c r="G472" s="6"/>
      <c r="H472" s="6"/>
    </row>
    <row r="473" spans="1:8" ht="15.6">
      <c r="A473" s="6"/>
      <c r="B473" s="6"/>
      <c r="C473" s="6"/>
      <c r="D473" s="6"/>
      <c r="E473" s="6"/>
      <c r="F473" s="6"/>
      <c r="G473" s="6"/>
      <c r="H473" s="6"/>
    </row>
    <row r="474" spans="1:8" ht="15.6">
      <c r="A474" s="6"/>
      <c r="B474" s="6"/>
      <c r="C474" s="6"/>
      <c r="D474" s="6"/>
      <c r="E474" s="6"/>
      <c r="F474" s="6"/>
      <c r="G474" s="6"/>
      <c r="H474" s="6"/>
    </row>
    <row r="475" spans="1:8" ht="15.6">
      <c r="A475" s="6"/>
      <c r="B475" s="6"/>
      <c r="C475" s="6"/>
      <c r="D475" s="6"/>
      <c r="E475" s="6"/>
      <c r="F475" s="6"/>
      <c r="G475" s="6"/>
      <c r="H475" s="6"/>
    </row>
    <row r="476" spans="1:8" ht="15.6">
      <c r="A476" s="6"/>
      <c r="B476" s="6"/>
      <c r="C476" s="6"/>
      <c r="D476" s="6"/>
      <c r="E476" s="6"/>
      <c r="F476" s="6"/>
      <c r="G476" s="6"/>
      <c r="H476" s="6"/>
    </row>
    <row r="477" spans="1:8" ht="15.6">
      <c r="A477" s="6"/>
      <c r="B477" s="6"/>
      <c r="C477" s="6"/>
      <c r="D477" s="6"/>
      <c r="E477" s="6"/>
      <c r="F477" s="6"/>
      <c r="G477" s="6"/>
      <c r="H477" s="6"/>
    </row>
    <row r="478" spans="1:8" ht="15.6">
      <c r="A478" s="6"/>
      <c r="B478" s="6"/>
      <c r="C478" s="6"/>
      <c r="D478" s="6"/>
      <c r="E478" s="6"/>
      <c r="F478" s="6"/>
      <c r="G478" s="6"/>
      <c r="H478" s="6"/>
    </row>
    <row r="479" spans="1:8" ht="15.6">
      <c r="A479" s="6"/>
      <c r="B479" s="6"/>
      <c r="C479" s="6"/>
      <c r="D479" s="6"/>
      <c r="E479" s="6"/>
      <c r="F479" s="6"/>
      <c r="G479" s="6"/>
      <c r="H479" s="6"/>
    </row>
    <row r="480" spans="1:8" ht="15.6">
      <c r="A480" s="6"/>
      <c r="B480" s="6"/>
      <c r="C480" s="6"/>
      <c r="D480" s="6"/>
      <c r="E480" s="6"/>
      <c r="F480" s="6"/>
      <c r="G480" s="6"/>
      <c r="H480" s="6"/>
    </row>
    <row r="481" spans="1:8" ht="15.6">
      <c r="A481" s="6"/>
      <c r="B481" s="6"/>
      <c r="C481" s="6"/>
      <c r="D481" s="6"/>
      <c r="E481" s="6"/>
      <c r="F481" s="6"/>
      <c r="G481" s="6"/>
      <c r="H481" s="6"/>
    </row>
    <row r="482" spans="1:8" ht="15.6">
      <c r="A482" s="6"/>
      <c r="B482" s="6"/>
      <c r="C482" s="6"/>
      <c r="D482" s="6"/>
      <c r="E482" s="6"/>
      <c r="F482" s="6"/>
      <c r="G482" s="6"/>
      <c r="H482" s="6"/>
    </row>
    <row r="483" spans="1:8" ht="15.6">
      <c r="A483" s="6"/>
      <c r="B483" s="6"/>
      <c r="C483" s="6"/>
      <c r="D483" s="6"/>
      <c r="E483" s="6"/>
      <c r="F483" s="6"/>
      <c r="G483" s="6"/>
      <c r="H483" s="6"/>
    </row>
    <row r="484" spans="1:8" ht="15.6">
      <c r="A484" s="6"/>
      <c r="B484" s="6"/>
      <c r="C484" s="6"/>
      <c r="D484" s="6"/>
      <c r="E484" s="6"/>
      <c r="F484" s="6"/>
      <c r="G484" s="6"/>
      <c r="H484" s="6"/>
    </row>
    <row r="485" spans="1:8" ht="15.6">
      <c r="A485" s="6"/>
      <c r="B485" s="6"/>
      <c r="C485" s="6"/>
      <c r="D485" s="6"/>
      <c r="E485" s="6"/>
      <c r="F485" s="6"/>
      <c r="G485" s="6"/>
      <c r="H485" s="6"/>
    </row>
    <row r="486" spans="1:8" ht="15.6">
      <c r="A486" s="6"/>
      <c r="B486" s="6"/>
      <c r="C486" s="6"/>
      <c r="D486" s="6"/>
      <c r="E486" s="6"/>
      <c r="F486" s="6"/>
      <c r="G486" s="6"/>
      <c r="H486" s="6"/>
    </row>
    <row r="487" spans="1:8" ht="15.6">
      <c r="A487" s="6"/>
      <c r="B487" s="6"/>
      <c r="C487" s="6"/>
      <c r="D487" s="6"/>
      <c r="E487" s="6"/>
      <c r="F487" s="6"/>
      <c r="G487" s="6"/>
      <c r="H487" s="6"/>
    </row>
    <row r="488" spans="1:8" ht="15.6">
      <c r="A488" s="6"/>
      <c r="B488" s="6"/>
      <c r="C488" s="6"/>
      <c r="D488" s="6"/>
      <c r="E488" s="6"/>
      <c r="F488" s="6"/>
      <c r="G488" s="6"/>
      <c r="H488" s="6"/>
    </row>
    <row r="489" spans="1:8" ht="15.6">
      <c r="A489" s="6"/>
      <c r="B489" s="6"/>
      <c r="C489" s="6"/>
      <c r="D489" s="6"/>
      <c r="E489" s="6"/>
      <c r="F489" s="6"/>
      <c r="G489" s="6"/>
      <c r="H489" s="6"/>
    </row>
    <row r="490" spans="1:8" ht="15.6">
      <c r="A490" s="6"/>
      <c r="B490" s="6"/>
      <c r="C490" s="6"/>
      <c r="D490" s="6"/>
      <c r="E490" s="6"/>
      <c r="F490" s="6"/>
      <c r="G490" s="6"/>
      <c r="H490" s="6"/>
    </row>
    <row r="491" spans="1:8" ht="15.6">
      <c r="A491" s="6"/>
      <c r="B491" s="6"/>
      <c r="C491" s="6"/>
      <c r="D491" s="6"/>
      <c r="E491" s="6"/>
      <c r="F491" s="6"/>
      <c r="G491" s="6"/>
      <c r="H491" s="6"/>
    </row>
    <row r="492" spans="1:8" ht="15.6">
      <c r="A492" s="6"/>
      <c r="B492" s="6"/>
      <c r="C492" s="6"/>
      <c r="D492" s="6"/>
      <c r="E492" s="6"/>
      <c r="F492" s="6"/>
      <c r="G492" s="6"/>
      <c r="H492" s="6"/>
    </row>
    <row r="493" spans="1:8" ht="15.6">
      <c r="A493" s="6"/>
      <c r="B493" s="6"/>
      <c r="C493" s="6"/>
      <c r="D493" s="6"/>
      <c r="E493" s="6"/>
      <c r="F493" s="6"/>
      <c r="G493" s="6"/>
      <c r="H493" s="6"/>
    </row>
    <row r="494" spans="1:8" ht="15.6">
      <c r="A494" s="6"/>
      <c r="B494" s="6"/>
      <c r="C494" s="6"/>
      <c r="D494" s="6"/>
      <c r="E494" s="6"/>
      <c r="F494" s="6"/>
      <c r="G494" s="6"/>
      <c r="H494" s="6"/>
    </row>
    <row r="495" spans="1:8" ht="15.6">
      <c r="A495" s="6"/>
      <c r="B495" s="6"/>
      <c r="C495" s="6"/>
      <c r="D495" s="6"/>
      <c r="E495" s="6"/>
      <c r="F495" s="6"/>
      <c r="G495" s="6"/>
      <c r="H495" s="6"/>
    </row>
    <row r="496" spans="1:8" ht="15.6">
      <c r="A496" s="6"/>
      <c r="B496" s="6"/>
      <c r="C496" s="6"/>
      <c r="D496" s="6"/>
      <c r="E496" s="6"/>
      <c r="F496" s="6"/>
      <c r="G496" s="6"/>
      <c r="H496" s="6"/>
    </row>
    <row r="497" spans="1:8" ht="15.6">
      <c r="A497" s="6"/>
      <c r="B497" s="6"/>
      <c r="C497" s="6"/>
      <c r="D497" s="6"/>
      <c r="E497" s="6"/>
      <c r="F497" s="6"/>
      <c r="G497" s="6"/>
      <c r="H497" s="6"/>
    </row>
    <row r="498" spans="1:8" ht="15.6">
      <c r="A498" s="6"/>
      <c r="B498" s="6"/>
      <c r="C498" s="6"/>
      <c r="D498" s="6"/>
      <c r="E498" s="6"/>
      <c r="F498" s="6"/>
      <c r="G498" s="6"/>
      <c r="H498" s="6"/>
    </row>
    <row r="499" spans="1:8" ht="15.6">
      <c r="A499" s="6"/>
      <c r="B499" s="6"/>
      <c r="C499" s="6"/>
      <c r="D499" s="6"/>
      <c r="E499" s="6"/>
      <c r="F499" s="6"/>
      <c r="G499" s="6"/>
      <c r="H499" s="6"/>
    </row>
    <row r="500" spans="1:8" ht="15.6">
      <c r="A500" s="6"/>
      <c r="B500" s="6"/>
      <c r="C500" s="6"/>
      <c r="D500" s="6"/>
      <c r="E500" s="6"/>
      <c r="F500" s="6"/>
      <c r="G500" s="6"/>
      <c r="H500" s="6"/>
    </row>
    <row r="501" spans="1:8" ht="15.6">
      <c r="A501" s="6"/>
      <c r="B501" s="6"/>
      <c r="C501" s="6"/>
      <c r="D501" s="6"/>
      <c r="E501" s="6"/>
      <c r="F501" s="6"/>
      <c r="G501" s="6"/>
      <c r="H501" s="6"/>
    </row>
    <row r="502" spans="1:8" ht="15.6">
      <c r="A502" s="6"/>
      <c r="B502" s="6"/>
      <c r="C502" s="6"/>
      <c r="D502" s="6"/>
      <c r="E502" s="6"/>
      <c r="F502" s="6"/>
      <c r="G502" s="6"/>
      <c r="H502" s="6"/>
    </row>
    <row r="503" spans="1:8" ht="15.6">
      <c r="A503" s="6"/>
      <c r="B503" s="6"/>
      <c r="C503" s="6"/>
      <c r="D503" s="6"/>
      <c r="E503" s="6"/>
      <c r="F503" s="6"/>
      <c r="G503" s="6"/>
      <c r="H503" s="6"/>
    </row>
    <row r="504" spans="1:8" ht="15.6">
      <c r="A504" s="6"/>
      <c r="B504" s="6"/>
      <c r="C504" s="6"/>
      <c r="D504" s="6"/>
      <c r="E504" s="6"/>
      <c r="F504" s="6"/>
      <c r="G504" s="6"/>
      <c r="H504" s="6"/>
    </row>
    <row r="505" spans="1:8" ht="15.6">
      <c r="A505" s="6"/>
      <c r="B505" s="6"/>
      <c r="C505" s="6"/>
      <c r="D505" s="6"/>
      <c r="E505" s="6"/>
      <c r="F505" s="6"/>
      <c r="G505" s="6"/>
      <c r="H505" s="6"/>
    </row>
    <row r="506" spans="1:8" ht="15.6">
      <c r="A506" s="6"/>
      <c r="B506" s="6"/>
      <c r="C506" s="6"/>
      <c r="D506" s="6"/>
      <c r="E506" s="6"/>
      <c r="F506" s="6"/>
      <c r="G506" s="6"/>
      <c r="H506" s="6"/>
    </row>
    <row r="507" spans="1:8" ht="15.6">
      <c r="A507" s="6"/>
      <c r="B507" s="6"/>
      <c r="C507" s="6"/>
      <c r="D507" s="6"/>
      <c r="E507" s="6"/>
      <c r="F507" s="6"/>
      <c r="G507" s="6"/>
      <c r="H507" s="6"/>
    </row>
    <row r="508" spans="1:8" ht="15.6">
      <c r="A508" s="6"/>
      <c r="B508" s="6"/>
      <c r="C508" s="6"/>
      <c r="D508" s="6"/>
      <c r="E508" s="6"/>
      <c r="F508" s="6"/>
      <c r="G508" s="6"/>
      <c r="H508" s="6"/>
    </row>
    <row r="509" spans="1:8" ht="15.6">
      <c r="A509" s="6"/>
      <c r="B509" s="6"/>
      <c r="C509" s="6"/>
      <c r="D509" s="6"/>
      <c r="E509" s="6"/>
      <c r="F509" s="6"/>
      <c r="G509" s="6"/>
      <c r="H509" s="6"/>
    </row>
    <row r="510" spans="1:8" ht="15.6">
      <c r="A510" s="6"/>
      <c r="B510" s="6"/>
      <c r="C510" s="6"/>
      <c r="D510" s="6"/>
      <c r="E510" s="6"/>
      <c r="F510" s="6"/>
      <c r="G510" s="6"/>
      <c r="H510" s="6"/>
    </row>
    <row r="511" spans="1:8" ht="15.6">
      <c r="A511" s="6"/>
      <c r="B511" s="6"/>
      <c r="C511" s="6"/>
      <c r="D511" s="6"/>
      <c r="E511" s="6"/>
      <c r="F511" s="6"/>
      <c r="G511" s="6"/>
      <c r="H511" s="6"/>
    </row>
    <row r="512" spans="1:8" ht="15.6">
      <c r="A512" s="6"/>
      <c r="B512" s="6"/>
      <c r="C512" s="6"/>
      <c r="D512" s="6"/>
      <c r="E512" s="6"/>
      <c r="F512" s="6"/>
      <c r="G512" s="6"/>
      <c r="H512" s="6"/>
    </row>
    <row r="513" spans="1:8" ht="15.6">
      <c r="A513" s="6"/>
      <c r="B513" s="6"/>
      <c r="C513" s="6"/>
      <c r="D513" s="6"/>
      <c r="E513" s="6"/>
      <c r="F513" s="6"/>
      <c r="G513" s="6"/>
      <c r="H513" s="6"/>
    </row>
    <row r="514" spans="1:8" ht="15.6">
      <c r="A514" s="6"/>
      <c r="B514" s="6"/>
      <c r="C514" s="6"/>
      <c r="D514" s="6"/>
      <c r="E514" s="6"/>
      <c r="F514" s="6"/>
      <c r="G514" s="6"/>
      <c r="H514" s="6"/>
    </row>
    <row r="515" spans="1:8" ht="15.6">
      <c r="A515" s="6"/>
      <c r="B515" s="6"/>
      <c r="C515" s="6"/>
      <c r="D515" s="6"/>
      <c r="E515" s="6"/>
      <c r="F515" s="6"/>
      <c r="G515" s="6"/>
      <c r="H515" s="6"/>
    </row>
    <row r="516" spans="1:8" ht="15.6">
      <c r="A516" s="6"/>
      <c r="B516" s="6"/>
      <c r="C516" s="6"/>
      <c r="D516" s="6"/>
      <c r="E516" s="6"/>
      <c r="F516" s="6"/>
      <c r="G516" s="6"/>
      <c r="H516" s="6"/>
    </row>
    <row r="517" spans="1:8" ht="15.6">
      <c r="A517" s="6"/>
      <c r="B517" s="6"/>
      <c r="C517" s="6"/>
      <c r="D517" s="6"/>
      <c r="E517" s="6"/>
      <c r="F517" s="6"/>
      <c r="G517" s="6"/>
      <c r="H517" s="6"/>
    </row>
    <row r="518" spans="1:8" ht="15.6">
      <c r="A518" s="6"/>
      <c r="B518" s="6"/>
      <c r="C518" s="6"/>
      <c r="D518" s="6"/>
      <c r="E518" s="6"/>
      <c r="F518" s="6"/>
      <c r="G518" s="6"/>
      <c r="H518" s="6"/>
    </row>
    <row r="519" spans="1:8" ht="15.6">
      <c r="A519" s="6"/>
      <c r="B519" s="6"/>
      <c r="C519" s="6"/>
      <c r="D519" s="6"/>
      <c r="E519" s="6"/>
      <c r="F519" s="6"/>
      <c r="G519" s="6"/>
      <c r="H519" s="6"/>
    </row>
    <row r="520" spans="1:8" ht="15.6">
      <c r="A520" s="6"/>
      <c r="B520" s="6"/>
      <c r="C520" s="6"/>
      <c r="D520" s="6"/>
      <c r="E520" s="6"/>
      <c r="F520" s="6"/>
      <c r="G520" s="6"/>
      <c r="H520" s="6"/>
    </row>
    <row r="521" spans="1:8" ht="15.6">
      <c r="A521" s="6"/>
      <c r="B521" s="6"/>
      <c r="C521" s="6"/>
      <c r="D521" s="6"/>
      <c r="E521" s="6"/>
      <c r="F521" s="6"/>
      <c r="G521" s="6"/>
      <c r="H521" s="6"/>
    </row>
    <row r="522" spans="1:8" ht="15.6">
      <c r="A522" s="6"/>
      <c r="B522" s="6"/>
      <c r="C522" s="6"/>
      <c r="D522" s="6"/>
      <c r="E522" s="6"/>
      <c r="F522" s="6"/>
      <c r="G522" s="6"/>
      <c r="H522" s="6"/>
    </row>
    <row r="523" spans="1:8" ht="15.6">
      <c r="A523" s="6"/>
      <c r="B523" s="6"/>
      <c r="C523" s="6"/>
      <c r="D523" s="6"/>
      <c r="E523" s="6"/>
      <c r="F523" s="6"/>
      <c r="G523" s="6"/>
      <c r="H523" s="6"/>
    </row>
    <row r="524" spans="1:8" ht="15.6">
      <c r="A524" s="6"/>
      <c r="B524" s="6"/>
      <c r="C524" s="6"/>
      <c r="D524" s="6"/>
      <c r="E524" s="6"/>
      <c r="F524" s="6"/>
      <c r="G524" s="6"/>
      <c r="H524" s="6"/>
    </row>
    <row r="525" spans="1:8" ht="15.6">
      <c r="A525" s="6"/>
      <c r="B525" s="6"/>
      <c r="C525" s="6"/>
      <c r="D525" s="6"/>
      <c r="E525" s="6"/>
      <c r="F525" s="6"/>
      <c r="G525" s="6"/>
      <c r="H525" s="6"/>
    </row>
    <row r="526" spans="1:8" ht="15.6">
      <c r="A526" s="6"/>
      <c r="B526" s="6"/>
      <c r="C526" s="6"/>
      <c r="D526" s="6"/>
      <c r="E526" s="6"/>
      <c r="F526" s="6"/>
      <c r="G526" s="6"/>
      <c r="H526" s="6"/>
    </row>
    <row r="527" spans="1:8" ht="15.6">
      <c r="A527" s="6"/>
      <c r="B527" s="6"/>
      <c r="C527" s="6"/>
      <c r="D527" s="6"/>
      <c r="E527" s="6"/>
      <c r="F527" s="6"/>
      <c r="G527" s="6"/>
      <c r="H527" s="6"/>
    </row>
    <row r="528" spans="1:8" ht="15.6">
      <c r="A528" s="6"/>
      <c r="B528" s="6"/>
      <c r="C528" s="6"/>
      <c r="D528" s="6"/>
      <c r="E528" s="6"/>
      <c r="F528" s="6"/>
      <c r="G528" s="6"/>
      <c r="H528" s="6"/>
    </row>
    <row r="529" spans="1:8" ht="15.6">
      <c r="A529" s="6"/>
      <c r="B529" s="6"/>
      <c r="C529" s="6"/>
      <c r="D529" s="6"/>
      <c r="E529" s="6"/>
      <c r="F529" s="6"/>
      <c r="G529" s="6"/>
      <c r="H529" s="6"/>
    </row>
    <row r="530" spans="1:8" ht="15.6">
      <c r="A530" s="6"/>
      <c r="B530" s="6"/>
      <c r="C530" s="6"/>
      <c r="D530" s="6"/>
      <c r="E530" s="6"/>
      <c r="F530" s="6"/>
      <c r="G530" s="6"/>
      <c r="H530" s="6"/>
    </row>
    <row r="531" spans="1:8" ht="15.6">
      <c r="A531" s="6"/>
      <c r="B531" s="6"/>
      <c r="C531" s="6"/>
      <c r="D531" s="6"/>
      <c r="E531" s="6"/>
      <c r="F531" s="6"/>
      <c r="G531" s="6"/>
      <c r="H531" s="6"/>
    </row>
    <row r="532" spans="1:8" ht="15.6">
      <c r="A532" s="6"/>
      <c r="B532" s="6"/>
      <c r="C532" s="6"/>
      <c r="D532" s="6"/>
      <c r="E532" s="6"/>
      <c r="F532" s="6"/>
      <c r="G532" s="6"/>
      <c r="H532" s="6"/>
    </row>
    <row r="533" spans="1:8" ht="15.6">
      <c r="A533" s="6"/>
      <c r="B533" s="6"/>
      <c r="C533" s="6"/>
      <c r="D533" s="6"/>
      <c r="E533" s="6"/>
      <c r="F533" s="6"/>
      <c r="G533" s="6"/>
      <c r="H533" s="6"/>
    </row>
    <row r="534" spans="1:8" ht="15.6">
      <c r="A534" s="6"/>
      <c r="B534" s="6"/>
      <c r="C534" s="6"/>
      <c r="D534" s="6"/>
      <c r="E534" s="6"/>
      <c r="F534" s="6"/>
      <c r="G534" s="6"/>
      <c r="H534" s="6"/>
    </row>
    <row r="535" spans="1:8" ht="15.6">
      <c r="A535" s="6"/>
      <c r="B535" s="6"/>
      <c r="C535" s="6"/>
      <c r="D535" s="6"/>
      <c r="E535" s="6"/>
      <c r="F535" s="6"/>
      <c r="G535" s="6"/>
      <c r="H535" s="6"/>
    </row>
    <row r="536" spans="1:8" ht="15.6">
      <c r="A536" s="6"/>
      <c r="B536" s="6"/>
      <c r="C536" s="6"/>
      <c r="D536" s="6"/>
      <c r="E536" s="6"/>
      <c r="F536" s="6"/>
      <c r="G536" s="6"/>
      <c r="H536" s="6"/>
    </row>
    <row r="537" spans="1:8" ht="15.6">
      <c r="A537" s="6"/>
      <c r="B537" s="6"/>
      <c r="C537" s="6"/>
      <c r="D537" s="6"/>
      <c r="E537" s="6"/>
      <c r="F537" s="6"/>
      <c r="G537" s="6"/>
      <c r="H537" s="6"/>
    </row>
    <row r="538" spans="1:8" ht="15.6">
      <c r="A538" s="6"/>
      <c r="B538" s="6"/>
      <c r="C538" s="6"/>
      <c r="D538" s="6"/>
      <c r="E538" s="6"/>
      <c r="F538" s="6"/>
      <c r="G538" s="6"/>
      <c r="H538" s="6"/>
    </row>
    <row r="539" spans="1:8" ht="15.6">
      <c r="A539" s="6"/>
      <c r="B539" s="6"/>
      <c r="C539" s="6"/>
      <c r="D539" s="6"/>
      <c r="E539" s="6"/>
      <c r="F539" s="6"/>
      <c r="G539" s="6"/>
      <c r="H539" s="6"/>
    </row>
    <row r="540" spans="1:8" ht="15.6">
      <c r="A540" s="6"/>
      <c r="B540" s="6"/>
      <c r="C540" s="6"/>
      <c r="D540" s="6"/>
      <c r="E540" s="6"/>
      <c r="F540" s="6"/>
      <c r="G540" s="6"/>
      <c r="H540" s="6"/>
    </row>
    <row r="541" spans="1:8" ht="15.6">
      <c r="A541" s="6"/>
      <c r="B541" s="6"/>
      <c r="C541" s="6"/>
      <c r="D541" s="6"/>
      <c r="E541" s="6"/>
      <c r="F541" s="6"/>
      <c r="G541" s="6"/>
      <c r="H541" s="6"/>
    </row>
    <row r="542" spans="1:8" ht="15.6">
      <c r="A542" s="6"/>
      <c r="B542" s="6"/>
      <c r="C542" s="6"/>
      <c r="D542" s="6"/>
      <c r="E542" s="6"/>
      <c r="F542" s="6"/>
      <c r="G542" s="6"/>
      <c r="H542" s="6"/>
    </row>
    <row r="543" spans="1:8" ht="15.6">
      <c r="A543" s="6"/>
      <c r="B543" s="6"/>
      <c r="C543" s="6"/>
      <c r="D543" s="6"/>
      <c r="E543" s="6"/>
      <c r="F543" s="6"/>
      <c r="G543" s="6"/>
      <c r="H543" s="6"/>
    </row>
    <row r="544" spans="1:8" ht="15.6">
      <c r="A544" s="6"/>
      <c r="B544" s="6"/>
      <c r="C544" s="6"/>
      <c r="D544" s="6"/>
      <c r="E544" s="6"/>
      <c r="F544" s="6"/>
      <c r="G544" s="6"/>
      <c r="H544" s="6"/>
    </row>
    <row r="545" spans="1:8" ht="15.6">
      <c r="A545" s="6"/>
      <c r="B545" s="6"/>
      <c r="C545" s="6"/>
      <c r="D545" s="6"/>
      <c r="E545" s="6"/>
      <c r="F545" s="6"/>
      <c r="G545" s="6"/>
      <c r="H545" s="6"/>
    </row>
    <row r="546" spans="1:8" ht="15.6">
      <c r="A546" s="6"/>
      <c r="B546" s="6"/>
      <c r="C546" s="6"/>
      <c r="D546" s="6"/>
      <c r="E546" s="6"/>
      <c r="F546" s="6"/>
      <c r="G546" s="6"/>
      <c r="H546" s="6"/>
    </row>
    <row r="547" spans="1:8" ht="15.6">
      <c r="A547" s="6"/>
      <c r="B547" s="6"/>
      <c r="C547" s="6"/>
      <c r="D547" s="6"/>
      <c r="E547" s="6"/>
      <c r="F547" s="6"/>
      <c r="G547" s="6"/>
      <c r="H547" s="6"/>
    </row>
    <row r="548" spans="1:8" ht="15.6">
      <c r="A548" s="6"/>
      <c r="B548" s="6"/>
      <c r="C548" s="6"/>
      <c r="D548" s="6"/>
      <c r="E548" s="6"/>
      <c r="F548" s="6"/>
      <c r="G548" s="6"/>
      <c r="H548" s="6"/>
    </row>
    <row r="549" spans="1:8" ht="15.6">
      <c r="A549" s="6"/>
      <c r="B549" s="6"/>
      <c r="C549" s="6"/>
      <c r="D549" s="6"/>
      <c r="E549" s="6"/>
      <c r="F549" s="6"/>
      <c r="G549" s="6"/>
      <c r="H549" s="6"/>
    </row>
    <row r="550" spans="1:8" ht="15.6">
      <c r="A550" s="6"/>
      <c r="B550" s="6"/>
      <c r="C550" s="6"/>
      <c r="D550" s="6"/>
      <c r="E550" s="6"/>
      <c r="F550" s="6"/>
      <c r="G550" s="6"/>
      <c r="H550" s="6"/>
    </row>
    <row r="551" spans="1:8" ht="15.6">
      <c r="A551" s="6"/>
      <c r="B551" s="6"/>
      <c r="C551" s="6"/>
      <c r="D551" s="6"/>
      <c r="E551" s="6"/>
      <c r="F551" s="6"/>
      <c r="G551" s="6"/>
      <c r="H551" s="6"/>
    </row>
    <row r="552" spans="1:8" ht="15.6">
      <c r="A552" s="6"/>
      <c r="B552" s="6"/>
      <c r="C552" s="6"/>
      <c r="D552" s="6"/>
      <c r="E552" s="6"/>
      <c r="F552" s="6"/>
      <c r="G552" s="6"/>
      <c r="H552" s="6"/>
    </row>
    <row r="553" spans="1:8" ht="15.6">
      <c r="A553" s="6"/>
      <c r="B553" s="6"/>
      <c r="C553" s="6"/>
      <c r="D553" s="6"/>
      <c r="E553" s="6"/>
      <c r="F553" s="6"/>
      <c r="G553" s="6"/>
      <c r="H553" s="6"/>
    </row>
    <row r="554" spans="1:8" ht="15.6">
      <c r="A554" s="6"/>
      <c r="B554" s="6"/>
      <c r="C554" s="6"/>
      <c r="D554" s="6"/>
      <c r="E554" s="6"/>
      <c r="F554" s="6"/>
      <c r="G554" s="6"/>
      <c r="H554" s="6"/>
    </row>
    <row r="555" spans="1:8" ht="15.6">
      <c r="A555" s="6"/>
      <c r="B555" s="6"/>
      <c r="C555" s="6"/>
      <c r="D555" s="6"/>
      <c r="E555" s="6"/>
      <c r="F555" s="6"/>
      <c r="G555" s="6"/>
      <c r="H555" s="6"/>
    </row>
    <row r="556" spans="1:8" ht="15.6">
      <c r="A556" s="6"/>
      <c r="B556" s="6"/>
      <c r="C556" s="6"/>
      <c r="D556" s="6"/>
      <c r="E556" s="6"/>
      <c r="F556" s="6"/>
      <c r="G556" s="6"/>
      <c r="H556" s="6"/>
    </row>
    <row r="557" spans="1:8" ht="15.6">
      <c r="A557" s="6"/>
      <c r="B557" s="6"/>
      <c r="C557" s="6"/>
      <c r="D557" s="6"/>
      <c r="E557" s="6"/>
      <c r="F557" s="6"/>
      <c r="G557" s="6"/>
      <c r="H557" s="6"/>
    </row>
    <row r="558" spans="1:8" ht="15.6">
      <c r="A558" s="6"/>
      <c r="B558" s="6"/>
      <c r="C558" s="6"/>
      <c r="D558" s="6"/>
      <c r="E558" s="6"/>
      <c r="F558" s="6"/>
      <c r="G558" s="6"/>
      <c r="H558" s="6"/>
    </row>
    <row r="559" spans="1:8" ht="15.6">
      <c r="A559" s="6"/>
      <c r="B559" s="6"/>
      <c r="C559" s="6"/>
      <c r="D559" s="6"/>
      <c r="E559" s="6"/>
      <c r="F559" s="6"/>
      <c r="G559" s="6"/>
      <c r="H559" s="6"/>
    </row>
    <row r="560" spans="1:8" ht="15.6">
      <c r="A560" s="6"/>
      <c r="B560" s="6"/>
      <c r="C560" s="6"/>
      <c r="D560" s="6"/>
      <c r="E560" s="6"/>
      <c r="F560" s="6"/>
      <c r="G560" s="6"/>
      <c r="H560" s="6"/>
    </row>
    <row r="561" spans="1:8" ht="15.6">
      <c r="A561" s="6"/>
      <c r="B561" s="6"/>
      <c r="C561" s="6"/>
      <c r="D561" s="6"/>
      <c r="E561" s="6"/>
      <c r="F561" s="6"/>
      <c r="G561" s="6"/>
      <c r="H561" s="6"/>
    </row>
    <row r="562" spans="1:8" ht="15.6">
      <c r="A562" s="6"/>
      <c r="B562" s="6"/>
      <c r="C562" s="6"/>
      <c r="D562" s="6"/>
      <c r="E562" s="6"/>
      <c r="F562" s="6"/>
      <c r="G562" s="6"/>
      <c r="H562" s="6"/>
    </row>
    <row r="563" spans="1:8" ht="15.6">
      <c r="A563" s="6"/>
      <c r="B563" s="6"/>
      <c r="C563" s="6"/>
      <c r="D563" s="6"/>
      <c r="E563" s="6"/>
      <c r="F563" s="6"/>
      <c r="G563" s="6"/>
      <c r="H563" s="6"/>
    </row>
    <row r="564" spans="1:8" ht="15.6">
      <c r="A564" s="6"/>
      <c r="B564" s="6"/>
      <c r="C564" s="6"/>
      <c r="D564" s="6"/>
      <c r="E564" s="6"/>
      <c r="F564" s="6"/>
      <c r="G564" s="6"/>
      <c r="H564" s="6"/>
    </row>
    <row r="565" spans="1:8" ht="15.6">
      <c r="A565" s="6"/>
      <c r="B565" s="6"/>
      <c r="C565" s="6"/>
      <c r="D565" s="6"/>
      <c r="E565" s="6"/>
      <c r="F565" s="6"/>
      <c r="G565" s="6"/>
      <c r="H565" s="6"/>
    </row>
    <row r="566" spans="1:8" ht="15.6">
      <c r="A566" s="6"/>
      <c r="B566" s="6"/>
      <c r="C566" s="6"/>
      <c r="D566" s="6"/>
      <c r="E566" s="6"/>
      <c r="F566" s="6"/>
      <c r="G566" s="6"/>
      <c r="H566" s="6"/>
    </row>
    <row r="567" spans="1:8" ht="15.6">
      <c r="A567" s="6"/>
      <c r="B567" s="6"/>
      <c r="C567" s="6"/>
      <c r="D567" s="6"/>
      <c r="E567" s="6"/>
      <c r="F567" s="6"/>
      <c r="G567" s="6"/>
      <c r="H567" s="6"/>
    </row>
    <row r="568" spans="1:8" ht="15.6">
      <c r="A568" s="6"/>
      <c r="B568" s="6"/>
      <c r="C568" s="6"/>
      <c r="D568" s="6"/>
      <c r="E568" s="6"/>
      <c r="F568" s="6"/>
      <c r="G568" s="6"/>
      <c r="H568" s="6"/>
    </row>
    <row r="569" spans="1:8" ht="15.6">
      <c r="A569" s="6"/>
      <c r="B569" s="6"/>
      <c r="C569" s="6"/>
      <c r="D569" s="6"/>
      <c r="E569" s="6"/>
      <c r="F569" s="6"/>
      <c r="G569" s="6"/>
      <c r="H569" s="6"/>
    </row>
    <row r="570" spans="1:8" ht="15.6">
      <c r="A570" s="6"/>
      <c r="B570" s="6"/>
      <c r="C570" s="6"/>
      <c r="D570" s="6"/>
      <c r="E570" s="6"/>
      <c r="F570" s="6"/>
      <c r="G570" s="6"/>
      <c r="H570" s="6"/>
    </row>
    <row r="571" spans="1:8" ht="15.6">
      <c r="A571" s="6"/>
      <c r="B571" s="6"/>
      <c r="C571" s="6"/>
      <c r="D571" s="6"/>
      <c r="E571" s="6"/>
      <c r="F571" s="6"/>
      <c r="G571" s="6"/>
      <c r="H571" s="6"/>
    </row>
    <row r="572" spans="1:8" ht="15.6">
      <c r="A572" s="6"/>
      <c r="B572" s="6"/>
      <c r="C572" s="6"/>
      <c r="D572" s="6"/>
      <c r="E572" s="6"/>
      <c r="F572" s="6"/>
      <c r="G572" s="6"/>
      <c r="H572" s="6"/>
    </row>
    <row r="573" spans="1:8" ht="15.6">
      <c r="A573" s="6"/>
      <c r="B573" s="6"/>
      <c r="C573" s="6"/>
      <c r="D573" s="6"/>
      <c r="E573" s="6"/>
      <c r="F573" s="6"/>
      <c r="G573" s="6"/>
      <c r="H573" s="6"/>
    </row>
    <row r="574" spans="1:8" ht="15.6">
      <c r="A574" s="6"/>
      <c r="B574" s="6"/>
      <c r="C574" s="6"/>
      <c r="D574" s="6"/>
      <c r="E574" s="6"/>
      <c r="F574" s="6"/>
      <c r="G574" s="6"/>
      <c r="H574" s="6"/>
    </row>
    <row r="575" spans="1:8" ht="15.6">
      <c r="A575" s="6"/>
      <c r="B575" s="6"/>
      <c r="C575" s="6"/>
      <c r="D575" s="6"/>
      <c r="E575" s="6"/>
      <c r="F575" s="6"/>
      <c r="G575" s="6"/>
      <c r="H575" s="6"/>
    </row>
    <row r="576" spans="1:8" ht="15.6">
      <c r="A576" s="6"/>
      <c r="B576" s="6"/>
      <c r="C576" s="6"/>
      <c r="D576" s="6"/>
      <c r="E576" s="6"/>
      <c r="F576" s="6"/>
      <c r="G576" s="6"/>
      <c r="H576" s="6"/>
    </row>
    <row r="577" spans="1:8" ht="15.6">
      <c r="A577" s="6"/>
      <c r="B577" s="6"/>
      <c r="C577" s="6"/>
      <c r="D577" s="6"/>
      <c r="E577" s="6"/>
      <c r="F577" s="6"/>
      <c r="G577" s="6"/>
      <c r="H577" s="6"/>
    </row>
    <row r="578" spans="1:8" ht="15.6">
      <c r="A578" s="6"/>
      <c r="B578" s="6"/>
      <c r="C578" s="6"/>
      <c r="D578" s="6"/>
      <c r="E578" s="6"/>
      <c r="F578" s="6"/>
      <c r="G578" s="6"/>
      <c r="H578" s="6"/>
    </row>
    <row r="579" spans="1:8" ht="15.6">
      <c r="A579" s="6"/>
      <c r="B579" s="6"/>
      <c r="C579" s="6"/>
      <c r="D579" s="6"/>
      <c r="E579" s="6"/>
      <c r="F579" s="6"/>
      <c r="G579" s="6"/>
      <c r="H579" s="6"/>
    </row>
    <row r="580" spans="1:8" ht="15.6">
      <c r="A580" s="6"/>
      <c r="B580" s="6"/>
      <c r="C580" s="6"/>
      <c r="D580" s="6"/>
      <c r="E580" s="6"/>
      <c r="F580" s="6"/>
      <c r="G580" s="6"/>
      <c r="H580" s="6"/>
    </row>
    <row r="581" spans="1:8" ht="15.6">
      <c r="A581" s="6"/>
      <c r="B581" s="6"/>
      <c r="C581" s="6"/>
      <c r="D581" s="6"/>
      <c r="E581" s="6"/>
      <c r="F581" s="6"/>
      <c r="G581" s="6"/>
      <c r="H581" s="6"/>
    </row>
    <row r="582" spans="1:8" ht="15.6">
      <c r="A582" s="6"/>
      <c r="B582" s="6"/>
      <c r="C582" s="6"/>
      <c r="D582" s="6"/>
      <c r="E582" s="6"/>
      <c r="F582" s="6"/>
      <c r="G582" s="6"/>
      <c r="H582" s="6"/>
    </row>
    <row r="583" spans="1:8" ht="15.6">
      <c r="A583" s="6"/>
      <c r="B583" s="6"/>
      <c r="C583" s="6"/>
      <c r="D583" s="6"/>
      <c r="E583" s="6"/>
      <c r="F583" s="6"/>
      <c r="G583" s="6"/>
      <c r="H583" s="6"/>
    </row>
    <row r="584" spans="1:8" ht="15.6">
      <c r="A584" s="6"/>
      <c r="B584" s="6"/>
      <c r="C584" s="6"/>
      <c r="D584" s="6"/>
      <c r="E584" s="6"/>
      <c r="F584" s="6"/>
      <c r="G584" s="6"/>
      <c r="H584" s="6"/>
    </row>
    <row r="585" spans="1:8" ht="15.6">
      <c r="A585" s="6"/>
      <c r="B585" s="6"/>
      <c r="C585" s="6"/>
      <c r="D585" s="6"/>
      <c r="E585" s="6"/>
      <c r="F585" s="6"/>
      <c r="G585" s="6"/>
      <c r="H585" s="6"/>
    </row>
    <row r="586" spans="1:8" ht="15.6">
      <c r="A586" s="6"/>
      <c r="B586" s="6"/>
      <c r="C586" s="6"/>
      <c r="D586" s="6"/>
      <c r="E586" s="6"/>
      <c r="F586" s="6"/>
      <c r="G586" s="6"/>
      <c r="H586" s="6"/>
    </row>
    <row r="587" spans="1:8" ht="15.6">
      <c r="A587" s="6"/>
      <c r="B587" s="6"/>
      <c r="C587" s="6"/>
      <c r="D587" s="6"/>
      <c r="E587" s="6"/>
      <c r="F587" s="6"/>
      <c r="G587" s="6"/>
      <c r="H587" s="6"/>
    </row>
    <row r="588" spans="1:8" ht="15.6">
      <c r="A588" s="6"/>
      <c r="B588" s="6"/>
      <c r="C588" s="6"/>
      <c r="D588" s="6"/>
      <c r="E588" s="6"/>
      <c r="F588" s="6"/>
      <c r="G588" s="6"/>
      <c r="H588" s="6"/>
    </row>
    <row r="589" spans="1:8" ht="15.6">
      <c r="A589" s="6"/>
      <c r="B589" s="6"/>
      <c r="C589" s="6"/>
      <c r="D589" s="6"/>
      <c r="E589" s="6"/>
      <c r="F589" s="6"/>
      <c r="G589" s="6"/>
      <c r="H589" s="6"/>
    </row>
    <row r="590" spans="1:8" ht="15.6">
      <c r="A590" s="6"/>
      <c r="B590" s="6"/>
      <c r="C590" s="6"/>
      <c r="D590" s="6"/>
      <c r="E590" s="6"/>
      <c r="F590" s="6"/>
      <c r="G590" s="6"/>
      <c r="H590" s="6"/>
    </row>
    <row r="591" spans="1:8" ht="15.6">
      <c r="A591" s="6"/>
      <c r="B591" s="6"/>
      <c r="C591" s="6"/>
      <c r="D591" s="6"/>
      <c r="E591" s="6"/>
      <c r="F591" s="6"/>
      <c r="G591" s="6"/>
      <c r="H591" s="6"/>
    </row>
    <row r="592" spans="1:8" ht="15.6">
      <c r="A592" s="6"/>
      <c r="B592" s="6"/>
      <c r="C592" s="6"/>
      <c r="D592" s="6"/>
      <c r="E592" s="6"/>
      <c r="F592" s="6"/>
      <c r="G592" s="6"/>
      <c r="H592" s="6"/>
    </row>
    <row r="593" spans="1:8" ht="15.6">
      <c r="A593" s="6"/>
      <c r="B593" s="6"/>
      <c r="C593" s="6"/>
      <c r="D593" s="6"/>
      <c r="E593" s="6"/>
      <c r="F593" s="6"/>
      <c r="G593" s="6"/>
      <c r="H593" s="6"/>
    </row>
    <row r="594" spans="1:8" ht="15.6">
      <c r="A594" s="6"/>
      <c r="B594" s="6"/>
      <c r="C594" s="6"/>
      <c r="D594" s="6"/>
      <c r="E594" s="6"/>
      <c r="F594" s="6"/>
      <c r="G594" s="6"/>
      <c r="H594" s="6"/>
    </row>
    <row r="595" spans="1:8" ht="15.6">
      <c r="A595" s="6"/>
      <c r="B595" s="6"/>
      <c r="C595" s="6"/>
      <c r="D595" s="6"/>
      <c r="E595" s="6"/>
      <c r="F595" s="6"/>
      <c r="G595" s="6"/>
      <c r="H595" s="6"/>
    </row>
    <row r="596" spans="1:8" ht="15.6">
      <c r="A596" s="6"/>
      <c r="B596" s="6"/>
      <c r="C596" s="6"/>
      <c r="D596" s="6"/>
      <c r="E596" s="6"/>
      <c r="F596" s="6"/>
      <c r="G596" s="6"/>
      <c r="H596" s="6"/>
    </row>
    <row r="597" spans="1:8" ht="15.6">
      <c r="A597" s="6"/>
      <c r="B597" s="6"/>
      <c r="C597" s="6"/>
      <c r="D597" s="6"/>
      <c r="E597" s="6"/>
      <c r="F597" s="6"/>
      <c r="G597" s="6"/>
      <c r="H597" s="6"/>
    </row>
    <row r="598" spans="1:8" ht="15.6">
      <c r="A598" s="6"/>
      <c r="B598" s="6"/>
      <c r="C598" s="6"/>
      <c r="D598" s="6"/>
      <c r="E598" s="6"/>
      <c r="F598" s="6"/>
      <c r="G598" s="6"/>
      <c r="H598" s="6"/>
    </row>
    <row r="599" spans="1:8" ht="15.6">
      <c r="A599" s="6"/>
      <c r="B599" s="6"/>
      <c r="C599" s="6"/>
      <c r="D599" s="6"/>
      <c r="E599" s="6"/>
      <c r="F599" s="6"/>
      <c r="G599" s="6"/>
      <c r="H599" s="6"/>
    </row>
    <row r="600" spans="1:8" ht="15.6">
      <c r="A600" s="6"/>
      <c r="B600" s="6"/>
      <c r="C600" s="6"/>
      <c r="D600" s="6"/>
      <c r="E600" s="6"/>
      <c r="F600" s="6"/>
      <c r="G600" s="6"/>
      <c r="H600" s="6"/>
    </row>
    <row r="601" spans="1:8" ht="15.6">
      <c r="A601" s="6"/>
      <c r="B601" s="6"/>
      <c r="C601" s="6"/>
      <c r="D601" s="6"/>
      <c r="E601" s="6"/>
      <c r="F601" s="6"/>
      <c r="G601" s="6"/>
      <c r="H601" s="6"/>
    </row>
    <row r="602" spans="1:8" ht="15.6">
      <c r="A602" s="6"/>
      <c r="B602" s="6"/>
      <c r="C602" s="6"/>
      <c r="D602" s="6"/>
      <c r="E602" s="6"/>
      <c r="F602" s="6"/>
      <c r="G602" s="6"/>
      <c r="H602" s="6"/>
    </row>
    <row r="603" spans="1:8" ht="15.6">
      <c r="A603" s="6"/>
      <c r="B603" s="6"/>
      <c r="C603" s="6"/>
      <c r="D603" s="6"/>
      <c r="E603" s="6"/>
      <c r="F603" s="6"/>
      <c r="G603" s="6"/>
      <c r="H603" s="6"/>
    </row>
    <row r="604" spans="1:8" ht="15.6">
      <c r="A604" s="6"/>
      <c r="B604" s="6"/>
      <c r="C604" s="6"/>
      <c r="D604" s="6"/>
      <c r="E604" s="6"/>
      <c r="F604" s="6"/>
      <c r="G604" s="6"/>
      <c r="H604" s="6"/>
    </row>
    <row r="605" spans="1:8" ht="15.6">
      <c r="A605" s="6"/>
      <c r="B605" s="6"/>
      <c r="C605" s="6"/>
      <c r="D605" s="6"/>
      <c r="E605" s="6"/>
      <c r="F605" s="6"/>
      <c r="G605" s="6"/>
      <c r="H605" s="6"/>
    </row>
    <row r="606" spans="1:8" ht="15.6">
      <c r="A606" s="6"/>
      <c r="B606" s="6"/>
      <c r="C606" s="6"/>
      <c r="D606" s="6"/>
      <c r="E606" s="6"/>
      <c r="F606" s="6"/>
      <c r="G606" s="6"/>
      <c r="H606" s="6"/>
    </row>
    <row r="607" spans="1:8" ht="15.6">
      <c r="A607" s="6"/>
      <c r="B607" s="6"/>
      <c r="C607" s="6"/>
      <c r="D607" s="6"/>
      <c r="E607" s="6"/>
      <c r="F607" s="6"/>
      <c r="G607" s="6"/>
      <c r="H607" s="6"/>
    </row>
    <row r="608" spans="1:8" ht="15.6">
      <c r="A608" s="6"/>
      <c r="B608" s="6"/>
      <c r="C608" s="6"/>
      <c r="D608" s="6"/>
      <c r="E608" s="6"/>
      <c r="F608" s="6"/>
      <c r="G608" s="6"/>
      <c r="H608" s="6"/>
    </row>
    <row r="609" spans="1:8" ht="15.6">
      <c r="A609" s="6"/>
      <c r="B609" s="6"/>
      <c r="C609" s="6"/>
      <c r="D609" s="6"/>
      <c r="E609" s="6"/>
      <c r="F609" s="6"/>
      <c r="G609" s="6"/>
      <c r="H609" s="6"/>
    </row>
    <row r="610" spans="1:8" ht="15.6">
      <c r="A610" s="6"/>
      <c r="B610" s="6"/>
      <c r="C610" s="6"/>
      <c r="D610" s="6"/>
      <c r="E610" s="6"/>
      <c r="F610" s="6"/>
      <c r="G610" s="6"/>
      <c r="H610" s="6"/>
    </row>
    <row r="611" spans="1:8" ht="15.6">
      <c r="A611" s="6"/>
      <c r="B611" s="6"/>
      <c r="C611" s="6"/>
      <c r="D611" s="6"/>
      <c r="E611" s="6"/>
      <c r="F611" s="6"/>
      <c r="G611" s="6"/>
      <c r="H611" s="6"/>
    </row>
    <row r="612" spans="1:8" ht="15.6">
      <c r="A612" s="6"/>
      <c r="B612" s="6"/>
      <c r="C612" s="6"/>
      <c r="D612" s="6"/>
      <c r="E612" s="6"/>
      <c r="F612" s="6"/>
      <c r="G612" s="6"/>
      <c r="H612" s="6"/>
    </row>
    <row r="613" spans="1:8" ht="15.6">
      <c r="A613" s="6"/>
      <c r="B613" s="6"/>
      <c r="C613" s="6"/>
      <c r="D613" s="6"/>
      <c r="E613" s="6"/>
      <c r="F613" s="6"/>
      <c r="G613" s="6"/>
      <c r="H613" s="6"/>
    </row>
    <row r="614" spans="1:8" ht="15.6">
      <c r="A614" s="6"/>
      <c r="B614" s="6"/>
      <c r="C614" s="6"/>
      <c r="D614" s="6"/>
      <c r="E614" s="6"/>
      <c r="F614" s="6"/>
      <c r="G614" s="6"/>
      <c r="H614" s="6"/>
    </row>
    <row r="615" spans="1:8" ht="15.6">
      <c r="A615" s="6"/>
      <c r="B615" s="6"/>
      <c r="C615" s="6"/>
      <c r="D615" s="6"/>
      <c r="E615" s="6"/>
      <c r="F615" s="6"/>
      <c r="G615" s="6"/>
      <c r="H615" s="6"/>
    </row>
    <row r="616" spans="1:8" ht="15.6">
      <c r="A616" s="6"/>
      <c r="B616" s="6"/>
      <c r="C616" s="6"/>
      <c r="D616" s="6"/>
      <c r="E616" s="6"/>
      <c r="F616" s="6"/>
      <c r="G616" s="6"/>
      <c r="H616" s="6"/>
    </row>
    <row r="617" spans="1:8" ht="15.6">
      <c r="A617" s="6"/>
      <c r="B617" s="6"/>
      <c r="C617" s="6"/>
      <c r="D617" s="6"/>
      <c r="E617" s="6"/>
      <c r="F617" s="6"/>
      <c r="G617" s="6"/>
      <c r="H617" s="6"/>
    </row>
    <row r="618" spans="1:8" ht="15.6">
      <c r="A618" s="6"/>
      <c r="B618" s="6"/>
      <c r="C618" s="6"/>
      <c r="D618" s="6"/>
      <c r="E618" s="6"/>
      <c r="F618" s="6"/>
      <c r="G618" s="6"/>
      <c r="H618" s="6"/>
    </row>
    <row r="619" spans="1:8" ht="15.6">
      <c r="A619" s="6"/>
      <c r="B619" s="6"/>
      <c r="C619" s="6"/>
      <c r="D619" s="6"/>
      <c r="E619" s="6"/>
      <c r="F619" s="6"/>
      <c r="G619" s="6"/>
      <c r="H619" s="6"/>
    </row>
    <row r="620" spans="1:8" ht="15.6">
      <c r="A620" s="6"/>
      <c r="B620" s="6"/>
      <c r="C620" s="6"/>
      <c r="D620" s="6"/>
      <c r="E620" s="6"/>
      <c r="F620" s="6"/>
      <c r="G620" s="6"/>
      <c r="H620" s="6"/>
    </row>
    <row r="621" spans="1:8" ht="15.6">
      <c r="A621" s="6"/>
      <c r="B621" s="6"/>
      <c r="C621" s="6"/>
      <c r="D621" s="6"/>
      <c r="E621" s="6"/>
      <c r="F621" s="6"/>
      <c r="G621" s="6"/>
      <c r="H621" s="6"/>
    </row>
    <row r="622" spans="1:8" ht="15.6">
      <c r="A622" s="6"/>
      <c r="B622" s="6"/>
      <c r="C622" s="6"/>
      <c r="D622" s="6"/>
      <c r="E622" s="6"/>
      <c r="F622" s="6"/>
      <c r="G622" s="6"/>
      <c r="H622" s="6"/>
    </row>
    <row r="623" spans="1:8" ht="15.6">
      <c r="A623" s="6"/>
      <c r="B623" s="6"/>
      <c r="C623" s="6"/>
      <c r="D623" s="6"/>
      <c r="E623" s="6"/>
      <c r="F623" s="6"/>
      <c r="G623" s="6"/>
      <c r="H623" s="6"/>
    </row>
    <row r="624" spans="1:8" ht="15.6">
      <c r="A624" s="6"/>
      <c r="B624" s="6"/>
      <c r="C624" s="6"/>
      <c r="D624" s="6"/>
      <c r="E624" s="6"/>
      <c r="F624" s="6"/>
      <c r="G624" s="6"/>
      <c r="H624" s="6"/>
    </row>
    <row r="625" spans="1:8" ht="15.6">
      <c r="A625" s="6"/>
      <c r="B625" s="6"/>
      <c r="C625" s="6"/>
      <c r="D625" s="6"/>
      <c r="E625" s="6"/>
      <c r="F625" s="6"/>
      <c r="G625" s="6"/>
      <c r="H625" s="6"/>
    </row>
    <row r="626" spans="1:8" ht="15.6">
      <c r="A626" s="6"/>
      <c r="B626" s="6"/>
      <c r="C626" s="6"/>
      <c r="D626" s="6"/>
      <c r="E626" s="6"/>
      <c r="F626" s="6"/>
      <c r="G626" s="6"/>
      <c r="H626" s="6"/>
    </row>
    <row r="627" spans="1:8" ht="15.6">
      <c r="A627" s="6"/>
      <c r="B627" s="6"/>
      <c r="C627" s="6"/>
      <c r="D627" s="6"/>
      <c r="E627" s="6"/>
      <c r="F627" s="6"/>
      <c r="G627" s="6"/>
      <c r="H627" s="6"/>
    </row>
    <row r="628" spans="1:8" ht="15.6">
      <c r="A628" s="6"/>
      <c r="B628" s="6"/>
      <c r="C628" s="6"/>
      <c r="D628" s="6"/>
      <c r="E628" s="6"/>
      <c r="F628" s="6"/>
      <c r="G628" s="6"/>
      <c r="H628" s="6"/>
    </row>
    <row r="629" spans="1:8" ht="15.6">
      <c r="A629" s="6"/>
      <c r="B629" s="6"/>
      <c r="C629" s="6"/>
      <c r="D629" s="6"/>
      <c r="E629" s="6"/>
      <c r="F629" s="6"/>
      <c r="G629" s="6"/>
      <c r="H629" s="6"/>
    </row>
    <row r="630" spans="1:8" ht="15.6">
      <c r="A630" s="6"/>
      <c r="B630" s="6"/>
      <c r="C630" s="6"/>
      <c r="D630" s="6"/>
      <c r="E630" s="6"/>
      <c r="F630" s="6"/>
      <c r="G630" s="6"/>
      <c r="H630" s="6"/>
    </row>
    <row r="631" spans="1:8" ht="15.6">
      <c r="A631" s="6"/>
      <c r="B631" s="6"/>
      <c r="C631" s="6"/>
      <c r="D631" s="6"/>
      <c r="E631" s="6"/>
      <c r="F631" s="6"/>
      <c r="G631" s="6"/>
      <c r="H631" s="6"/>
    </row>
    <row r="632" spans="1:8" ht="15.6">
      <c r="A632" s="6"/>
      <c r="B632" s="6"/>
      <c r="C632" s="6"/>
      <c r="D632" s="6"/>
      <c r="E632" s="6"/>
      <c r="F632" s="6"/>
      <c r="G632" s="6"/>
      <c r="H632" s="6"/>
    </row>
    <row r="633" spans="1:8" ht="15.6">
      <c r="A633" s="6"/>
      <c r="B633" s="6"/>
      <c r="C633" s="6"/>
      <c r="D633" s="6"/>
      <c r="E633" s="6"/>
      <c r="F633" s="6"/>
      <c r="G633" s="6"/>
      <c r="H633" s="6"/>
    </row>
    <row r="634" spans="1:8" ht="15.6">
      <c r="A634" s="6"/>
      <c r="B634" s="6"/>
      <c r="C634" s="6"/>
      <c r="D634" s="6"/>
      <c r="E634" s="6"/>
      <c r="F634" s="6"/>
      <c r="G634" s="6"/>
      <c r="H634" s="6"/>
    </row>
    <row r="635" spans="1:8" ht="15.6">
      <c r="A635" s="6"/>
      <c r="B635" s="6"/>
      <c r="C635" s="6"/>
      <c r="D635" s="6"/>
      <c r="E635" s="6"/>
      <c r="F635" s="6"/>
      <c r="G635" s="6"/>
      <c r="H635" s="6"/>
    </row>
    <row r="636" spans="1:8" ht="15.6">
      <c r="A636" s="6"/>
      <c r="B636" s="6"/>
      <c r="C636" s="6"/>
      <c r="D636" s="6"/>
      <c r="E636" s="6"/>
      <c r="F636" s="6"/>
      <c r="G636" s="6"/>
      <c r="H636" s="6"/>
    </row>
    <row r="637" spans="1:8" ht="15.6">
      <c r="A637" s="6"/>
      <c r="B637" s="6"/>
      <c r="C637" s="6"/>
      <c r="D637" s="6"/>
      <c r="E637" s="6"/>
      <c r="F637" s="6"/>
      <c r="G637" s="6"/>
      <c r="H637" s="6"/>
    </row>
    <row r="638" spans="1:8" ht="15.6">
      <c r="A638" s="6"/>
      <c r="B638" s="6"/>
      <c r="C638" s="6"/>
      <c r="D638" s="6"/>
      <c r="E638" s="6"/>
      <c r="F638" s="6"/>
      <c r="G638" s="6"/>
      <c r="H638" s="6"/>
    </row>
    <row r="639" spans="1:8" ht="15.6">
      <c r="A639" s="6"/>
      <c r="B639" s="6"/>
      <c r="C639" s="6"/>
      <c r="D639" s="6"/>
      <c r="E639" s="6"/>
      <c r="F639" s="6"/>
      <c r="G639" s="6"/>
      <c r="H639" s="6"/>
    </row>
    <row r="640" spans="1:8" ht="15.6">
      <c r="A640" s="6"/>
      <c r="B640" s="6"/>
      <c r="C640" s="6"/>
      <c r="D640" s="6"/>
      <c r="E640" s="6"/>
      <c r="F640" s="6"/>
      <c r="G640" s="6"/>
      <c r="H640" s="6"/>
    </row>
    <row r="641" spans="1:8" ht="15.6">
      <c r="A641" s="6"/>
      <c r="B641" s="6"/>
      <c r="C641" s="6"/>
      <c r="D641" s="6"/>
      <c r="E641" s="6"/>
      <c r="F641" s="6"/>
      <c r="G641" s="6"/>
      <c r="H641" s="6"/>
    </row>
    <row r="642" spans="1:8" ht="15.6">
      <c r="A642" s="6"/>
      <c r="B642" s="6"/>
      <c r="C642" s="6"/>
      <c r="D642" s="6"/>
      <c r="E642" s="6"/>
      <c r="F642" s="6"/>
      <c r="G642" s="6"/>
      <c r="H642" s="6"/>
    </row>
    <row r="643" spans="1:8" ht="15.6">
      <c r="A643" s="6"/>
      <c r="B643" s="6"/>
      <c r="C643" s="6"/>
      <c r="D643" s="6"/>
      <c r="E643" s="6"/>
      <c r="F643" s="6"/>
      <c r="G643" s="6"/>
      <c r="H643" s="6"/>
    </row>
    <row r="644" spans="1:8" ht="15.6">
      <c r="A644" s="6"/>
      <c r="B644" s="6"/>
      <c r="C644" s="6"/>
      <c r="D644" s="6"/>
      <c r="E644" s="6"/>
      <c r="F644" s="6"/>
      <c r="G644" s="6"/>
      <c r="H644" s="6"/>
    </row>
    <row r="645" spans="1:8" ht="15.6">
      <c r="A645" s="6"/>
      <c r="B645" s="6"/>
      <c r="C645" s="6"/>
      <c r="D645" s="6"/>
      <c r="E645" s="6"/>
      <c r="F645" s="6"/>
      <c r="G645" s="6"/>
      <c r="H645" s="6"/>
    </row>
    <row r="646" spans="1:8" ht="15.6">
      <c r="A646" s="6"/>
      <c r="B646" s="6"/>
      <c r="C646" s="6"/>
      <c r="D646" s="6"/>
      <c r="E646" s="6"/>
      <c r="F646" s="6"/>
      <c r="G646" s="6"/>
      <c r="H646" s="6"/>
    </row>
    <row r="647" spans="1:8" ht="15.6">
      <c r="A647" s="6"/>
      <c r="B647" s="6"/>
      <c r="C647" s="6"/>
      <c r="D647" s="6"/>
      <c r="E647" s="6"/>
      <c r="F647" s="6"/>
      <c r="G647" s="6"/>
      <c r="H647" s="6"/>
    </row>
    <row r="648" spans="1:8" ht="15.6">
      <c r="A648" s="6"/>
      <c r="B648" s="6"/>
      <c r="C648" s="6"/>
      <c r="D648" s="6"/>
      <c r="E648" s="6"/>
      <c r="F648" s="6"/>
      <c r="G648" s="6"/>
      <c r="H648" s="6"/>
    </row>
    <row r="649" spans="1:8" ht="15.6">
      <c r="A649" s="6"/>
      <c r="B649" s="6"/>
      <c r="C649" s="6"/>
      <c r="D649" s="6"/>
      <c r="E649" s="6"/>
      <c r="F649" s="6"/>
      <c r="G649" s="6"/>
      <c r="H649" s="6"/>
    </row>
    <row r="650" spans="1:8" ht="15.6">
      <c r="A650" s="6"/>
      <c r="B650" s="6"/>
      <c r="C650" s="6"/>
      <c r="D650" s="6"/>
      <c r="E650" s="6"/>
      <c r="F650" s="6"/>
      <c r="G650" s="6"/>
      <c r="H650" s="6"/>
    </row>
    <row r="651" spans="1:8" ht="15.6">
      <c r="A651" s="6"/>
      <c r="B651" s="6"/>
      <c r="C651" s="6"/>
      <c r="D651" s="6"/>
      <c r="E651" s="6"/>
      <c r="F651" s="6"/>
      <c r="G651" s="6"/>
      <c r="H651" s="6"/>
    </row>
    <row r="652" spans="1:8" ht="15.6">
      <c r="A652" s="6"/>
      <c r="B652" s="6"/>
      <c r="C652" s="6"/>
      <c r="D652" s="6"/>
      <c r="E652" s="6"/>
      <c r="F652" s="6"/>
      <c r="G652" s="6"/>
      <c r="H652" s="6"/>
    </row>
    <row r="653" spans="1:8" ht="15.6">
      <c r="A653" s="6"/>
      <c r="B653" s="6"/>
      <c r="C653" s="6"/>
      <c r="D653" s="6"/>
      <c r="E653" s="6"/>
      <c r="F653" s="6"/>
      <c r="G653" s="6"/>
      <c r="H653" s="6"/>
    </row>
    <row r="654" spans="1:8" ht="15.6">
      <c r="A654" s="6"/>
      <c r="B654" s="6"/>
      <c r="C654" s="6"/>
      <c r="D654" s="6"/>
      <c r="E654" s="6"/>
      <c r="F654" s="6"/>
      <c r="G654" s="6"/>
      <c r="H654" s="6"/>
    </row>
    <row r="655" spans="1:8" ht="15.6">
      <c r="A655" s="6"/>
      <c r="B655" s="6"/>
      <c r="C655" s="6"/>
      <c r="D655" s="6"/>
      <c r="E655" s="6"/>
      <c r="F655" s="6"/>
      <c r="G655" s="6"/>
      <c r="H655" s="6"/>
    </row>
    <row r="656" spans="1:8" ht="15.6">
      <c r="A656" s="6"/>
      <c r="B656" s="6"/>
      <c r="C656" s="6"/>
      <c r="D656" s="6"/>
      <c r="E656" s="6"/>
      <c r="F656" s="6"/>
      <c r="G656" s="6"/>
      <c r="H656" s="6"/>
    </row>
    <row r="657" spans="1:8" ht="15.6">
      <c r="A657" s="6"/>
      <c r="B657" s="6"/>
      <c r="C657" s="6"/>
      <c r="D657" s="6"/>
      <c r="E657" s="6"/>
      <c r="F657" s="6"/>
      <c r="G657" s="6"/>
      <c r="H657" s="6"/>
    </row>
    <row r="658" spans="1:8" ht="15.6">
      <c r="A658" s="6"/>
      <c r="B658" s="6"/>
      <c r="C658" s="6"/>
      <c r="D658" s="6"/>
      <c r="E658" s="6"/>
      <c r="F658" s="6"/>
      <c r="G658" s="6"/>
      <c r="H658" s="6"/>
    </row>
    <row r="659" spans="1:8" ht="15.6">
      <c r="A659" s="6"/>
      <c r="B659" s="6"/>
      <c r="C659" s="6"/>
      <c r="D659" s="6"/>
      <c r="E659" s="6"/>
      <c r="F659" s="6"/>
      <c r="G659" s="6"/>
      <c r="H659" s="6"/>
    </row>
    <row r="660" spans="1:8" ht="15.6">
      <c r="A660" s="6"/>
      <c r="B660" s="6"/>
      <c r="C660" s="6"/>
      <c r="D660" s="6"/>
      <c r="E660" s="6"/>
      <c r="F660" s="6"/>
      <c r="G660" s="6"/>
      <c r="H660" s="6"/>
    </row>
    <row r="661" spans="1:8" ht="15.6">
      <c r="A661" s="6"/>
      <c r="B661" s="6"/>
      <c r="C661" s="6"/>
      <c r="D661" s="6"/>
      <c r="E661" s="6"/>
      <c r="F661" s="6"/>
      <c r="G661" s="6"/>
      <c r="H661" s="6"/>
    </row>
    <row r="662" spans="1:8" ht="15.6">
      <c r="A662" s="6"/>
      <c r="B662" s="6"/>
      <c r="C662" s="6"/>
      <c r="D662" s="6"/>
      <c r="E662" s="6"/>
      <c r="F662" s="6"/>
      <c r="G662" s="6"/>
      <c r="H662" s="6"/>
    </row>
    <row r="663" spans="1:8" ht="15.6">
      <c r="A663" s="6"/>
      <c r="B663" s="6"/>
      <c r="C663" s="6"/>
      <c r="D663" s="6"/>
      <c r="E663" s="6"/>
      <c r="F663" s="6"/>
      <c r="G663" s="6"/>
      <c r="H663" s="6"/>
    </row>
    <row r="664" spans="1:8" ht="15.6">
      <c r="A664" s="6"/>
      <c r="B664" s="6"/>
      <c r="C664" s="6"/>
      <c r="D664" s="6"/>
      <c r="E664" s="6"/>
      <c r="F664" s="6"/>
      <c r="G664" s="6"/>
      <c r="H664" s="6"/>
    </row>
    <row r="665" spans="1:8" ht="15.6">
      <c r="A665" s="6"/>
      <c r="B665" s="6"/>
      <c r="C665" s="6"/>
      <c r="D665" s="6"/>
      <c r="E665" s="6"/>
      <c r="F665" s="6"/>
      <c r="G665" s="6"/>
      <c r="H665" s="6"/>
    </row>
    <row r="666" spans="1:8" ht="15.6">
      <c r="A666" s="6"/>
      <c r="B666" s="6"/>
      <c r="C666" s="6"/>
      <c r="D666" s="6"/>
      <c r="E666" s="6"/>
      <c r="F666" s="6"/>
      <c r="G666" s="6"/>
      <c r="H666" s="6"/>
    </row>
    <row r="667" spans="1:8" ht="15.6">
      <c r="A667" s="6"/>
      <c r="B667" s="6"/>
      <c r="C667" s="6"/>
      <c r="D667" s="6"/>
      <c r="E667" s="6"/>
      <c r="F667" s="6"/>
      <c r="G667" s="6"/>
      <c r="H667" s="6"/>
    </row>
    <row r="668" spans="1:8" ht="15.6">
      <c r="A668" s="6"/>
      <c r="B668" s="6"/>
      <c r="C668" s="6"/>
      <c r="D668" s="6"/>
      <c r="E668" s="6"/>
      <c r="F668" s="6"/>
      <c r="G668" s="6"/>
      <c r="H668" s="6"/>
    </row>
    <row r="669" spans="1:8" ht="15.6">
      <c r="A669" s="6"/>
      <c r="B669" s="6"/>
      <c r="C669" s="6"/>
      <c r="D669" s="6"/>
      <c r="E669" s="6"/>
      <c r="F669" s="6"/>
      <c r="G669" s="6"/>
      <c r="H669" s="6"/>
    </row>
    <row r="670" spans="1:8" ht="15.6">
      <c r="A670" s="6"/>
      <c r="B670" s="6"/>
      <c r="C670" s="6"/>
      <c r="D670" s="6"/>
      <c r="E670" s="6"/>
      <c r="F670" s="6"/>
      <c r="G670" s="6"/>
      <c r="H670" s="6"/>
    </row>
    <row r="671" spans="1:8" ht="15.6">
      <c r="A671" s="6"/>
      <c r="B671" s="6"/>
      <c r="C671" s="6"/>
      <c r="D671" s="6"/>
      <c r="E671" s="6"/>
      <c r="F671" s="6"/>
      <c r="G671" s="6"/>
      <c r="H671" s="6"/>
    </row>
    <row r="672" spans="1:8" ht="15.6">
      <c r="A672" s="6"/>
      <c r="B672" s="6"/>
      <c r="C672" s="6"/>
      <c r="D672" s="6"/>
      <c r="E672" s="6"/>
      <c r="F672" s="6"/>
      <c r="G672" s="6"/>
      <c r="H672" s="6"/>
    </row>
    <row r="673" spans="1:8" ht="15.6">
      <c r="A673" s="6"/>
      <c r="B673" s="6"/>
      <c r="C673" s="6"/>
      <c r="D673" s="6"/>
      <c r="E673" s="6"/>
      <c r="F673" s="6"/>
      <c r="G673" s="6"/>
      <c r="H673" s="6"/>
    </row>
    <row r="674" spans="1:8" ht="15.6">
      <c r="A674" s="6"/>
      <c r="B674" s="6"/>
      <c r="C674" s="6"/>
      <c r="D674" s="6"/>
      <c r="E674" s="6"/>
      <c r="F674" s="6"/>
      <c r="G674" s="6"/>
      <c r="H674" s="6"/>
    </row>
    <row r="675" spans="1:8" ht="15.6">
      <c r="A675" s="6"/>
      <c r="B675" s="6"/>
      <c r="C675" s="6"/>
      <c r="D675" s="6"/>
      <c r="E675" s="6"/>
      <c r="F675" s="6"/>
      <c r="G675" s="6"/>
      <c r="H675" s="6"/>
    </row>
    <row r="676" spans="1:8" ht="15.6">
      <c r="A676" s="6"/>
      <c r="B676" s="6"/>
      <c r="C676" s="6"/>
      <c r="D676" s="6"/>
      <c r="E676" s="6"/>
      <c r="F676" s="6"/>
      <c r="G676" s="6"/>
      <c r="H676" s="6"/>
    </row>
    <row r="677" spans="1:8" ht="15.6">
      <c r="A677" s="6"/>
      <c r="B677" s="6"/>
      <c r="C677" s="6"/>
      <c r="D677" s="6"/>
      <c r="E677" s="6"/>
      <c r="F677" s="6"/>
      <c r="G677" s="6"/>
      <c r="H677" s="6"/>
    </row>
    <row r="678" spans="1:8" ht="15.6">
      <c r="A678" s="6"/>
      <c r="B678" s="6"/>
      <c r="C678" s="6"/>
      <c r="D678" s="6"/>
      <c r="E678" s="6"/>
      <c r="F678" s="6"/>
      <c r="G678" s="6"/>
      <c r="H678" s="6"/>
    </row>
    <row r="679" spans="1:8" ht="15.6">
      <c r="A679" s="6"/>
      <c r="B679" s="6"/>
      <c r="C679" s="6"/>
      <c r="D679" s="6"/>
      <c r="E679" s="6"/>
      <c r="F679" s="6"/>
      <c r="G679" s="6"/>
      <c r="H679" s="6"/>
    </row>
    <row r="680" spans="1:8" ht="15.6">
      <c r="A680" s="6"/>
      <c r="B680" s="6"/>
      <c r="C680" s="6"/>
      <c r="D680" s="6"/>
      <c r="E680" s="6"/>
      <c r="F680" s="6"/>
      <c r="G680" s="6"/>
      <c r="H680" s="6"/>
    </row>
    <row r="681" spans="1:8" ht="15.6">
      <c r="A681" s="6"/>
      <c r="B681" s="6"/>
      <c r="C681" s="6"/>
      <c r="D681" s="6"/>
      <c r="E681" s="6"/>
      <c r="F681" s="6"/>
      <c r="G681" s="6"/>
      <c r="H681" s="6"/>
    </row>
    <row r="682" spans="1:8" ht="15.6">
      <c r="A682" s="6"/>
      <c r="B682" s="6"/>
      <c r="C682" s="6"/>
      <c r="D682" s="6"/>
      <c r="E682" s="6"/>
      <c r="F682" s="6"/>
      <c r="G682" s="6"/>
      <c r="H682" s="6"/>
    </row>
    <row r="683" spans="1:8" ht="15.6">
      <c r="A683" s="6"/>
      <c r="B683" s="6"/>
      <c r="C683" s="6"/>
      <c r="D683" s="6"/>
      <c r="E683" s="6"/>
      <c r="F683" s="6"/>
      <c r="G683" s="6"/>
      <c r="H683" s="6"/>
    </row>
    <row r="684" spans="1:8" ht="15.6">
      <c r="A684" s="6"/>
      <c r="B684" s="6"/>
      <c r="C684" s="6"/>
      <c r="D684" s="6"/>
      <c r="E684" s="6"/>
      <c r="F684" s="6"/>
      <c r="G684" s="6"/>
      <c r="H684" s="6"/>
    </row>
    <row r="685" spans="1:8" ht="15.6">
      <c r="A685" s="6"/>
      <c r="B685" s="6"/>
      <c r="C685" s="6"/>
      <c r="D685" s="6"/>
      <c r="E685" s="6"/>
      <c r="F685" s="6"/>
      <c r="G685" s="6"/>
      <c r="H685" s="6"/>
    </row>
    <row r="686" spans="1:8" ht="15.6">
      <c r="A686" s="6"/>
      <c r="B686" s="6"/>
      <c r="C686" s="6"/>
      <c r="D686" s="6"/>
      <c r="E686" s="6"/>
      <c r="F686" s="6"/>
      <c r="G686" s="6"/>
      <c r="H686" s="6"/>
    </row>
    <row r="687" spans="1:8" ht="15.6">
      <c r="A687" s="6"/>
      <c r="B687" s="6"/>
      <c r="C687" s="6"/>
      <c r="D687" s="6"/>
      <c r="E687" s="6"/>
      <c r="F687" s="6"/>
      <c r="G687" s="6"/>
      <c r="H687" s="6"/>
    </row>
    <row r="688" spans="1:8" ht="15.6">
      <c r="A688" s="6"/>
      <c r="B688" s="6"/>
      <c r="C688" s="6"/>
      <c r="D688" s="6"/>
      <c r="E688" s="6"/>
      <c r="F688" s="6"/>
      <c r="G688" s="6"/>
      <c r="H688" s="6"/>
    </row>
    <row r="689" spans="1:8" ht="15.6">
      <c r="A689" s="6"/>
      <c r="B689" s="6"/>
      <c r="C689" s="6"/>
      <c r="D689" s="6"/>
      <c r="E689" s="6"/>
      <c r="F689" s="6"/>
      <c r="G689" s="6"/>
      <c r="H689" s="6"/>
    </row>
    <row r="690" spans="1:8" ht="15.6">
      <c r="A690" s="6"/>
      <c r="B690" s="6"/>
      <c r="C690" s="6"/>
      <c r="D690" s="6"/>
      <c r="E690" s="6"/>
      <c r="F690" s="6"/>
      <c r="G690" s="6"/>
      <c r="H690" s="6"/>
    </row>
    <row r="691" spans="1:8" ht="15.6">
      <c r="A691" s="6"/>
      <c r="B691" s="6"/>
      <c r="C691" s="6"/>
      <c r="D691" s="6"/>
      <c r="E691" s="6"/>
      <c r="F691" s="6"/>
      <c r="G691" s="6"/>
      <c r="H691" s="6"/>
    </row>
    <row r="692" spans="1:8" ht="15.6">
      <c r="A692" s="6"/>
      <c r="B692" s="6"/>
      <c r="C692" s="6"/>
      <c r="D692" s="6"/>
      <c r="E692" s="6"/>
      <c r="F692" s="6"/>
      <c r="G692" s="6"/>
      <c r="H692" s="6"/>
    </row>
    <row r="693" spans="1:8" ht="15.6">
      <c r="A693" s="6"/>
      <c r="B693" s="6"/>
      <c r="C693" s="6"/>
      <c r="D693" s="6"/>
      <c r="E693" s="6"/>
      <c r="F693" s="6"/>
      <c r="G693" s="6"/>
      <c r="H693" s="6"/>
    </row>
    <row r="694" spans="1:8" ht="15.6">
      <c r="A694" s="6"/>
      <c r="B694" s="6"/>
      <c r="C694" s="6"/>
      <c r="D694" s="6"/>
      <c r="E694" s="6"/>
      <c r="F694" s="6"/>
      <c r="G694" s="6"/>
      <c r="H694" s="6"/>
    </row>
    <row r="695" spans="1:8" ht="15.6">
      <c r="A695" s="6"/>
      <c r="B695" s="6"/>
      <c r="C695" s="6"/>
      <c r="D695" s="6"/>
      <c r="E695" s="6"/>
      <c r="F695" s="6"/>
      <c r="G695" s="6"/>
      <c r="H695" s="6"/>
    </row>
    <row r="696" spans="1:8" ht="15.6">
      <c r="A696" s="6"/>
      <c r="B696" s="6"/>
      <c r="C696" s="6"/>
      <c r="D696" s="6"/>
      <c r="E696" s="6"/>
      <c r="F696" s="6"/>
      <c r="G696" s="6"/>
      <c r="H696" s="6"/>
    </row>
    <row r="697" spans="1:8" ht="15.6">
      <c r="A697" s="6"/>
      <c r="B697" s="6"/>
      <c r="C697" s="6"/>
      <c r="D697" s="6"/>
      <c r="E697" s="6"/>
      <c r="F697" s="6"/>
      <c r="G697" s="6"/>
      <c r="H697" s="6"/>
    </row>
    <row r="698" spans="1:8" ht="15.6">
      <c r="A698" s="6"/>
      <c r="B698" s="6"/>
      <c r="C698" s="6"/>
      <c r="D698" s="6"/>
      <c r="E698" s="6"/>
      <c r="F698" s="6"/>
      <c r="G698" s="6"/>
      <c r="H698" s="6"/>
    </row>
    <row r="699" spans="1:8" ht="15.6">
      <c r="A699" s="6"/>
      <c r="B699" s="6"/>
      <c r="C699" s="6"/>
      <c r="D699" s="6"/>
      <c r="E699" s="6"/>
      <c r="F699" s="6"/>
      <c r="G699" s="6"/>
      <c r="H699" s="6"/>
    </row>
    <row r="700" spans="1:8" ht="15.6">
      <c r="A700" s="6"/>
      <c r="B700" s="6"/>
      <c r="C700" s="6"/>
      <c r="D700" s="6"/>
      <c r="E700" s="6"/>
      <c r="F700" s="6"/>
      <c r="G700" s="6"/>
      <c r="H700" s="6"/>
    </row>
    <row r="701" spans="1:8" ht="15.6">
      <c r="A701" s="6"/>
      <c r="B701" s="6"/>
      <c r="C701" s="6"/>
      <c r="D701" s="6"/>
      <c r="E701" s="6"/>
      <c r="F701" s="6"/>
      <c r="G701" s="6"/>
      <c r="H701" s="6"/>
    </row>
    <row r="702" spans="1:8" ht="15.6">
      <c r="A702" s="6"/>
      <c r="B702" s="6"/>
      <c r="C702" s="6"/>
      <c r="D702" s="6"/>
      <c r="E702" s="6"/>
      <c r="F702" s="6"/>
      <c r="G702" s="6"/>
      <c r="H702" s="6"/>
    </row>
    <row r="703" spans="1:8" ht="15.6">
      <c r="A703" s="6"/>
      <c r="B703" s="6"/>
      <c r="C703" s="6"/>
      <c r="D703" s="6"/>
      <c r="E703" s="6"/>
      <c r="F703" s="6"/>
      <c r="G703" s="6"/>
      <c r="H703" s="6"/>
    </row>
    <row r="704" spans="1:8" ht="15.6">
      <c r="A704" s="6"/>
      <c r="B704" s="6"/>
      <c r="C704" s="6"/>
      <c r="D704" s="6"/>
      <c r="E704" s="6"/>
      <c r="F704" s="6"/>
      <c r="G704" s="6"/>
      <c r="H704" s="6"/>
    </row>
    <row r="705" spans="1:8" ht="15.6">
      <c r="A705" s="6"/>
      <c r="B705" s="6"/>
      <c r="C705" s="6"/>
      <c r="D705" s="6"/>
      <c r="E705" s="6"/>
      <c r="F705" s="6"/>
      <c r="G705" s="6"/>
      <c r="H705" s="6"/>
    </row>
    <row r="706" spans="1:8" ht="15.6">
      <c r="A706" s="6"/>
      <c r="B706" s="6"/>
      <c r="C706" s="6"/>
      <c r="D706" s="6"/>
      <c r="E706" s="6"/>
      <c r="F706" s="6"/>
      <c r="G706" s="6"/>
      <c r="H706" s="6"/>
    </row>
    <row r="707" spans="1:8" ht="15.6">
      <c r="A707" s="6"/>
      <c r="B707" s="6"/>
      <c r="C707" s="6"/>
      <c r="D707" s="6"/>
      <c r="E707" s="6"/>
      <c r="F707" s="6"/>
      <c r="G707" s="6"/>
      <c r="H707" s="6"/>
    </row>
    <row r="708" spans="1:8" ht="15.6">
      <c r="A708" s="6"/>
      <c r="B708" s="6"/>
      <c r="C708" s="6"/>
      <c r="D708" s="6"/>
      <c r="E708" s="6"/>
      <c r="F708" s="6"/>
      <c r="G708" s="6"/>
      <c r="H708" s="6"/>
    </row>
    <row r="709" spans="1:8" ht="15.6">
      <c r="A709" s="6"/>
      <c r="B709" s="6"/>
      <c r="C709" s="6"/>
      <c r="D709" s="6"/>
      <c r="E709" s="6"/>
      <c r="F709" s="6"/>
      <c r="G709" s="6"/>
      <c r="H709" s="6"/>
    </row>
    <row r="710" spans="1:8" ht="15.6">
      <c r="A710" s="6"/>
      <c r="B710" s="6"/>
      <c r="C710" s="6"/>
      <c r="D710" s="6"/>
      <c r="E710" s="6"/>
      <c r="F710" s="6"/>
      <c r="G710" s="6"/>
      <c r="H710" s="6"/>
    </row>
    <row r="711" spans="1:8" ht="15.6">
      <c r="A711" s="6"/>
      <c r="B711" s="6"/>
      <c r="C711" s="6"/>
      <c r="D711" s="6"/>
      <c r="E711" s="6"/>
      <c r="F711" s="6"/>
      <c r="G711" s="6"/>
      <c r="H711" s="6"/>
    </row>
    <row r="712" spans="1:8" ht="15.6">
      <c r="A712" s="6"/>
      <c r="B712" s="6"/>
      <c r="C712" s="6"/>
      <c r="D712" s="6"/>
      <c r="E712" s="6"/>
      <c r="F712" s="6"/>
      <c r="G712" s="6"/>
      <c r="H712" s="6"/>
    </row>
    <row r="713" spans="1:8" ht="15.6">
      <c r="A713" s="6"/>
      <c r="B713" s="6"/>
      <c r="C713" s="6"/>
      <c r="D713" s="6"/>
      <c r="E713" s="6"/>
      <c r="F713" s="6"/>
      <c r="G713" s="6"/>
      <c r="H713" s="6"/>
    </row>
    <row r="714" spans="1:8" ht="15.6">
      <c r="A714" s="6"/>
      <c r="B714" s="6"/>
      <c r="C714" s="6"/>
      <c r="D714" s="6"/>
      <c r="E714" s="6"/>
      <c r="F714" s="6"/>
      <c r="G714" s="6"/>
      <c r="H714" s="6"/>
    </row>
    <row r="715" spans="1:8" ht="15.6">
      <c r="A715" s="6"/>
      <c r="B715" s="6"/>
      <c r="C715" s="6"/>
      <c r="D715" s="6"/>
      <c r="E715" s="6"/>
      <c r="F715" s="6"/>
      <c r="G715" s="6"/>
      <c r="H715" s="6"/>
    </row>
    <row r="716" spans="1:8" ht="15.6">
      <c r="A716" s="6"/>
      <c r="B716" s="6"/>
      <c r="C716" s="6"/>
      <c r="D716" s="6"/>
      <c r="E716" s="6"/>
      <c r="F716" s="6"/>
      <c r="G716" s="6"/>
      <c r="H716" s="6"/>
    </row>
    <row r="717" spans="1:8" ht="15.6">
      <c r="A717" s="6"/>
      <c r="B717" s="6"/>
      <c r="C717" s="6"/>
      <c r="D717" s="6"/>
      <c r="E717" s="6"/>
      <c r="F717" s="6"/>
      <c r="G717" s="6"/>
      <c r="H717" s="6"/>
    </row>
    <row r="718" spans="1:8" ht="15.6">
      <c r="A718" s="6"/>
      <c r="B718" s="6"/>
      <c r="C718" s="6"/>
      <c r="D718" s="6"/>
      <c r="E718" s="6"/>
      <c r="F718" s="6"/>
      <c r="G718" s="6"/>
      <c r="H718" s="6"/>
    </row>
    <row r="719" spans="1:8" ht="15.6">
      <c r="A719" s="6"/>
      <c r="B719" s="6"/>
      <c r="C719" s="6"/>
      <c r="D719" s="6"/>
      <c r="E719" s="6"/>
      <c r="F719" s="6"/>
      <c r="G719" s="6"/>
      <c r="H719" s="6"/>
    </row>
    <row r="720" spans="1:8" ht="15.6">
      <c r="A720" s="6"/>
      <c r="B720" s="6"/>
      <c r="C720" s="6"/>
      <c r="D720" s="6"/>
      <c r="E720" s="6"/>
      <c r="F720" s="6"/>
      <c r="G720" s="6"/>
      <c r="H720" s="6"/>
    </row>
    <row r="721" spans="1:8" ht="15.6">
      <c r="A721" s="6"/>
      <c r="B721" s="6"/>
      <c r="C721" s="6"/>
      <c r="D721" s="6"/>
      <c r="E721" s="6"/>
      <c r="F721" s="6"/>
      <c r="G721" s="6"/>
      <c r="H721" s="6"/>
    </row>
    <row r="722" spans="1:8" ht="15.6">
      <c r="A722" s="6"/>
      <c r="B722" s="6"/>
      <c r="C722" s="6"/>
      <c r="D722" s="6"/>
      <c r="E722" s="6"/>
      <c r="F722" s="6"/>
      <c r="G722" s="6"/>
      <c r="H722" s="6"/>
    </row>
    <row r="723" spans="1:8" ht="15.6">
      <c r="A723" s="6"/>
      <c r="B723" s="6"/>
      <c r="C723" s="6"/>
      <c r="D723" s="6"/>
      <c r="E723" s="6"/>
      <c r="F723" s="6"/>
      <c r="G723" s="6"/>
      <c r="H723" s="6"/>
    </row>
    <row r="724" spans="1:8" ht="15.6">
      <c r="A724" s="6"/>
      <c r="B724" s="6"/>
      <c r="C724" s="6"/>
      <c r="D724" s="6"/>
      <c r="E724" s="6"/>
      <c r="F724" s="6"/>
      <c r="G724" s="6"/>
      <c r="H724" s="6"/>
    </row>
    <row r="725" spans="1:8" ht="15.6">
      <c r="A725" s="6"/>
      <c r="B725" s="6"/>
      <c r="C725" s="6"/>
      <c r="D725" s="6"/>
      <c r="E725" s="6"/>
      <c r="F725" s="6"/>
      <c r="G725" s="6"/>
      <c r="H725" s="6"/>
    </row>
    <row r="726" spans="1:8" ht="15.6">
      <c r="A726" s="6"/>
      <c r="B726" s="6"/>
      <c r="C726" s="6"/>
      <c r="D726" s="6"/>
      <c r="E726" s="6"/>
      <c r="F726" s="6"/>
      <c r="G726" s="6"/>
      <c r="H726" s="6"/>
    </row>
    <row r="727" spans="1:8" ht="15.6">
      <c r="A727" s="6"/>
      <c r="B727" s="6"/>
      <c r="C727" s="6"/>
      <c r="D727" s="6"/>
      <c r="E727" s="6"/>
      <c r="F727" s="6"/>
      <c r="G727" s="6"/>
      <c r="H727" s="6"/>
    </row>
    <row r="728" spans="1:8" ht="15.6">
      <c r="A728" s="6"/>
      <c r="B728" s="6"/>
      <c r="C728" s="6"/>
      <c r="D728" s="6"/>
      <c r="E728" s="6"/>
      <c r="F728" s="6"/>
      <c r="G728" s="6"/>
      <c r="H728" s="6"/>
    </row>
    <row r="729" spans="1:8" ht="15.6">
      <c r="A729" s="6"/>
      <c r="B729" s="6"/>
      <c r="C729" s="6"/>
      <c r="D729" s="6"/>
      <c r="E729" s="6"/>
      <c r="F729" s="6"/>
      <c r="G729" s="6"/>
      <c r="H729" s="6"/>
    </row>
    <row r="730" spans="1:8" ht="15.6">
      <c r="A730" s="6"/>
      <c r="B730" s="6"/>
      <c r="C730" s="6"/>
      <c r="D730" s="6"/>
      <c r="E730" s="6"/>
      <c r="F730" s="6"/>
      <c r="G730" s="6"/>
      <c r="H730" s="6"/>
    </row>
    <row r="731" spans="1:8" ht="15.6">
      <c r="A731" s="6"/>
      <c r="B731" s="6"/>
      <c r="C731" s="6"/>
      <c r="D731" s="6"/>
      <c r="E731" s="6"/>
      <c r="F731" s="6"/>
      <c r="G731" s="6"/>
      <c r="H731" s="6"/>
    </row>
    <row r="732" spans="1:8" ht="15.6">
      <c r="A732" s="6"/>
      <c r="B732" s="6"/>
      <c r="C732" s="6"/>
      <c r="D732" s="6"/>
      <c r="E732" s="6"/>
      <c r="F732" s="6"/>
      <c r="G732" s="6"/>
      <c r="H732" s="6"/>
    </row>
    <row r="733" spans="1:8" ht="15.6">
      <c r="A733" s="6"/>
      <c r="B733" s="6"/>
      <c r="C733" s="6"/>
      <c r="D733" s="6"/>
      <c r="E733" s="6"/>
      <c r="F733" s="6"/>
      <c r="G733" s="6"/>
      <c r="H733" s="6"/>
    </row>
    <row r="734" spans="1:8" ht="15.6">
      <c r="A734" s="6"/>
      <c r="B734" s="6"/>
      <c r="C734" s="6"/>
      <c r="D734" s="6"/>
      <c r="E734" s="6"/>
      <c r="F734" s="6"/>
      <c r="G734" s="6"/>
      <c r="H734" s="6"/>
    </row>
    <row r="735" spans="1:8" ht="15.6">
      <c r="A735" s="6"/>
      <c r="B735" s="6"/>
      <c r="C735" s="6"/>
      <c r="D735" s="6"/>
      <c r="E735" s="6"/>
      <c r="F735" s="6"/>
      <c r="G735" s="6"/>
      <c r="H735" s="6"/>
    </row>
    <row r="736" spans="1:8" ht="15.6">
      <c r="A736" s="6"/>
      <c r="B736" s="6"/>
      <c r="C736" s="6"/>
      <c r="D736" s="6"/>
      <c r="E736" s="6"/>
      <c r="F736" s="6"/>
      <c r="G736" s="6"/>
      <c r="H736" s="6"/>
    </row>
    <row r="737" spans="1:8" ht="15.6">
      <c r="A737" s="6"/>
      <c r="B737" s="6"/>
      <c r="C737" s="6"/>
      <c r="D737" s="6"/>
      <c r="E737" s="6"/>
      <c r="F737" s="6"/>
      <c r="G737" s="6"/>
      <c r="H737" s="6"/>
    </row>
    <row r="738" spans="1:8" ht="15.6">
      <c r="A738" s="6"/>
      <c r="B738" s="6"/>
      <c r="C738" s="6"/>
      <c r="D738" s="6"/>
      <c r="E738" s="6"/>
      <c r="F738" s="6"/>
      <c r="G738" s="6"/>
      <c r="H738" s="6"/>
    </row>
    <row r="739" spans="1:8" ht="15.6">
      <c r="A739" s="6"/>
      <c r="B739" s="6"/>
      <c r="C739" s="6"/>
      <c r="D739" s="6"/>
      <c r="E739" s="6"/>
      <c r="F739" s="6"/>
      <c r="G739" s="6"/>
      <c r="H739" s="6"/>
    </row>
    <row r="740" spans="1:8" ht="15.6">
      <c r="A740" s="6"/>
      <c r="B740" s="6"/>
      <c r="C740" s="6"/>
      <c r="D740" s="6"/>
      <c r="E740" s="6"/>
      <c r="F740" s="6"/>
      <c r="G740" s="6"/>
      <c r="H740" s="6"/>
    </row>
    <row r="741" spans="1:8" ht="15.6">
      <c r="A741" s="6"/>
      <c r="B741" s="6"/>
      <c r="C741" s="6"/>
      <c r="D741" s="6"/>
      <c r="E741" s="6"/>
      <c r="F741" s="6"/>
      <c r="G741" s="6"/>
      <c r="H741" s="6"/>
    </row>
    <row r="742" spans="1:8" ht="15.6">
      <c r="A742" s="6"/>
      <c r="B742" s="6"/>
      <c r="C742" s="6"/>
      <c r="D742" s="6"/>
      <c r="E742" s="6"/>
      <c r="F742" s="6"/>
      <c r="G742" s="6"/>
      <c r="H742" s="6"/>
    </row>
    <row r="743" spans="1:8" ht="15.6">
      <c r="A743" s="6"/>
      <c r="B743" s="6"/>
      <c r="C743" s="6"/>
      <c r="D743" s="6"/>
      <c r="E743" s="6"/>
      <c r="F743" s="6"/>
      <c r="G743" s="6"/>
      <c r="H743" s="6"/>
    </row>
    <row r="744" spans="1:8" ht="15.6">
      <c r="A744" s="6"/>
      <c r="B744" s="6"/>
      <c r="C744" s="6"/>
      <c r="D744" s="6"/>
      <c r="E744" s="6"/>
      <c r="F744" s="6"/>
      <c r="G744" s="6"/>
      <c r="H744" s="6"/>
    </row>
    <row r="745" spans="1:8" ht="15.6">
      <c r="A745" s="6"/>
      <c r="B745" s="6"/>
      <c r="C745" s="6"/>
      <c r="D745" s="6"/>
      <c r="E745" s="6"/>
      <c r="F745" s="6"/>
      <c r="G745" s="6"/>
      <c r="H745" s="6"/>
    </row>
    <row r="746" spans="1:8" ht="15.6">
      <c r="A746" s="6"/>
      <c r="B746" s="6"/>
      <c r="C746" s="6"/>
      <c r="D746" s="6"/>
      <c r="E746" s="6"/>
      <c r="F746" s="6"/>
      <c r="G746" s="6"/>
      <c r="H746" s="6"/>
    </row>
    <row r="747" spans="1:8" ht="15.6">
      <c r="A747" s="6"/>
      <c r="B747" s="6"/>
      <c r="C747" s="6"/>
      <c r="D747" s="6"/>
      <c r="E747" s="6"/>
      <c r="F747" s="6"/>
      <c r="G747" s="6"/>
      <c r="H747" s="6"/>
    </row>
    <row r="748" spans="1:8" ht="15.6">
      <c r="A748" s="6"/>
      <c r="B748" s="6"/>
      <c r="C748" s="6"/>
      <c r="D748" s="6"/>
      <c r="E748" s="6"/>
      <c r="F748" s="6"/>
      <c r="G748" s="6"/>
      <c r="H748" s="6"/>
    </row>
    <row r="749" spans="1:8" ht="15.6">
      <c r="A749" s="6"/>
      <c r="B749" s="6"/>
      <c r="C749" s="6"/>
      <c r="D749" s="6"/>
      <c r="E749" s="6"/>
      <c r="F749" s="6"/>
      <c r="G749" s="6"/>
      <c r="H749" s="6"/>
    </row>
    <row r="750" spans="1:8" ht="15.6">
      <c r="A750" s="6"/>
      <c r="B750" s="6"/>
      <c r="C750" s="6"/>
      <c r="D750" s="6"/>
      <c r="E750" s="6"/>
      <c r="F750" s="6"/>
      <c r="G750" s="6"/>
      <c r="H750" s="6"/>
    </row>
    <row r="751" spans="1:8" ht="15.6">
      <c r="A751" s="6"/>
      <c r="B751" s="6"/>
      <c r="C751" s="6"/>
      <c r="D751" s="6"/>
      <c r="E751" s="6"/>
      <c r="F751" s="6"/>
      <c r="G751" s="6"/>
      <c r="H751" s="6"/>
    </row>
    <row r="752" spans="1:8" ht="15.6">
      <c r="A752" s="6"/>
      <c r="B752" s="6"/>
      <c r="C752" s="6"/>
      <c r="D752" s="6"/>
      <c r="E752" s="6"/>
      <c r="F752" s="6"/>
      <c r="G752" s="6"/>
      <c r="H752" s="6"/>
    </row>
    <row r="753" spans="1:8" ht="15.6">
      <c r="A753" s="6"/>
      <c r="B753" s="6"/>
      <c r="C753" s="6"/>
      <c r="D753" s="6"/>
      <c r="E753" s="6"/>
      <c r="F753" s="6"/>
      <c r="G753" s="6"/>
      <c r="H753" s="6"/>
    </row>
    <row r="754" spans="1:8" ht="15.6">
      <c r="A754" s="6"/>
      <c r="B754" s="6"/>
      <c r="C754" s="6"/>
      <c r="D754" s="6"/>
      <c r="E754" s="6"/>
      <c r="F754" s="6"/>
      <c r="G754" s="6"/>
      <c r="H754" s="6"/>
    </row>
    <row r="755" spans="1:8" ht="15.6">
      <c r="A755" s="6"/>
      <c r="B755" s="6"/>
      <c r="C755" s="6"/>
      <c r="D755" s="6"/>
      <c r="E755" s="6"/>
      <c r="F755" s="6"/>
      <c r="G755" s="6"/>
      <c r="H755" s="6"/>
    </row>
    <row r="756" spans="1:8" ht="15.6">
      <c r="A756" s="6"/>
      <c r="B756" s="6"/>
      <c r="C756" s="6"/>
      <c r="D756" s="6"/>
      <c r="E756" s="6"/>
      <c r="F756" s="6"/>
      <c r="G756" s="6"/>
      <c r="H756" s="6"/>
    </row>
    <row r="757" spans="1:8" ht="15.6">
      <c r="A757" s="6"/>
      <c r="B757" s="6"/>
      <c r="C757" s="6"/>
      <c r="D757" s="6"/>
      <c r="E757" s="6"/>
      <c r="F757" s="6"/>
      <c r="G757" s="6"/>
      <c r="H757" s="6"/>
    </row>
    <row r="758" spans="1:8" ht="15.6">
      <c r="A758" s="6"/>
      <c r="B758" s="6"/>
      <c r="C758" s="6"/>
      <c r="D758" s="6"/>
      <c r="E758" s="6"/>
      <c r="F758" s="6"/>
      <c r="G758" s="6"/>
      <c r="H758" s="6"/>
    </row>
    <row r="759" spans="1:8" ht="15.6">
      <c r="A759" s="6"/>
      <c r="B759" s="6"/>
      <c r="C759" s="6"/>
      <c r="D759" s="6"/>
      <c r="E759" s="6"/>
      <c r="F759" s="6"/>
      <c r="G759" s="6"/>
      <c r="H759" s="6"/>
    </row>
    <row r="760" spans="1:8" ht="15.6">
      <c r="A760" s="6"/>
      <c r="B760" s="6"/>
      <c r="C760" s="6"/>
      <c r="D760" s="6"/>
      <c r="E760" s="6"/>
      <c r="F760" s="6"/>
      <c r="G760" s="6"/>
      <c r="H760" s="6"/>
    </row>
    <row r="761" spans="1:8" ht="15.6">
      <c r="A761" s="6"/>
      <c r="B761" s="6"/>
      <c r="C761" s="6"/>
      <c r="D761" s="6"/>
      <c r="E761" s="6"/>
      <c r="F761" s="6"/>
      <c r="G761" s="6"/>
      <c r="H761" s="6"/>
    </row>
    <row r="762" spans="1:8" ht="15.6">
      <c r="A762" s="6"/>
      <c r="B762" s="6"/>
      <c r="C762" s="6"/>
      <c r="D762" s="6"/>
      <c r="E762" s="6"/>
      <c r="F762" s="6"/>
      <c r="G762" s="6"/>
      <c r="H762" s="6"/>
    </row>
    <row r="763" spans="1:8" ht="15.6">
      <c r="A763" s="6"/>
      <c r="B763" s="6"/>
      <c r="C763" s="6"/>
      <c r="D763" s="6"/>
      <c r="E763" s="6"/>
      <c r="F763" s="6"/>
      <c r="G763" s="6"/>
      <c r="H763" s="6"/>
    </row>
    <row r="764" spans="1:8" ht="15.6">
      <c r="A764" s="6"/>
      <c r="B764" s="6"/>
      <c r="C764" s="6"/>
      <c r="D764" s="6"/>
      <c r="E764" s="6"/>
      <c r="F764" s="6"/>
      <c r="G764" s="6"/>
      <c r="H764" s="6"/>
    </row>
    <row r="765" spans="1:8" ht="15.6">
      <c r="A765" s="6"/>
      <c r="B765" s="6"/>
      <c r="C765" s="6"/>
      <c r="D765" s="6"/>
      <c r="E765" s="6"/>
      <c r="F765" s="6"/>
      <c r="G765" s="6"/>
      <c r="H765" s="6"/>
    </row>
    <row r="766" spans="1:8" ht="15.6">
      <c r="A766" s="6"/>
      <c r="B766" s="6"/>
      <c r="C766" s="6"/>
      <c r="D766" s="6"/>
      <c r="E766" s="6"/>
      <c r="F766" s="6"/>
      <c r="G766" s="6"/>
      <c r="H766" s="6"/>
    </row>
    <row r="767" spans="1:8" ht="15.6">
      <c r="A767" s="6"/>
      <c r="B767" s="6"/>
      <c r="C767" s="6"/>
      <c r="D767" s="6"/>
      <c r="E767" s="6"/>
      <c r="F767" s="6"/>
      <c r="G767" s="6"/>
      <c r="H767" s="6"/>
    </row>
    <row r="768" spans="1:8" ht="15.6">
      <c r="A768" s="6"/>
      <c r="B768" s="6"/>
      <c r="C768" s="6"/>
      <c r="D768" s="6"/>
      <c r="E768" s="6"/>
      <c r="F768" s="6"/>
      <c r="G768" s="6"/>
      <c r="H768" s="6"/>
    </row>
    <row r="769" spans="1:8" ht="15.6">
      <c r="A769" s="6"/>
      <c r="B769" s="6"/>
      <c r="C769" s="6"/>
      <c r="D769" s="6"/>
      <c r="E769" s="6"/>
      <c r="F769" s="6"/>
      <c r="G769" s="6"/>
      <c r="H769" s="6"/>
    </row>
    <row r="770" spans="1:8" ht="15.6">
      <c r="A770" s="6"/>
      <c r="B770" s="6"/>
      <c r="C770" s="6"/>
      <c r="D770" s="6"/>
      <c r="E770" s="6"/>
      <c r="F770" s="6"/>
      <c r="G770" s="6"/>
      <c r="H770" s="6"/>
    </row>
    <row r="771" spans="1:8" ht="15.6">
      <c r="A771" s="6"/>
      <c r="B771" s="6"/>
      <c r="C771" s="6"/>
      <c r="D771" s="6"/>
      <c r="E771" s="6"/>
      <c r="F771" s="6"/>
      <c r="G771" s="6"/>
      <c r="H771" s="6"/>
    </row>
    <row r="772" spans="1:8" ht="15.6">
      <c r="A772" s="6"/>
      <c r="B772" s="6"/>
      <c r="C772" s="6"/>
      <c r="D772" s="6"/>
      <c r="E772" s="6"/>
      <c r="F772" s="6"/>
      <c r="G772" s="6"/>
      <c r="H772" s="6"/>
    </row>
    <row r="773" spans="1:8" ht="15.6">
      <c r="A773" s="6"/>
      <c r="B773" s="6"/>
      <c r="C773" s="6"/>
      <c r="D773" s="6"/>
      <c r="E773" s="6"/>
      <c r="F773" s="6"/>
      <c r="G773" s="6"/>
      <c r="H773" s="6"/>
    </row>
    <row r="774" spans="1:8" ht="15.6">
      <c r="A774" s="6"/>
      <c r="B774" s="6"/>
      <c r="C774" s="6"/>
      <c r="D774" s="6"/>
      <c r="E774" s="6"/>
      <c r="F774" s="6"/>
      <c r="G774" s="6"/>
      <c r="H774" s="6"/>
    </row>
    <row r="775" spans="1:8" ht="15.6">
      <c r="A775" s="6"/>
      <c r="B775" s="6"/>
      <c r="C775" s="6"/>
      <c r="D775" s="6"/>
      <c r="E775" s="6"/>
      <c r="F775" s="6"/>
      <c r="G775" s="6"/>
      <c r="H775" s="6"/>
    </row>
    <row r="776" spans="1:8" ht="15.6">
      <c r="A776" s="6"/>
      <c r="B776" s="6"/>
      <c r="C776" s="6"/>
      <c r="D776" s="6"/>
      <c r="E776" s="6"/>
      <c r="F776" s="6"/>
      <c r="G776" s="6"/>
      <c r="H776" s="6"/>
    </row>
    <row r="777" spans="1:8" ht="15.6">
      <c r="A777" s="6"/>
      <c r="B777" s="6"/>
      <c r="C777" s="6"/>
      <c r="D777" s="6"/>
      <c r="E777" s="6"/>
      <c r="F777" s="6"/>
      <c r="G777" s="6"/>
      <c r="H777" s="6"/>
    </row>
    <row r="778" spans="1:8" ht="15.6">
      <c r="A778" s="6"/>
      <c r="B778" s="6"/>
      <c r="C778" s="6"/>
      <c r="D778" s="6"/>
      <c r="E778" s="6"/>
      <c r="F778" s="6"/>
      <c r="G778" s="6"/>
      <c r="H778" s="6"/>
    </row>
    <row r="779" spans="1:8" ht="15.6">
      <c r="A779" s="6"/>
      <c r="B779" s="6"/>
      <c r="C779" s="6"/>
      <c r="D779" s="6"/>
      <c r="E779" s="6"/>
      <c r="F779" s="6"/>
      <c r="G779" s="6"/>
      <c r="H779" s="6"/>
    </row>
    <row r="780" spans="1:8" ht="15.6">
      <c r="A780" s="6"/>
      <c r="B780" s="6"/>
      <c r="C780" s="6"/>
      <c r="D780" s="6"/>
      <c r="E780" s="6"/>
      <c r="F780" s="6"/>
      <c r="G780" s="6"/>
      <c r="H780" s="6"/>
    </row>
    <row r="781" spans="1:8" ht="15.6">
      <c r="A781" s="6"/>
      <c r="B781" s="6"/>
      <c r="C781" s="6"/>
      <c r="D781" s="6"/>
      <c r="E781" s="6"/>
      <c r="F781" s="6"/>
      <c r="G781" s="6"/>
      <c r="H781" s="6"/>
    </row>
    <row r="782" spans="1:8" ht="15.6">
      <c r="A782" s="6"/>
      <c r="B782" s="6"/>
      <c r="C782" s="6"/>
      <c r="D782" s="6"/>
      <c r="E782" s="6"/>
      <c r="F782" s="6"/>
      <c r="G782" s="6"/>
      <c r="H782" s="6"/>
    </row>
    <row r="783" spans="1:8" ht="15.6">
      <c r="A783" s="6"/>
      <c r="B783" s="6"/>
      <c r="C783" s="6"/>
      <c r="D783" s="6"/>
      <c r="E783" s="6"/>
      <c r="F783" s="6"/>
      <c r="G783" s="6"/>
      <c r="H783" s="6"/>
    </row>
    <row r="784" spans="1:8" ht="15.6">
      <c r="A784" s="6"/>
      <c r="B784" s="6"/>
      <c r="C784" s="6"/>
      <c r="D784" s="6"/>
      <c r="E784" s="6"/>
      <c r="F784" s="6"/>
      <c r="G784" s="6"/>
      <c r="H784" s="6"/>
    </row>
    <row r="785" spans="1:8" ht="15.6">
      <c r="A785" s="6"/>
      <c r="B785" s="6"/>
      <c r="C785" s="6"/>
      <c r="D785" s="6"/>
      <c r="E785" s="6"/>
      <c r="F785" s="6"/>
      <c r="G785" s="6"/>
      <c r="H785" s="6"/>
    </row>
    <row r="786" spans="1:8" ht="15.6">
      <c r="A786" s="6"/>
      <c r="B786" s="6"/>
      <c r="C786" s="6"/>
      <c r="D786" s="6"/>
      <c r="E786" s="6"/>
      <c r="F786" s="6"/>
      <c r="G786" s="6"/>
      <c r="H786" s="6"/>
    </row>
    <row r="787" spans="1:8" ht="15.6">
      <c r="A787" s="6"/>
      <c r="B787" s="6"/>
      <c r="C787" s="6"/>
      <c r="D787" s="6"/>
      <c r="E787" s="6"/>
      <c r="F787" s="6"/>
      <c r="G787" s="6"/>
      <c r="H787" s="6"/>
    </row>
    <row r="788" spans="1:8" ht="15.6">
      <c r="A788" s="6"/>
      <c r="B788" s="6"/>
      <c r="C788" s="6"/>
      <c r="D788" s="6"/>
      <c r="E788" s="6"/>
      <c r="F788" s="6"/>
      <c r="G788" s="6"/>
      <c r="H788" s="6"/>
    </row>
    <row r="789" spans="1:8" ht="15.6">
      <c r="A789" s="6"/>
      <c r="B789" s="6"/>
      <c r="C789" s="6"/>
      <c r="D789" s="6"/>
      <c r="E789" s="6"/>
      <c r="F789" s="6"/>
      <c r="G789" s="6"/>
      <c r="H789" s="6"/>
    </row>
    <row r="790" spans="1:8" ht="15.6">
      <c r="A790" s="6"/>
      <c r="B790" s="6"/>
      <c r="C790" s="6"/>
      <c r="D790" s="6"/>
      <c r="E790" s="6"/>
      <c r="F790" s="6"/>
      <c r="G790" s="6"/>
      <c r="H790" s="6"/>
    </row>
    <row r="791" spans="1:8" ht="15.6">
      <c r="A791" s="6"/>
      <c r="B791" s="6"/>
      <c r="C791" s="6"/>
      <c r="D791" s="6"/>
      <c r="E791" s="6"/>
      <c r="F791" s="6"/>
      <c r="G791" s="6"/>
      <c r="H791" s="6"/>
    </row>
    <row r="792" spans="1:8" ht="15.6">
      <c r="A792" s="6"/>
      <c r="B792" s="6"/>
      <c r="C792" s="6"/>
      <c r="D792" s="6"/>
      <c r="E792" s="6"/>
      <c r="F792" s="6"/>
      <c r="G792" s="6"/>
      <c r="H792" s="6"/>
    </row>
    <row r="793" spans="1:8" ht="15.6">
      <c r="A793" s="6"/>
      <c r="B793" s="6"/>
      <c r="C793" s="6"/>
      <c r="D793" s="6"/>
      <c r="E793" s="6"/>
      <c r="F793" s="6"/>
      <c r="G793" s="6"/>
      <c r="H793" s="6"/>
    </row>
    <row r="794" spans="1:8" ht="15.6">
      <c r="A794" s="6"/>
      <c r="B794" s="6"/>
      <c r="C794" s="6"/>
      <c r="D794" s="6"/>
      <c r="E794" s="6"/>
      <c r="F794" s="6"/>
      <c r="G794" s="6"/>
      <c r="H794" s="6"/>
    </row>
    <row r="795" spans="1:8" ht="15.6">
      <c r="A795" s="6"/>
      <c r="B795" s="6"/>
      <c r="C795" s="6"/>
      <c r="D795" s="6"/>
      <c r="E795" s="6"/>
      <c r="F795" s="6"/>
      <c r="G795" s="6"/>
      <c r="H795" s="6"/>
    </row>
    <row r="796" spans="1:8" ht="15.6">
      <c r="A796" s="6"/>
      <c r="B796" s="6"/>
      <c r="C796" s="6"/>
      <c r="D796" s="6"/>
      <c r="E796" s="6"/>
      <c r="F796" s="6"/>
      <c r="G796" s="6"/>
      <c r="H796" s="6"/>
    </row>
    <row r="797" spans="1:8" ht="15.6">
      <c r="A797" s="6"/>
      <c r="B797" s="6"/>
      <c r="C797" s="6"/>
      <c r="D797" s="6"/>
      <c r="E797" s="6"/>
      <c r="F797" s="6"/>
      <c r="G797" s="6"/>
      <c r="H797" s="6"/>
    </row>
    <row r="798" spans="1:8" ht="15.6">
      <c r="A798" s="6"/>
      <c r="B798" s="6"/>
      <c r="C798" s="6"/>
      <c r="D798" s="6"/>
      <c r="E798" s="6"/>
      <c r="F798" s="6"/>
      <c r="G798" s="6"/>
      <c r="H798" s="6"/>
    </row>
    <row r="799" spans="1:8" ht="15.6">
      <c r="A799" s="6"/>
      <c r="B799" s="6"/>
      <c r="C799" s="6"/>
      <c r="D799" s="6"/>
      <c r="E799" s="6"/>
      <c r="F799" s="6"/>
      <c r="G799" s="6"/>
      <c r="H799" s="6"/>
    </row>
    <row r="800" spans="1:8" ht="15.6">
      <c r="A800" s="6"/>
      <c r="B800" s="6"/>
      <c r="C800" s="6"/>
      <c r="D800" s="6"/>
      <c r="E800" s="6"/>
      <c r="F800" s="6"/>
      <c r="G800" s="6"/>
      <c r="H800" s="6"/>
    </row>
    <row r="801" spans="1:8" ht="15.6">
      <c r="A801" s="6"/>
      <c r="B801" s="6"/>
      <c r="C801" s="6"/>
      <c r="D801" s="6"/>
      <c r="E801" s="6"/>
      <c r="F801" s="6"/>
      <c r="G801" s="6"/>
      <c r="H801" s="6"/>
    </row>
    <row r="802" spans="1:8" ht="15.6">
      <c r="A802" s="6"/>
      <c r="B802" s="6"/>
      <c r="C802" s="6"/>
      <c r="D802" s="6"/>
      <c r="E802" s="6"/>
      <c r="F802" s="6"/>
      <c r="G802" s="6"/>
      <c r="H802" s="6"/>
    </row>
    <row r="803" spans="1:8" ht="15.6">
      <c r="A803" s="6"/>
      <c r="B803" s="6"/>
      <c r="C803" s="6"/>
      <c r="D803" s="6"/>
      <c r="E803" s="6"/>
      <c r="F803" s="6"/>
      <c r="G803" s="6"/>
      <c r="H803" s="6"/>
    </row>
    <row r="804" spans="1:8" ht="15.6">
      <c r="A804" s="6"/>
      <c r="B804" s="6"/>
      <c r="C804" s="6"/>
      <c r="D804" s="6"/>
      <c r="E804" s="6"/>
      <c r="F804" s="6"/>
      <c r="G804" s="6"/>
      <c r="H804" s="6"/>
    </row>
    <row r="805" spans="1:8" ht="15.6">
      <c r="A805" s="6"/>
      <c r="B805" s="6"/>
      <c r="C805" s="6"/>
      <c r="D805" s="6"/>
      <c r="E805" s="6"/>
      <c r="F805" s="6"/>
      <c r="G805" s="6"/>
      <c r="H805" s="6"/>
    </row>
    <row r="806" spans="1:8" ht="15.6">
      <c r="A806" s="6"/>
      <c r="B806" s="6"/>
      <c r="C806" s="6"/>
      <c r="D806" s="6"/>
      <c r="E806" s="6"/>
      <c r="F806" s="6"/>
      <c r="G806" s="6"/>
      <c r="H806" s="6"/>
    </row>
    <row r="807" spans="1:8" ht="15.6">
      <c r="A807" s="6"/>
      <c r="B807" s="6"/>
      <c r="C807" s="6"/>
      <c r="D807" s="6"/>
      <c r="E807" s="6"/>
      <c r="F807" s="6"/>
      <c r="G807" s="6"/>
      <c r="H807" s="6"/>
    </row>
    <row r="808" spans="1:8" ht="15.6">
      <c r="A808" s="6"/>
      <c r="B808" s="6"/>
      <c r="C808" s="6"/>
      <c r="D808" s="6"/>
      <c r="E808" s="6"/>
      <c r="F808" s="6"/>
      <c r="G808" s="6"/>
      <c r="H808" s="6"/>
    </row>
    <row r="809" spans="1:8" ht="15.6">
      <c r="A809" s="6"/>
      <c r="B809" s="6"/>
      <c r="C809" s="6"/>
      <c r="D809" s="6"/>
      <c r="E809" s="6"/>
      <c r="F809" s="6"/>
      <c r="G809" s="6"/>
      <c r="H809" s="6"/>
    </row>
    <row r="810" spans="1:8" ht="15.6">
      <c r="A810" s="6"/>
      <c r="B810" s="6"/>
      <c r="C810" s="6"/>
      <c r="D810" s="6"/>
      <c r="E810" s="6"/>
      <c r="F810" s="6"/>
      <c r="G810" s="6"/>
      <c r="H810" s="6"/>
    </row>
    <row r="811" spans="1:8" ht="15.6">
      <c r="A811" s="6"/>
      <c r="B811" s="6"/>
      <c r="C811" s="6"/>
      <c r="D811" s="6"/>
      <c r="E811" s="6"/>
      <c r="F811" s="6"/>
      <c r="G811" s="6"/>
      <c r="H811" s="6"/>
    </row>
    <row r="812" spans="1:8" ht="15.6">
      <c r="A812" s="6"/>
      <c r="B812" s="6"/>
      <c r="C812" s="6"/>
      <c r="D812" s="6"/>
      <c r="E812" s="6"/>
      <c r="F812" s="6"/>
      <c r="G812" s="6"/>
      <c r="H812" s="6"/>
    </row>
    <row r="813" spans="1:8" ht="15.6">
      <c r="A813" s="6"/>
      <c r="B813" s="6"/>
      <c r="C813" s="6"/>
      <c r="D813" s="6"/>
      <c r="E813" s="6"/>
      <c r="F813" s="6"/>
      <c r="G813" s="6"/>
      <c r="H813" s="6"/>
    </row>
    <row r="814" spans="1:8" ht="15.6">
      <c r="A814" s="6"/>
      <c r="B814" s="6"/>
      <c r="C814" s="6"/>
      <c r="D814" s="6"/>
      <c r="E814" s="6"/>
      <c r="F814" s="6"/>
      <c r="G814" s="6"/>
      <c r="H814" s="6"/>
    </row>
    <row r="815" spans="1:8" ht="15.6">
      <c r="A815" s="6"/>
      <c r="B815" s="6"/>
      <c r="C815" s="6"/>
      <c r="D815" s="6"/>
      <c r="E815" s="6"/>
      <c r="F815" s="6"/>
      <c r="G815" s="6"/>
      <c r="H815" s="6"/>
    </row>
    <row r="816" spans="1:8" ht="15.6">
      <c r="A816" s="6"/>
      <c r="B816" s="6"/>
      <c r="C816" s="6"/>
      <c r="D816" s="6"/>
      <c r="E816" s="6"/>
      <c r="F816" s="6"/>
      <c r="G816" s="6"/>
      <c r="H816" s="6"/>
    </row>
    <row r="817" spans="1:8" ht="15.6">
      <c r="A817" s="6"/>
      <c r="B817" s="6"/>
      <c r="C817" s="6"/>
      <c r="D817" s="6"/>
      <c r="E817" s="6"/>
      <c r="F817" s="6"/>
      <c r="G817" s="6"/>
      <c r="H817" s="6"/>
    </row>
    <row r="818" spans="1:8" ht="15.6">
      <c r="A818" s="6"/>
      <c r="B818" s="6"/>
      <c r="C818" s="6"/>
      <c r="D818" s="6"/>
      <c r="E818" s="6"/>
      <c r="F818" s="6"/>
      <c r="G818" s="6"/>
      <c r="H818" s="6"/>
    </row>
    <row r="819" spans="1:8" ht="15.6">
      <c r="A819" s="6"/>
      <c r="B819" s="6"/>
      <c r="C819" s="6"/>
      <c r="D819" s="6"/>
      <c r="E819" s="6"/>
      <c r="F819" s="6"/>
      <c r="G819" s="6"/>
      <c r="H819" s="6"/>
    </row>
    <row r="820" spans="1:8" ht="15.6">
      <c r="A820" s="6"/>
      <c r="B820" s="6"/>
      <c r="C820" s="6"/>
      <c r="D820" s="6"/>
      <c r="E820" s="6"/>
      <c r="F820" s="6"/>
      <c r="G820" s="6"/>
      <c r="H820" s="6"/>
    </row>
    <row r="821" spans="1:8" ht="15.6">
      <c r="A821" s="6"/>
      <c r="B821" s="6"/>
      <c r="C821" s="6"/>
      <c r="D821" s="6"/>
      <c r="E821" s="6"/>
      <c r="F821" s="6"/>
      <c r="G821" s="6"/>
      <c r="H821" s="6"/>
    </row>
    <row r="822" spans="1:8" ht="15.6">
      <c r="A822" s="6"/>
      <c r="B822" s="6"/>
      <c r="C822" s="6"/>
      <c r="D822" s="6"/>
      <c r="E822" s="6"/>
      <c r="F822" s="6"/>
      <c r="G822" s="6"/>
      <c r="H822" s="6"/>
    </row>
    <row r="823" spans="1:8" ht="15.6">
      <c r="A823" s="6"/>
      <c r="B823" s="6"/>
      <c r="C823" s="6"/>
      <c r="D823" s="6"/>
      <c r="E823" s="6"/>
      <c r="F823" s="6"/>
      <c r="G823" s="6"/>
      <c r="H823" s="6"/>
    </row>
    <row r="824" spans="1:8" ht="15.6">
      <c r="A824" s="6"/>
      <c r="B824" s="6"/>
      <c r="C824" s="6"/>
      <c r="D824" s="6"/>
      <c r="E824" s="6"/>
      <c r="F824" s="6"/>
      <c r="G824" s="6"/>
      <c r="H824" s="6"/>
    </row>
    <row r="825" spans="1:8" ht="15.6">
      <c r="A825" s="6"/>
      <c r="B825" s="6"/>
      <c r="C825" s="6"/>
      <c r="D825" s="6"/>
      <c r="E825" s="6"/>
      <c r="F825" s="6"/>
      <c r="G825" s="6"/>
      <c r="H825" s="6"/>
    </row>
    <row r="826" spans="1:8" ht="15.6">
      <c r="A826" s="6"/>
      <c r="B826" s="6"/>
      <c r="C826" s="6"/>
      <c r="D826" s="6"/>
      <c r="E826" s="6"/>
      <c r="F826" s="6"/>
      <c r="G826" s="6"/>
      <c r="H826" s="6"/>
    </row>
    <row r="827" spans="1:8" ht="15.6">
      <c r="A827" s="6"/>
      <c r="B827" s="6"/>
      <c r="C827" s="6"/>
      <c r="D827" s="6"/>
      <c r="E827" s="6"/>
      <c r="F827" s="6"/>
      <c r="G827" s="6"/>
      <c r="H827" s="6"/>
    </row>
    <row r="828" spans="1:8" ht="15.6">
      <c r="A828" s="6"/>
      <c r="B828" s="6"/>
      <c r="C828" s="6"/>
      <c r="D828" s="6"/>
      <c r="E828" s="6"/>
      <c r="F828" s="6"/>
      <c r="G828" s="6"/>
      <c r="H828" s="6"/>
    </row>
    <row r="829" spans="1:8" ht="15.6">
      <c r="A829" s="6"/>
      <c r="B829" s="6"/>
      <c r="C829" s="6"/>
      <c r="D829" s="6"/>
      <c r="E829" s="6"/>
      <c r="F829" s="6"/>
      <c r="G829" s="6"/>
      <c r="H829" s="6"/>
    </row>
    <row r="830" spans="1:8" ht="15.6">
      <c r="A830" s="6"/>
      <c r="B830" s="6"/>
      <c r="C830" s="6"/>
      <c r="D830" s="6"/>
      <c r="E830" s="6"/>
      <c r="F830" s="6"/>
      <c r="G830" s="6"/>
      <c r="H830" s="6"/>
    </row>
    <row r="831" spans="1:8" ht="15.6">
      <c r="A831" s="6"/>
      <c r="B831" s="6"/>
      <c r="C831" s="6"/>
      <c r="D831" s="6"/>
      <c r="E831" s="6"/>
      <c r="F831" s="6"/>
      <c r="G831" s="6"/>
      <c r="H831" s="6"/>
    </row>
    <row r="832" spans="1:8" ht="15.6">
      <c r="A832" s="6"/>
      <c r="B832" s="6"/>
      <c r="C832" s="6"/>
      <c r="D832" s="6"/>
      <c r="E832" s="6"/>
      <c r="F832" s="6"/>
      <c r="G832" s="6"/>
      <c r="H832" s="6"/>
    </row>
    <row r="833" spans="1:8" ht="15.6">
      <c r="A833" s="6"/>
      <c r="B833" s="6"/>
      <c r="C833" s="6"/>
      <c r="D833" s="6"/>
      <c r="E833" s="6"/>
      <c r="F833" s="6"/>
      <c r="G833" s="6"/>
      <c r="H833" s="6"/>
    </row>
    <row r="834" spans="1:8" ht="15.6">
      <c r="A834" s="6"/>
      <c r="B834" s="6"/>
      <c r="C834" s="6"/>
      <c r="D834" s="6"/>
      <c r="E834" s="6"/>
      <c r="F834" s="6"/>
      <c r="G834" s="6"/>
      <c r="H834" s="6"/>
    </row>
    <row r="835" spans="1:8" ht="15.6">
      <c r="A835" s="6"/>
      <c r="B835" s="6"/>
      <c r="C835" s="6"/>
      <c r="D835" s="6"/>
      <c r="E835" s="6"/>
      <c r="F835" s="6"/>
      <c r="G835" s="6"/>
      <c r="H835" s="6"/>
    </row>
    <row r="836" spans="1:8" ht="15.6">
      <c r="A836" s="6"/>
      <c r="B836" s="6"/>
      <c r="C836" s="6"/>
      <c r="D836" s="6"/>
      <c r="E836" s="6"/>
      <c r="F836" s="6"/>
      <c r="G836" s="6"/>
      <c r="H836" s="6"/>
    </row>
    <row r="837" spans="1:8" ht="15.6">
      <c r="A837" s="6"/>
      <c r="B837" s="6"/>
      <c r="C837" s="6"/>
      <c r="D837" s="6"/>
      <c r="E837" s="6"/>
      <c r="F837" s="6"/>
      <c r="G837" s="6"/>
      <c r="H837" s="6"/>
    </row>
    <row r="838" spans="1:8" ht="15.6">
      <c r="A838" s="6"/>
      <c r="B838" s="6"/>
      <c r="C838" s="6"/>
      <c r="D838" s="6"/>
      <c r="E838" s="6"/>
      <c r="F838" s="6"/>
      <c r="G838" s="6"/>
      <c r="H838" s="6"/>
    </row>
    <row r="839" spans="1:8" ht="15.6">
      <c r="A839" s="6"/>
      <c r="B839" s="6"/>
      <c r="C839" s="6"/>
      <c r="D839" s="6"/>
      <c r="E839" s="6"/>
      <c r="F839" s="6"/>
      <c r="G839" s="6"/>
      <c r="H839" s="6"/>
    </row>
    <row r="840" spans="1:8" ht="15.6">
      <c r="A840" s="6"/>
      <c r="B840" s="6"/>
      <c r="C840" s="6"/>
      <c r="D840" s="6"/>
      <c r="E840" s="6"/>
      <c r="F840" s="6"/>
      <c r="G840" s="6"/>
      <c r="H840" s="6"/>
    </row>
    <row r="841" spans="1:8" ht="15.6">
      <c r="A841" s="6"/>
      <c r="B841" s="6"/>
      <c r="C841" s="6"/>
      <c r="D841" s="6"/>
      <c r="E841" s="6"/>
      <c r="F841" s="6"/>
      <c r="G841" s="6"/>
      <c r="H841" s="6"/>
    </row>
    <row r="842" spans="1:8" ht="15.6">
      <c r="A842" s="6"/>
      <c r="B842" s="6"/>
      <c r="C842" s="6"/>
      <c r="D842" s="6"/>
      <c r="E842" s="6"/>
      <c r="F842" s="6"/>
      <c r="G842" s="6"/>
      <c r="H842" s="6"/>
    </row>
    <row r="843" spans="1:8" ht="15.6">
      <c r="A843" s="6"/>
      <c r="B843" s="6"/>
      <c r="C843" s="6"/>
      <c r="D843" s="6"/>
      <c r="E843" s="6"/>
      <c r="F843" s="6"/>
      <c r="G843" s="6"/>
      <c r="H843" s="6"/>
    </row>
    <row r="844" spans="1:8" ht="15.6">
      <c r="A844" s="6"/>
      <c r="B844" s="6"/>
      <c r="C844" s="6"/>
      <c r="D844" s="6"/>
      <c r="E844" s="6"/>
      <c r="F844" s="6"/>
      <c r="G844" s="6"/>
      <c r="H844" s="6"/>
    </row>
    <row r="845" spans="1:8" ht="15.6">
      <c r="A845" s="6"/>
      <c r="B845" s="6"/>
      <c r="C845" s="6"/>
      <c r="D845" s="6"/>
      <c r="E845" s="6"/>
      <c r="F845" s="6"/>
      <c r="G845" s="6"/>
      <c r="H845" s="6"/>
    </row>
    <row r="846" spans="1:8" ht="15.6">
      <c r="A846" s="6"/>
      <c r="B846" s="6"/>
      <c r="C846" s="6"/>
      <c r="D846" s="6"/>
      <c r="E846" s="6"/>
      <c r="F846" s="6"/>
      <c r="G846" s="6"/>
      <c r="H846" s="6"/>
    </row>
    <row r="847" spans="1:8" ht="15.6">
      <c r="A847" s="6"/>
      <c r="B847" s="6"/>
      <c r="C847" s="6"/>
      <c r="D847" s="6"/>
      <c r="E847" s="6"/>
      <c r="F847" s="6"/>
      <c r="G847" s="6"/>
      <c r="H847" s="6"/>
    </row>
    <row r="848" spans="1:8" ht="15.6">
      <c r="A848" s="6"/>
      <c r="B848" s="6"/>
      <c r="C848" s="6"/>
      <c r="D848" s="6"/>
      <c r="E848" s="6"/>
      <c r="F848" s="6"/>
      <c r="G848" s="6"/>
      <c r="H848" s="6"/>
    </row>
    <row r="849" spans="1:8" ht="15.6">
      <c r="A849" s="6"/>
      <c r="B849" s="6"/>
      <c r="C849" s="6"/>
      <c r="D849" s="6"/>
      <c r="E849" s="6"/>
      <c r="F849" s="6"/>
      <c r="G849" s="6"/>
      <c r="H849" s="6"/>
    </row>
    <row r="850" spans="1:8" ht="15.6">
      <c r="A850" s="6"/>
      <c r="B850" s="6"/>
      <c r="C850" s="6"/>
      <c r="D850" s="6"/>
      <c r="E850" s="6"/>
      <c r="F850" s="6"/>
      <c r="G850" s="6"/>
      <c r="H850" s="6"/>
    </row>
    <row r="851" spans="1:8" ht="15.6">
      <c r="A851" s="6"/>
      <c r="B851" s="6"/>
      <c r="C851" s="6"/>
      <c r="D851" s="6"/>
      <c r="E851" s="6"/>
      <c r="F851" s="6"/>
      <c r="G851" s="6"/>
      <c r="H851" s="6"/>
    </row>
    <row r="852" spans="1:8" ht="15.6">
      <c r="A852" s="6"/>
      <c r="B852" s="6"/>
      <c r="C852" s="6"/>
      <c r="D852" s="6"/>
      <c r="E852" s="6"/>
      <c r="F852" s="6"/>
      <c r="G852" s="6"/>
      <c r="H852" s="6"/>
    </row>
    <row r="853" spans="1:8" ht="15.6">
      <c r="A853" s="6"/>
      <c r="B853" s="6"/>
      <c r="C853" s="6"/>
      <c r="D853" s="6"/>
      <c r="E853" s="6"/>
      <c r="F853" s="6"/>
      <c r="G853" s="6"/>
      <c r="H853" s="6"/>
    </row>
    <row r="854" spans="1:8" ht="15.6">
      <c r="A854" s="6"/>
      <c r="B854" s="6"/>
      <c r="C854" s="6"/>
      <c r="D854" s="6"/>
      <c r="E854" s="6"/>
      <c r="F854" s="6"/>
      <c r="G854" s="6"/>
      <c r="H854" s="6"/>
    </row>
    <row r="855" spans="1:8" ht="15.6">
      <c r="A855" s="6"/>
      <c r="B855" s="6"/>
      <c r="C855" s="6"/>
      <c r="D855" s="6"/>
      <c r="E855" s="6"/>
      <c r="F855" s="6"/>
      <c r="G855" s="6"/>
      <c r="H855" s="6"/>
    </row>
    <row r="856" spans="1:8" ht="15.6">
      <c r="A856" s="6"/>
      <c r="B856" s="6"/>
      <c r="C856" s="6"/>
      <c r="D856" s="6"/>
      <c r="E856" s="6"/>
      <c r="F856" s="6"/>
      <c r="G856" s="6"/>
      <c r="H856" s="6"/>
    </row>
    <row r="857" spans="1:8" ht="15.6">
      <c r="A857" s="6"/>
      <c r="B857" s="6"/>
      <c r="C857" s="6"/>
      <c r="D857" s="6"/>
      <c r="E857" s="6"/>
      <c r="F857" s="6"/>
      <c r="G857" s="6"/>
      <c r="H857" s="6"/>
    </row>
    <row r="858" spans="1:8" ht="15.6">
      <c r="A858" s="6"/>
      <c r="B858" s="6"/>
      <c r="C858" s="6"/>
      <c r="D858" s="6"/>
      <c r="E858" s="6"/>
      <c r="F858" s="6"/>
      <c r="G858" s="6"/>
      <c r="H858" s="6"/>
    </row>
    <row r="859" spans="1:8" ht="15.6">
      <c r="A859" s="6"/>
      <c r="B859" s="6"/>
      <c r="C859" s="6"/>
      <c r="D859" s="6"/>
      <c r="E859" s="6"/>
      <c r="F859" s="6"/>
      <c r="G859" s="6"/>
      <c r="H859" s="6"/>
    </row>
    <row r="860" spans="1:8" ht="15.6">
      <c r="A860" s="6"/>
      <c r="B860" s="6"/>
      <c r="C860" s="6"/>
      <c r="D860" s="6"/>
      <c r="E860" s="6"/>
      <c r="F860" s="6"/>
      <c r="G860" s="6"/>
      <c r="H860" s="6"/>
    </row>
    <row r="861" spans="1:8" ht="15.6">
      <c r="A861" s="6"/>
      <c r="B861" s="6"/>
      <c r="C861" s="6"/>
      <c r="D861" s="6"/>
      <c r="E861" s="6"/>
      <c r="F861" s="6"/>
      <c r="G861" s="6"/>
      <c r="H861" s="6"/>
    </row>
    <row r="862" spans="1:8" ht="15.6">
      <c r="A862" s="6"/>
      <c r="B862" s="6"/>
      <c r="C862" s="6"/>
      <c r="D862" s="6"/>
      <c r="E862" s="6"/>
      <c r="F862" s="6"/>
      <c r="G862" s="6"/>
      <c r="H862" s="6"/>
    </row>
    <row r="863" spans="1:8" ht="15.6">
      <c r="A863" s="6"/>
      <c r="B863" s="6"/>
      <c r="C863" s="6"/>
      <c r="D863" s="6"/>
      <c r="E863" s="6"/>
      <c r="F863" s="6"/>
      <c r="G863" s="6"/>
      <c r="H863" s="6"/>
    </row>
    <row r="864" spans="1:8" ht="15.6">
      <c r="A864" s="6"/>
      <c r="B864" s="6"/>
      <c r="C864" s="6"/>
      <c r="D864" s="6"/>
      <c r="E864" s="6"/>
      <c r="F864" s="6"/>
      <c r="G864" s="6"/>
      <c r="H864" s="6"/>
    </row>
    <row r="865" spans="1:8" ht="15.6">
      <c r="A865" s="6"/>
      <c r="B865" s="6"/>
      <c r="C865" s="6"/>
      <c r="D865" s="6"/>
      <c r="E865" s="6"/>
      <c r="F865" s="6"/>
      <c r="G865" s="6"/>
      <c r="H865" s="6"/>
    </row>
    <row r="866" spans="1:8" ht="15.6">
      <c r="A866" s="6"/>
      <c r="B866" s="6"/>
      <c r="C866" s="6"/>
      <c r="D866" s="6"/>
      <c r="E866" s="6"/>
      <c r="F866" s="6"/>
      <c r="G866" s="6"/>
      <c r="H866" s="6"/>
    </row>
    <row r="867" spans="1:8" ht="15.6">
      <c r="A867" s="6"/>
      <c r="B867" s="6"/>
      <c r="C867" s="6"/>
      <c r="D867" s="6"/>
      <c r="E867" s="6"/>
      <c r="F867" s="6"/>
      <c r="G867" s="6"/>
      <c r="H867" s="6"/>
    </row>
    <row r="868" spans="1:8" ht="15.6">
      <c r="A868" s="6"/>
      <c r="B868" s="6"/>
      <c r="C868" s="6"/>
      <c r="D868" s="6"/>
      <c r="E868" s="6"/>
      <c r="F868" s="6"/>
      <c r="G868" s="6"/>
      <c r="H868" s="6"/>
    </row>
    <row r="869" spans="1:8" ht="15.6">
      <c r="A869" s="6"/>
      <c r="B869" s="6"/>
      <c r="C869" s="6"/>
      <c r="D869" s="6"/>
      <c r="E869" s="6"/>
      <c r="F869" s="6"/>
      <c r="G869" s="6"/>
      <c r="H869" s="6"/>
    </row>
    <row r="870" spans="1:8" ht="15.6">
      <c r="A870" s="6"/>
      <c r="B870" s="6"/>
      <c r="C870" s="6"/>
      <c r="D870" s="6"/>
      <c r="E870" s="6"/>
      <c r="F870" s="6"/>
      <c r="G870" s="6"/>
      <c r="H870" s="6"/>
    </row>
    <row r="871" spans="1:8" ht="15.6">
      <c r="A871" s="6"/>
      <c r="B871" s="6"/>
      <c r="C871" s="6"/>
      <c r="D871" s="6"/>
      <c r="E871" s="6"/>
      <c r="F871" s="6"/>
      <c r="G871" s="6"/>
      <c r="H871" s="6"/>
    </row>
    <row r="872" spans="1:8" ht="15.6">
      <c r="A872" s="6"/>
      <c r="B872" s="6"/>
      <c r="C872" s="6"/>
      <c r="D872" s="6"/>
      <c r="E872" s="6"/>
      <c r="F872" s="6"/>
      <c r="G872" s="6"/>
      <c r="H872" s="6"/>
    </row>
    <row r="873" spans="1:8" ht="15.6">
      <c r="A873" s="6"/>
      <c r="B873" s="6"/>
      <c r="C873" s="6"/>
      <c r="D873" s="6"/>
      <c r="E873" s="6"/>
      <c r="F873" s="6"/>
      <c r="G873" s="6"/>
      <c r="H873" s="6"/>
    </row>
    <row r="874" spans="1:8" ht="15.6">
      <c r="A874" s="6"/>
      <c r="B874" s="6"/>
      <c r="C874" s="6"/>
      <c r="D874" s="6"/>
      <c r="E874" s="6"/>
      <c r="F874" s="6"/>
      <c r="G874" s="6"/>
      <c r="H874" s="6"/>
    </row>
    <row r="875" spans="1:8" ht="15.6">
      <c r="A875" s="6"/>
      <c r="B875" s="6"/>
      <c r="C875" s="6"/>
      <c r="D875" s="6"/>
      <c r="E875" s="6"/>
      <c r="F875" s="6"/>
      <c r="G875" s="6"/>
      <c r="H875" s="6"/>
    </row>
    <row r="876" spans="1:8" ht="15.6">
      <c r="A876" s="6"/>
      <c r="B876" s="6"/>
      <c r="C876" s="6"/>
      <c r="D876" s="6"/>
      <c r="E876" s="6"/>
      <c r="F876" s="6"/>
      <c r="G876" s="6"/>
      <c r="H876" s="6"/>
    </row>
    <row r="877" spans="1:8" ht="15.6">
      <c r="A877" s="6"/>
      <c r="B877" s="6"/>
      <c r="C877" s="6"/>
      <c r="D877" s="6"/>
      <c r="E877" s="6"/>
      <c r="F877" s="6"/>
      <c r="G877" s="6"/>
      <c r="H877" s="6"/>
    </row>
    <row r="878" spans="1:8" ht="15.6">
      <c r="A878" s="6"/>
      <c r="B878" s="6"/>
      <c r="C878" s="6"/>
      <c r="D878" s="6"/>
      <c r="E878" s="6"/>
      <c r="F878" s="6"/>
      <c r="G878" s="6"/>
      <c r="H878" s="6"/>
    </row>
    <row r="879" spans="1:8" ht="15.6">
      <c r="A879" s="6"/>
      <c r="B879" s="6"/>
      <c r="C879" s="6"/>
      <c r="D879" s="6"/>
      <c r="E879" s="6"/>
      <c r="F879" s="6"/>
      <c r="G879" s="6"/>
      <c r="H879" s="6"/>
    </row>
    <row r="880" spans="1:8" ht="15.6">
      <c r="A880" s="6"/>
      <c r="B880" s="6"/>
      <c r="C880" s="6"/>
      <c r="D880" s="6"/>
      <c r="E880" s="6"/>
      <c r="F880" s="6"/>
      <c r="G880" s="6"/>
      <c r="H880" s="6"/>
    </row>
    <row r="881" spans="1:8" ht="15.6">
      <c r="A881" s="6"/>
      <c r="B881" s="6"/>
      <c r="C881" s="6"/>
      <c r="D881" s="6"/>
      <c r="E881" s="6"/>
      <c r="F881" s="6"/>
      <c r="G881" s="6"/>
      <c r="H881" s="6"/>
    </row>
    <row r="882" spans="1:8" ht="15.6">
      <c r="A882" s="6"/>
      <c r="B882" s="6"/>
      <c r="C882" s="6"/>
      <c r="D882" s="6"/>
      <c r="E882" s="6"/>
      <c r="F882" s="6"/>
      <c r="G882" s="6"/>
      <c r="H882" s="6"/>
    </row>
    <row r="883" spans="1:8" ht="15.6">
      <c r="A883" s="6"/>
      <c r="B883" s="6"/>
      <c r="C883" s="6"/>
      <c r="D883" s="6"/>
      <c r="E883" s="6"/>
      <c r="F883" s="6"/>
      <c r="G883" s="6"/>
      <c r="H883" s="6"/>
    </row>
    <row r="884" spans="1:8" ht="15.6">
      <c r="A884" s="6"/>
      <c r="B884" s="6"/>
      <c r="C884" s="6"/>
      <c r="D884" s="6"/>
      <c r="E884" s="6"/>
      <c r="F884" s="6"/>
      <c r="G884" s="6"/>
      <c r="H884" s="6"/>
    </row>
    <row r="885" spans="1:8" ht="15.6">
      <c r="A885" s="6"/>
      <c r="B885" s="6"/>
      <c r="C885" s="6"/>
      <c r="D885" s="6"/>
      <c r="E885" s="6"/>
      <c r="F885" s="6"/>
      <c r="G885" s="6"/>
      <c r="H885" s="6"/>
    </row>
    <row r="886" spans="1:8" ht="15.6">
      <c r="A886" s="6"/>
      <c r="B886" s="6"/>
      <c r="C886" s="6"/>
      <c r="D886" s="6"/>
      <c r="E886" s="6"/>
      <c r="F886" s="6"/>
      <c r="G886" s="6"/>
      <c r="H886" s="6"/>
    </row>
    <row r="887" spans="1:8" ht="15.6">
      <c r="A887" s="6"/>
      <c r="B887" s="6"/>
      <c r="C887" s="6"/>
      <c r="D887" s="6"/>
      <c r="E887" s="6"/>
      <c r="F887" s="6"/>
      <c r="G887" s="6"/>
      <c r="H887" s="6"/>
    </row>
    <row r="888" spans="1:8" ht="15.6">
      <c r="A888" s="6"/>
      <c r="B888" s="6"/>
      <c r="C888" s="6"/>
      <c r="D888" s="6"/>
      <c r="E888" s="6"/>
      <c r="F888" s="6"/>
      <c r="G888" s="6"/>
      <c r="H888" s="6"/>
    </row>
    <row r="889" spans="1:8" ht="15.6">
      <c r="A889" s="6"/>
      <c r="B889" s="6"/>
      <c r="C889" s="6"/>
      <c r="D889" s="6"/>
      <c r="E889" s="6"/>
      <c r="F889" s="6"/>
      <c r="G889" s="6"/>
      <c r="H889" s="6"/>
    </row>
    <row r="890" spans="1:8" ht="15.6">
      <c r="A890" s="6"/>
      <c r="B890" s="6"/>
      <c r="C890" s="6"/>
      <c r="D890" s="6"/>
      <c r="E890" s="6"/>
      <c r="F890" s="6"/>
      <c r="G890" s="6"/>
      <c r="H890" s="6"/>
    </row>
    <row r="891" spans="1:8" ht="15.6">
      <c r="A891" s="6"/>
      <c r="B891" s="6"/>
      <c r="C891" s="6"/>
      <c r="D891" s="6"/>
      <c r="E891" s="6"/>
      <c r="F891" s="6"/>
      <c r="G891" s="6"/>
      <c r="H891" s="6"/>
    </row>
    <row r="892" spans="1:8" ht="15.6">
      <c r="A892" s="6"/>
      <c r="B892" s="6"/>
      <c r="C892" s="6"/>
      <c r="D892" s="6"/>
      <c r="E892" s="6"/>
      <c r="F892" s="6"/>
      <c r="G892" s="6"/>
      <c r="H892" s="6"/>
    </row>
    <row r="893" spans="1:8" ht="15.6">
      <c r="A893" s="6"/>
      <c r="B893" s="6"/>
      <c r="C893" s="6"/>
      <c r="D893" s="6"/>
      <c r="E893" s="6"/>
      <c r="F893" s="6"/>
      <c r="G893" s="6"/>
      <c r="H893" s="6"/>
    </row>
    <row r="894" spans="1:8" ht="15.6">
      <c r="A894" s="6"/>
      <c r="B894" s="6"/>
      <c r="C894" s="6"/>
      <c r="D894" s="6"/>
      <c r="E894" s="6"/>
      <c r="F894" s="6"/>
      <c r="G894" s="6"/>
      <c r="H894" s="6"/>
    </row>
    <row r="895" spans="1:8" ht="15.6">
      <c r="A895" s="6"/>
      <c r="B895" s="6"/>
      <c r="C895" s="6"/>
      <c r="D895" s="6"/>
      <c r="E895" s="6"/>
      <c r="F895" s="6"/>
      <c r="G895" s="6"/>
      <c r="H895" s="6"/>
    </row>
    <row r="896" spans="1:8" ht="15.6">
      <c r="A896" s="6"/>
      <c r="B896" s="6"/>
      <c r="C896" s="6"/>
      <c r="D896" s="6"/>
      <c r="E896" s="6"/>
      <c r="F896" s="6"/>
      <c r="G896" s="6"/>
      <c r="H896" s="6"/>
    </row>
    <row r="897" spans="1:8" ht="15.6">
      <c r="A897" s="6"/>
      <c r="B897" s="6"/>
      <c r="C897" s="6"/>
      <c r="D897" s="6"/>
      <c r="E897" s="6"/>
      <c r="F897" s="6"/>
      <c r="G897" s="6"/>
      <c r="H897" s="6"/>
    </row>
    <row r="898" spans="1:8" ht="15.6">
      <c r="A898" s="6"/>
      <c r="B898" s="6"/>
      <c r="C898" s="6"/>
      <c r="D898" s="6"/>
      <c r="E898" s="6"/>
      <c r="F898" s="6"/>
      <c r="G898" s="6"/>
      <c r="H898" s="6"/>
    </row>
    <row r="899" spans="1:8" ht="15.6">
      <c r="A899" s="6"/>
      <c r="B899" s="6"/>
      <c r="C899" s="6"/>
      <c r="D899" s="6"/>
      <c r="E899" s="6"/>
      <c r="F899" s="6"/>
      <c r="G899" s="6"/>
      <c r="H899" s="6"/>
    </row>
    <row r="900" spans="1:8" ht="15.6">
      <c r="A900" s="6"/>
      <c r="B900" s="6"/>
      <c r="C900" s="6"/>
      <c r="D900" s="6"/>
      <c r="E900" s="6"/>
      <c r="F900" s="6"/>
      <c r="G900" s="6"/>
      <c r="H900" s="6"/>
    </row>
    <row r="901" spans="1:8" ht="15.6">
      <c r="A901" s="6"/>
      <c r="B901" s="6"/>
      <c r="C901" s="6"/>
      <c r="D901" s="6"/>
      <c r="E901" s="6"/>
      <c r="F901" s="6"/>
      <c r="G901" s="6"/>
      <c r="H901" s="6"/>
    </row>
    <row r="902" spans="1:8" ht="15.6">
      <c r="A902" s="6"/>
      <c r="B902" s="6"/>
      <c r="C902" s="6"/>
      <c r="D902" s="6"/>
      <c r="E902" s="6"/>
      <c r="F902" s="6"/>
      <c r="G902" s="6"/>
      <c r="H902" s="6"/>
    </row>
    <row r="903" spans="1:8" ht="15.6">
      <c r="A903" s="6"/>
      <c r="B903" s="6"/>
      <c r="C903" s="6"/>
      <c r="D903" s="6"/>
      <c r="E903" s="6"/>
      <c r="F903" s="6"/>
      <c r="G903" s="6"/>
      <c r="H903" s="6"/>
    </row>
    <row r="904" spans="1:8" ht="15.6">
      <c r="A904" s="6"/>
      <c r="B904" s="6"/>
      <c r="C904" s="6"/>
      <c r="D904" s="6"/>
      <c r="E904" s="6"/>
      <c r="F904" s="6"/>
      <c r="G904" s="6"/>
      <c r="H904" s="6"/>
    </row>
    <row r="905" spans="1:8" ht="15.6">
      <c r="A905" s="6"/>
      <c r="B905" s="6"/>
      <c r="C905" s="6"/>
      <c r="D905" s="6"/>
      <c r="E905" s="6"/>
      <c r="F905" s="6"/>
      <c r="G905" s="6"/>
      <c r="H905" s="6"/>
    </row>
    <row r="906" spans="1:8" ht="15.6">
      <c r="A906" s="6"/>
      <c r="B906" s="6"/>
      <c r="C906" s="6"/>
      <c r="D906" s="6"/>
      <c r="E906" s="6"/>
      <c r="F906" s="6"/>
      <c r="G906" s="6"/>
      <c r="H906" s="6"/>
    </row>
    <row r="907" spans="1:8" ht="15.6">
      <c r="A907" s="6"/>
      <c r="B907" s="6"/>
      <c r="C907" s="6"/>
      <c r="D907" s="6"/>
      <c r="E907" s="6"/>
      <c r="F907" s="6"/>
      <c r="G907" s="6"/>
      <c r="H907" s="6"/>
    </row>
    <row r="908" spans="1:8" ht="15.6">
      <c r="A908" s="6"/>
      <c r="B908" s="6"/>
      <c r="C908" s="6"/>
      <c r="D908" s="6"/>
      <c r="E908" s="6"/>
      <c r="F908" s="6"/>
      <c r="G908" s="6"/>
      <c r="H908" s="6"/>
    </row>
    <row r="909" spans="1:8" ht="15.6">
      <c r="A909" s="6"/>
      <c r="B909" s="6"/>
      <c r="C909" s="6"/>
      <c r="D909" s="6"/>
      <c r="E909" s="6"/>
      <c r="F909" s="6"/>
      <c r="G909" s="6"/>
      <c r="H909" s="6"/>
    </row>
    <row r="910" spans="1:8" ht="15.6">
      <c r="A910" s="6"/>
      <c r="B910" s="6"/>
      <c r="C910" s="6"/>
      <c r="D910" s="6"/>
      <c r="E910" s="6"/>
      <c r="F910" s="6"/>
      <c r="G910" s="6"/>
      <c r="H910" s="6"/>
    </row>
    <row r="911" spans="1:8" ht="15.6">
      <c r="A911" s="6"/>
      <c r="B911" s="6"/>
      <c r="C911" s="6"/>
      <c r="D911" s="6"/>
      <c r="E911" s="6"/>
      <c r="F911" s="6"/>
      <c r="G911" s="6"/>
      <c r="H911" s="6"/>
    </row>
    <row r="912" spans="1:8" ht="15.6">
      <c r="A912" s="6"/>
      <c r="B912" s="6"/>
      <c r="C912" s="6"/>
      <c r="D912" s="6"/>
      <c r="E912" s="6"/>
      <c r="F912" s="6"/>
      <c r="G912" s="6"/>
      <c r="H912" s="6"/>
    </row>
    <row r="913" spans="1:8" ht="15.6">
      <c r="A913" s="6"/>
      <c r="B913" s="6"/>
      <c r="C913" s="6"/>
      <c r="D913" s="6"/>
      <c r="E913" s="6"/>
      <c r="F913" s="6"/>
      <c r="G913" s="6"/>
      <c r="H913" s="6"/>
    </row>
    <row r="914" spans="1:8" ht="15.6">
      <c r="A914" s="6"/>
      <c r="B914" s="6"/>
      <c r="C914" s="6"/>
      <c r="D914" s="6"/>
      <c r="E914" s="6"/>
      <c r="F914" s="6"/>
      <c r="G914" s="6"/>
      <c r="H914" s="6"/>
    </row>
    <row r="915" spans="1:8" ht="15.6">
      <c r="A915" s="6"/>
      <c r="B915" s="6"/>
      <c r="C915" s="6"/>
      <c r="D915" s="6"/>
      <c r="E915" s="6"/>
      <c r="F915" s="6"/>
      <c r="G915" s="6"/>
      <c r="H915" s="6"/>
    </row>
    <row r="916" spans="1:8" ht="15.6">
      <c r="A916" s="6"/>
      <c r="B916" s="6"/>
      <c r="C916" s="6"/>
      <c r="D916" s="6"/>
      <c r="E916" s="6"/>
      <c r="F916" s="6"/>
      <c r="G916" s="6"/>
      <c r="H916" s="6"/>
    </row>
    <row r="917" spans="1:8" ht="15.6">
      <c r="A917" s="6"/>
      <c r="B917" s="6"/>
      <c r="C917" s="6"/>
      <c r="D917" s="6"/>
      <c r="E917" s="6"/>
      <c r="F917" s="6"/>
      <c r="G917" s="6"/>
      <c r="H917" s="6"/>
    </row>
    <row r="918" spans="1:8" ht="15.6">
      <c r="A918" s="6"/>
      <c r="B918" s="6"/>
      <c r="C918" s="6"/>
      <c r="D918" s="6"/>
      <c r="E918" s="6"/>
      <c r="F918" s="6"/>
      <c r="G918" s="6"/>
      <c r="H918" s="6"/>
    </row>
    <row r="919" spans="1:8" ht="15.6">
      <c r="A919" s="6"/>
      <c r="B919" s="6"/>
      <c r="C919" s="6"/>
      <c r="D919" s="6"/>
      <c r="E919" s="6"/>
      <c r="F919" s="6"/>
      <c r="G919" s="6"/>
      <c r="H919" s="6"/>
    </row>
    <row r="920" spans="1:8" ht="15.6">
      <c r="A920" s="6"/>
      <c r="B920" s="6"/>
      <c r="C920" s="6"/>
      <c r="D920" s="6"/>
      <c r="E920" s="6"/>
      <c r="F920" s="6"/>
      <c r="G920" s="6"/>
      <c r="H920" s="6"/>
    </row>
    <row r="921" spans="1:8" ht="15.6">
      <c r="A921" s="6"/>
      <c r="B921" s="6"/>
      <c r="C921" s="6"/>
      <c r="D921" s="6"/>
      <c r="E921" s="6"/>
      <c r="F921" s="6"/>
      <c r="G921" s="6"/>
      <c r="H921" s="6"/>
    </row>
    <row r="922" spans="1:8" ht="15.6">
      <c r="A922" s="6"/>
      <c r="B922" s="6"/>
      <c r="C922" s="6"/>
      <c r="D922" s="6"/>
      <c r="E922" s="6"/>
      <c r="F922" s="6"/>
      <c r="G922" s="6"/>
      <c r="H922" s="6"/>
    </row>
    <row r="923" spans="1:8" ht="15.6">
      <c r="A923" s="6"/>
      <c r="B923" s="6"/>
      <c r="C923" s="6"/>
      <c r="D923" s="6"/>
      <c r="E923" s="6"/>
      <c r="F923" s="6"/>
      <c r="G923" s="6"/>
      <c r="H923" s="6"/>
    </row>
    <row r="924" spans="1:8" ht="15.6">
      <c r="A924" s="6"/>
      <c r="B924" s="6"/>
      <c r="C924" s="6"/>
      <c r="D924" s="6"/>
      <c r="E924" s="6"/>
      <c r="F924" s="6"/>
      <c r="G924" s="6"/>
      <c r="H924" s="6"/>
    </row>
    <row r="925" spans="1:8" ht="15.6">
      <c r="A925" s="6"/>
      <c r="B925" s="6"/>
      <c r="C925" s="6"/>
      <c r="D925" s="6"/>
      <c r="E925" s="6"/>
      <c r="F925" s="6"/>
      <c r="G925" s="6"/>
      <c r="H925" s="6"/>
    </row>
    <row r="926" spans="1:8" ht="15.6">
      <c r="A926" s="6"/>
      <c r="B926" s="6"/>
      <c r="C926" s="6"/>
      <c r="D926" s="6"/>
      <c r="E926" s="6"/>
      <c r="F926" s="6"/>
      <c r="G926" s="6"/>
      <c r="H926" s="6"/>
    </row>
    <row r="927" spans="1:8" ht="15.6">
      <c r="A927" s="6"/>
      <c r="B927" s="6"/>
      <c r="C927" s="6"/>
      <c r="D927" s="6"/>
      <c r="E927" s="6"/>
      <c r="F927" s="6"/>
      <c r="G927" s="6"/>
      <c r="H927" s="6"/>
    </row>
    <row r="928" spans="1:8" ht="15.6">
      <c r="A928" s="6"/>
      <c r="B928" s="6"/>
      <c r="C928" s="6"/>
      <c r="D928" s="6"/>
      <c r="E928" s="6"/>
      <c r="F928" s="6"/>
      <c r="G928" s="6"/>
      <c r="H928" s="6"/>
    </row>
    <row r="929" spans="1:8" ht="15.6">
      <c r="A929" s="6"/>
      <c r="B929" s="6"/>
      <c r="C929" s="6"/>
      <c r="D929" s="6"/>
      <c r="E929" s="6"/>
      <c r="F929" s="6"/>
      <c r="G929" s="6"/>
      <c r="H929" s="6"/>
    </row>
    <row r="930" spans="1:8" ht="15.6">
      <c r="A930" s="6"/>
      <c r="B930" s="6"/>
      <c r="C930" s="6"/>
      <c r="D930" s="6"/>
      <c r="E930" s="6"/>
      <c r="F930" s="6"/>
      <c r="G930" s="6"/>
      <c r="H930" s="6"/>
    </row>
    <row r="931" spans="1:8" ht="15.6">
      <c r="A931" s="6"/>
      <c r="B931" s="6"/>
      <c r="C931" s="6"/>
      <c r="D931" s="6"/>
      <c r="E931" s="6"/>
      <c r="F931" s="6"/>
      <c r="G931" s="6"/>
      <c r="H931" s="6"/>
    </row>
    <row r="932" spans="1:8" ht="15.6">
      <c r="A932" s="6"/>
      <c r="B932" s="6"/>
      <c r="C932" s="6"/>
      <c r="D932" s="6"/>
      <c r="E932" s="6"/>
      <c r="F932" s="6"/>
      <c r="G932" s="6"/>
      <c r="H932" s="6"/>
    </row>
    <row r="933" spans="1:8" ht="15.6">
      <c r="A933" s="6"/>
      <c r="B933" s="6"/>
      <c r="C933" s="6"/>
      <c r="D933" s="6"/>
      <c r="E933" s="6"/>
      <c r="F933" s="6"/>
      <c r="G933" s="6"/>
      <c r="H933" s="6"/>
    </row>
    <row r="934" spans="1:8" ht="15.6">
      <c r="A934" s="6"/>
      <c r="B934" s="6"/>
      <c r="C934" s="6"/>
      <c r="D934" s="6"/>
      <c r="E934" s="6"/>
      <c r="F934" s="6"/>
      <c r="G934" s="6"/>
      <c r="H934" s="6"/>
    </row>
    <row r="935" spans="1:8" ht="15.6">
      <c r="A935" s="6"/>
      <c r="B935" s="6"/>
      <c r="C935" s="6"/>
      <c r="D935" s="6"/>
      <c r="E935" s="6"/>
      <c r="F935" s="6"/>
      <c r="G935" s="6"/>
      <c r="H935" s="6"/>
    </row>
    <row r="936" spans="1:8" ht="15.6">
      <c r="A936" s="6"/>
      <c r="B936" s="6"/>
      <c r="C936" s="6"/>
      <c r="D936" s="6"/>
      <c r="E936" s="6"/>
      <c r="F936" s="6"/>
      <c r="G936" s="6"/>
      <c r="H936" s="6"/>
    </row>
    <row r="937" spans="1:8" ht="15.6">
      <c r="A937" s="6"/>
      <c r="B937" s="6"/>
      <c r="C937" s="6"/>
      <c r="D937" s="6"/>
      <c r="E937" s="6"/>
      <c r="F937" s="6"/>
      <c r="G937" s="6"/>
      <c r="H937" s="6"/>
    </row>
    <row r="938" spans="1:8" ht="15.6">
      <c r="A938" s="6"/>
      <c r="B938" s="6"/>
      <c r="C938" s="6"/>
      <c r="D938" s="6"/>
      <c r="E938" s="6"/>
      <c r="F938" s="6"/>
      <c r="G938" s="6"/>
      <c r="H938" s="6"/>
    </row>
    <row r="939" spans="1:8" ht="15.6">
      <c r="A939" s="6"/>
      <c r="B939" s="6"/>
      <c r="C939" s="6"/>
      <c r="D939" s="6"/>
      <c r="E939" s="6"/>
      <c r="F939" s="6"/>
      <c r="G939" s="6"/>
      <c r="H939" s="6"/>
    </row>
    <row r="940" spans="1:8" ht="15.6">
      <c r="A940" s="6"/>
      <c r="B940" s="6"/>
      <c r="C940" s="6"/>
      <c r="D940" s="6"/>
      <c r="E940" s="6"/>
      <c r="F940" s="6"/>
      <c r="G940" s="6"/>
      <c r="H940" s="6"/>
    </row>
    <row r="941" spans="1:8" ht="15.6">
      <c r="A941" s="6"/>
      <c r="B941" s="6"/>
      <c r="C941" s="6"/>
      <c r="D941" s="6"/>
      <c r="E941" s="6"/>
      <c r="F941" s="6"/>
      <c r="G941" s="6"/>
      <c r="H941" s="6"/>
    </row>
    <row r="942" spans="1:8" ht="15.6">
      <c r="A942" s="6"/>
      <c r="B942" s="6"/>
      <c r="C942" s="6"/>
      <c r="D942" s="6"/>
      <c r="E942" s="6"/>
      <c r="F942" s="6"/>
      <c r="G942" s="6"/>
      <c r="H942" s="6"/>
    </row>
    <row r="943" spans="1:8" ht="15.6">
      <c r="A943" s="6"/>
      <c r="B943" s="6"/>
      <c r="C943" s="6"/>
      <c r="D943" s="6"/>
      <c r="E943" s="6"/>
      <c r="F943" s="6"/>
      <c r="G943" s="6"/>
      <c r="H943" s="6"/>
    </row>
    <row r="944" spans="1:8" ht="15.6">
      <c r="A944" s="6"/>
      <c r="B944" s="6"/>
      <c r="C944" s="6"/>
      <c r="D944" s="6"/>
      <c r="E944" s="6"/>
      <c r="F944" s="6"/>
      <c r="G944" s="6"/>
      <c r="H944" s="6"/>
    </row>
    <row r="945" spans="1:8" ht="15.6">
      <c r="A945" s="6"/>
      <c r="B945" s="6"/>
      <c r="C945" s="6"/>
      <c r="D945" s="6"/>
      <c r="E945" s="6"/>
      <c r="F945" s="6"/>
      <c r="G945" s="6"/>
      <c r="H945" s="6"/>
    </row>
    <row r="946" spans="1:8" ht="15.6">
      <c r="A946" s="6"/>
      <c r="B946" s="6"/>
      <c r="C946" s="6"/>
      <c r="D946" s="6"/>
      <c r="E946" s="6"/>
      <c r="F946" s="6"/>
      <c r="G946" s="6"/>
      <c r="H946" s="6"/>
    </row>
    <row r="947" spans="1:8" ht="15.6">
      <c r="A947" s="6"/>
      <c r="B947" s="6"/>
      <c r="C947" s="6"/>
      <c r="D947" s="6"/>
      <c r="E947" s="6"/>
      <c r="F947" s="6"/>
      <c r="G947" s="6"/>
      <c r="H947" s="6"/>
    </row>
    <row r="948" spans="1:8" ht="15.6">
      <c r="A948" s="6"/>
      <c r="B948" s="6"/>
      <c r="C948" s="6"/>
      <c r="D948" s="6"/>
      <c r="E948" s="6"/>
      <c r="F948" s="6"/>
      <c r="G948" s="6"/>
      <c r="H948" s="6"/>
    </row>
    <row r="949" spans="1:8" ht="15.6">
      <c r="A949" s="6"/>
      <c r="B949" s="6"/>
      <c r="C949" s="6"/>
      <c r="D949" s="6"/>
      <c r="E949" s="6"/>
      <c r="F949" s="6"/>
      <c r="G949" s="6"/>
      <c r="H949" s="6"/>
    </row>
    <row r="950" spans="1:8" ht="15.6">
      <c r="A950" s="6"/>
      <c r="B950" s="6"/>
      <c r="C950" s="6"/>
      <c r="D950" s="6"/>
      <c r="E950" s="6"/>
      <c r="F950" s="6"/>
      <c r="G950" s="6"/>
      <c r="H950" s="6"/>
    </row>
    <row r="951" spans="1:8" ht="15.6">
      <c r="A951" s="6"/>
      <c r="B951" s="6"/>
      <c r="C951" s="6"/>
      <c r="D951" s="6"/>
      <c r="E951" s="6"/>
      <c r="F951" s="6"/>
      <c r="G951" s="6"/>
      <c r="H951" s="6"/>
    </row>
    <row r="952" spans="1:8" ht="15.6">
      <c r="A952" s="6"/>
      <c r="B952" s="6"/>
      <c r="C952" s="6"/>
      <c r="D952" s="6"/>
      <c r="E952" s="6"/>
      <c r="F952" s="6"/>
      <c r="G952" s="6"/>
      <c r="H952" s="6"/>
    </row>
    <row r="953" spans="1:8" ht="15.6">
      <c r="A953" s="6"/>
      <c r="B953" s="6"/>
      <c r="C953" s="6"/>
      <c r="D953" s="6"/>
      <c r="E953" s="6"/>
      <c r="F953" s="6"/>
      <c r="G953" s="6"/>
      <c r="H953" s="6"/>
    </row>
    <row r="954" spans="1:8" ht="15.6">
      <c r="A954" s="6"/>
      <c r="B954" s="6"/>
      <c r="C954" s="6"/>
      <c r="D954" s="6"/>
      <c r="E954" s="6"/>
      <c r="F954" s="6"/>
      <c r="G954" s="6"/>
      <c r="H954" s="6"/>
    </row>
    <row r="955" spans="1:8" ht="15.6">
      <c r="A955" s="6"/>
      <c r="B955" s="6"/>
      <c r="C955" s="6"/>
      <c r="D955" s="6"/>
      <c r="E955" s="6"/>
      <c r="F955" s="6"/>
      <c r="G955" s="6"/>
      <c r="H955" s="6"/>
    </row>
    <row r="956" spans="1:8" ht="15.6">
      <c r="A956" s="6"/>
      <c r="B956" s="6"/>
      <c r="C956" s="6"/>
      <c r="D956" s="6"/>
      <c r="E956" s="6"/>
      <c r="F956" s="6"/>
      <c r="G956" s="6"/>
      <c r="H956" s="6"/>
    </row>
    <row r="957" spans="1:8" ht="15.6">
      <c r="A957" s="6"/>
      <c r="B957" s="6"/>
      <c r="C957" s="6"/>
      <c r="D957" s="6"/>
      <c r="E957" s="6"/>
      <c r="F957" s="6"/>
      <c r="G957" s="6"/>
      <c r="H957" s="6"/>
    </row>
    <row r="958" spans="1:8" ht="15.6">
      <c r="A958" s="6"/>
      <c r="B958" s="6"/>
      <c r="C958" s="6"/>
      <c r="D958" s="6"/>
      <c r="E958" s="6"/>
      <c r="F958" s="6"/>
      <c r="G958" s="6"/>
      <c r="H958" s="6"/>
    </row>
    <row r="959" spans="1:8" ht="15.6">
      <c r="A959" s="6"/>
      <c r="B959" s="6"/>
      <c r="C959" s="6"/>
      <c r="D959" s="6"/>
      <c r="E959" s="6"/>
      <c r="F959" s="6"/>
      <c r="G959" s="6"/>
      <c r="H959" s="6"/>
    </row>
    <row r="960" spans="1:8" ht="15.6">
      <c r="A960" s="6"/>
      <c r="B960" s="6"/>
      <c r="C960" s="6"/>
      <c r="D960" s="6"/>
      <c r="E960" s="6"/>
      <c r="F960" s="6"/>
      <c r="G960" s="6"/>
      <c r="H960" s="6"/>
    </row>
    <row r="961" spans="1:8" ht="15.6">
      <c r="A961" s="6"/>
      <c r="B961" s="6"/>
      <c r="C961" s="6"/>
      <c r="D961" s="6"/>
      <c r="E961" s="6"/>
      <c r="F961" s="6"/>
      <c r="G961" s="6"/>
      <c r="H961" s="6"/>
    </row>
    <row r="962" spans="1:8" ht="15.6">
      <c r="A962" s="6"/>
      <c r="B962" s="6"/>
      <c r="C962" s="6"/>
      <c r="D962" s="6"/>
      <c r="E962" s="6"/>
      <c r="F962" s="6"/>
      <c r="G962" s="6"/>
      <c r="H962" s="6"/>
    </row>
    <row r="963" spans="1:8" ht="15.6">
      <c r="A963" s="6"/>
      <c r="B963" s="6"/>
      <c r="C963" s="6"/>
      <c r="D963" s="6"/>
      <c r="E963" s="6"/>
      <c r="F963" s="6"/>
      <c r="G963" s="6"/>
      <c r="H963" s="6"/>
    </row>
    <row r="964" spans="1:8" ht="15.6">
      <c r="A964" s="6"/>
      <c r="B964" s="6"/>
      <c r="C964" s="6"/>
      <c r="D964" s="6"/>
      <c r="E964" s="6"/>
      <c r="F964" s="6"/>
      <c r="G964" s="6"/>
      <c r="H964" s="6"/>
    </row>
    <row r="965" spans="1:8" ht="15.6">
      <c r="A965" s="6"/>
      <c r="B965" s="6"/>
      <c r="C965" s="6"/>
      <c r="D965" s="6"/>
      <c r="E965" s="6"/>
      <c r="F965" s="6"/>
      <c r="G965" s="6"/>
      <c r="H965" s="6"/>
    </row>
    <row r="966" spans="1:8" ht="15.6">
      <c r="A966" s="6"/>
      <c r="B966" s="6"/>
      <c r="C966" s="6"/>
      <c r="D966" s="6"/>
      <c r="E966" s="6"/>
      <c r="F966" s="6"/>
      <c r="G966" s="6"/>
      <c r="H966" s="6"/>
    </row>
    <row r="967" spans="1:8" ht="15.6">
      <c r="A967" s="6"/>
      <c r="B967" s="6"/>
      <c r="C967" s="6"/>
      <c r="D967" s="6"/>
      <c r="E967" s="6"/>
      <c r="F967" s="6"/>
      <c r="G967" s="6"/>
      <c r="H967" s="6"/>
    </row>
    <row r="968" spans="1:8" ht="15.6">
      <c r="A968" s="6"/>
      <c r="B968" s="6"/>
      <c r="C968" s="6"/>
      <c r="D968" s="6"/>
      <c r="E968" s="6"/>
      <c r="F968" s="6"/>
      <c r="G968" s="6"/>
      <c r="H968" s="6"/>
    </row>
    <row r="969" spans="1:8" ht="15.6">
      <c r="A969" s="6"/>
      <c r="B969" s="6"/>
      <c r="C969" s="6"/>
      <c r="D969" s="6"/>
      <c r="E969" s="6"/>
      <c r="F969" s="6"/>
      <c r="G969" s="6"/>
      <c r="H969" s="6"/>
    </row>
    <row r="970" spans="1:8" ht="15.6">
      <c r="A970" s="6"/>
      <c r="B970" s="6"/>
      <c r="C970" s="6"/>
      <c r="D970" s="6"/>
      <c r="E970" s="6"/>
      <c r="F970" s="6"/>
      <c r="G970" s="6"/>
      <c r="H970" s="6"/>
    </row>
    <row r="971" spans="1:8" ht="15.6">
      <c r="A971" s="6"/>
      <c r="B971" s="6"/>
      <c r="C971" s="6"/>
      <c r="D971" s="6"/>
      <c r="E971" s="6"/>
      <c r="F971" s="6"/>
      <c r="G971" s="6"/>
      <c r="H971" s="6"/>
    </row>
    <row r="972" spans="1:8" ht="15.6">
      <c r="A972" s="6"/>
      <c r="B972" s="6"/>
      <c r="C972" s="6"/>
      <c r="D972" s="6"/>
      <c r="E972" s="6"/>
      <c r="F972" s="6"/>
      <c r="G972" s="6"/>
      <c r="H972" s="6"/>
    </row>
    <row r="973" spans="1:8" ht="15.6">
      <c r="A973" s="6"/>
      <c r="B973" s="6"/>
      <c r="C973" s="6"/>
      <c r="D973" s="6"/>
      <c r="E973" s="6"/>
      <c r="F973" s="6"/>
      <c r="G973" s="6"/>
      <c r="H973" s="6"/>
    </row>
    <row r="974" spans="1:8" ht="15.6">
      <c r="A974" s="6"/>
      <c r="B974" s="6"/>
      <c r="C974" s="6"/>
      <c r="D974" s="6"/>
      <c r="E974" s="6"/>
      <c r="F974" s="6"/>
      <c r="G974" s="6"/>
      <c r="H974" s="6"/>
    </row>
  </sheetData>
  <mergeCells count="17">
    <mergeCell ref="D50:E50"/>
    <mergeCell ref="A75:B75"/>
    <mergeCell ref="A76:A82"/>
    <mergeCell ref="B76:G76"/>
    <mergeCell ref="D51:E51"/>
    <mergeCell ref="D52:E52"/>
    <mergeCell ref="D53:E53"/>
    <mergeCell ref="D54:E54"/>
    <mergeCell ref="D56:E56"/>
    <mergeCell ref="D57:E57"/>
    <mergeCell ref="A67:C67"/>
    <mergeCell ref="A1:B1"/>
    <mergeCell ref="F1:G1"/>
    <mergeCell ref="A8:B8"/>
    <mergeCell ref="A25:B25"/>
    <mergeCell ref="A49:B49"/>
    <mergeCell ref="D49:F4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973"/>
  <sheetViews>
    <sheetView workbookViewId="0">
      <pane xSplit="1" topLeftCell="B1" activePane="topRight" state="frozen"/>
      <selection pane="topRight" activeCell="A9" sqref="A9"/>
    </sheetView>
  </sheetViews>
  <sheetFormatPr defaultColWidth="11.19921875" defaultRowHeight="15" customHeight="1"/>
  <cols>
    <col min="1" max="1" width="59.69921875" bestFit="1" customWidth="1"/>
    <col min="3" max="3" width="17.296875" customWidth="1"/>
    <col min="6" max="6" width="17.296875" customWidth="1"/>
  </cols>
  <sheetData>
    <row r="1" spans="1:11" ht="15.6">
      <c r="A1" s="810" t="s">
        <v>216</v>
      </c>
      <c r="B1" s="226"/>
      <c r="C1" s="255"/>
      <c r="D1" s="255"/>
      <c r="E1" s="255"/>
      <c r="F1" s="255"/>
      <c r="G1" s="255"/>
      <c r="H1" s="255"/>
      <c r="I1" s="255"/>
      <c r="J1" s="256"/>
      <c r="K1" s="255"/>
    </row>
    <row r="2" spans="1:11" ht="24.75" customHeight="1">
      <c r="A2" s="768"/>
      <c r="B2" s="257">
        <v>2016</v>
      </c>
      <c r="C2" s="258">
        <v>2017</v>
      </c>
      <c r="D2" s="258">
        <v>2018</v>
      </c>
      <c r="E2" s="258">
        <v>2019</v>
      </c>
      <c r="F2" s="258">
        <v>2020</v>
      </c>
      <c r="G2" s="259">
        <v>2021</v>
      </c>
      <c r="H2" s="259">
        <v>2022</v>
      </c>
      <c r="I2" s="260">
        <v>2023</v>
      </c>
      <c r="J2" s="260">
        <v>2024</v>
      </c>
      <c r="K2" s="261">
        <v>2025</v>
      </c>
    </row>
    <row r="3" spans="1:11" ht="15.6">
      <c r="A3" s="262" t="s">
        <v>117</v>
      </c>
      <c r="B3" s="24"/>
      <c r="C3" s="25"/>
      <c r="D3" s="25"/>
      <c r="E3" s="25"/>
      <c r="F3" s="26"/>
      <c r="G3" s="38"/>
      <c r="H3" s="38"/>
      <c r="I3" s="38"/>
      <c r="J3" s="38"/>
      <c r="K3" s="39"/>
    </row>
    <row r="4" spans="1:11" ht="15.6">
      <c r="A4" s="263" t="s">
        <v>152</v>
      </c>
      <c r="B4" s="24"/>
      <c r="C4" s="25">
        <f t="shared" ref="C4:K4" si="0">B8</f>
        <v>1163.7</v>
      </c>
      <c r="D4" s="110">
        <f t="shared" si="0"/>
        <v>1107.4000000000001</v>
      </c>
      <c r="E4" s="110">
        <f t="shared" si="0"/>
        <v>2871.2</v>
      </c>
      <c r="F4" s="264">
        <f t="shared" si="0"/>
        <v>5239.7</v>
      </c>
      <c r="G4" s="265">
        <f t="shared" si="0"/>
        <v>5330.2</v>
      </c>
      <c r="H4" s="266">
        <f t="shared" si="0"/>
        <v>10111.450000000001</v>
      </c>
      <c r="I4" s="265">
        <f t="shared" si="0"/>
        <v>14947.45</v>
      </c>
      <c r="J4" s="265">
        <f t="shared" si="0"/>
        <v>13998.45</v>
      </c>
      <c r="K4" s="267">
        <f t="shared" si="0"/>
        <v>13049.45</v>
      </c>
    </row>
    <row r="5" spans="1:11" ht="15.6">
      <c r="A5" s="263" t="s">
        <v>217</v>
      </c>
      <c r="B5" s="106"/>
      <c r="C5" s="268"/>
      <c r="D5" s="268"/>
      <c r="E5" s="268"/>
      <c r="F5" s="26">
        <f t="shared" ref="F5:K5" si="1">-F31</f>
        <v>400.7</v>
      </c>
      <c r="G5" s="38">
        <f t="shared" si="1"/>
        <v>5111</v>
      </c>
      <c r="H5" s="38">
        <f t="shared" si="1"/>
        <v>5785</v>
      </c>
      <c r="I5" s="38">
        <f t="shared" si="1"/>
        <v>0</v>
      </c>
      <c r="J5" s="269">
        <f t="shared" si="1"/>
        <v>0</v>
      </c>
      <c r="K5" s="270">
        <f t="shared" si="1"/>
        <v>0</v>
      </c>
    </row>
    <row r="6" spans="1:11" ht="15.6">
      <c r="A6" s="263" t="s">
        <v>218</v>
      </c>
      <c r="B6" s="106"/>
      <c r="C6" s="268"/>
      <c r="D6" s="268"/>
      <c r="E6" s="268"/>
      <c r="F6" s="271">
        <f>83.4 -35.5-24.2</f>
        <v>23.700000000000006</v>
      </c>
      <c r="G6" s="265">
        <f t="shared" ref="G6:K6" si="2">20</f>
        <v>20</v>
      </c>
      <c r="H6" s="265">
        <f t="shared" si="2"/>
        <v>20</v>
      </c>
      <c r="I6" s="265">
        <f t="shared" si="2"/>
        <v>20</v>
      </c>
      <c r="J6" s="265">
        <f t="shared" si="2"/>
        <v>20</v>
      </c>
      <c r="K6" s="267">
        <f t="shared" si="2"/>
        <v>20</v>
      </c>
    </row>
    <row r="7" spans="1:11" ht="15.6">
      <c r="A7" s="272" t="s">
        <v>219</v>
      </c>
      <c r="B7" s="106">
        <f t="shared" ref="B7:F7" si="3">B52</f>
        <v>0</v>
      </c>
      <c r="C7" s="268">
        <f t="shared" si="3"/>
        <v>-74</v>
      </c>
      <c r="D7" s="268">
        <f t="shared" si="3"/>
        <v>-95.399999999999977</v>
      </c>
      <c r="E7" s="268">
        <f t="shared" si="3"/>
        <v>-277.30000000000007</v>
      </c>
      <c r="F7" s="89">
        <f t="shared" si="3"/>
        <v>-333.89999999999986</v>
      </c>
      <c r="G7" s="265">
        <f t="shared" ref="G7:J7" si="4">G26</f>
        <v>-349.74999999999989</v>
      </c>
      <c r="H7" s="265">
        <f t="shared" si="4"/>
        <v>-968.99999999999989</v>
      </c>
      <c r="I7" s="265">
        <f t="shared" si="4"/>
        <v>-968.99999999999989</v>
      </c>
      <c r="J7" s="265">
        <f t="shared" si="4"/>
        <v>-968.99999999999989</v>
      </c>
      <c r="K7" s="267">
        <f>AVERAGE(H7:J7)</f>
        <v>-968.99999999999989</v>
      </c>
    </row>
    <row r="8" spans="1:11" ht="15.6">
      <c r="A8" s="273" t="s">
        <v>154</v>
      </c>
      <c r="B8" s="24">
        <f>'INPUT-Y'!F38</f>
        <v>1163.7</v>
      </c>
      <c r="C8" s="25">
        <f>'INPUT-Y'!G38</f>
        <v>1107.4000000000001</v>
      </c>
      <c r="D8" s="25">
        <f>'INPUT-Y'!H38</f>
        <v>2871.2</v>
      </c>
      <c r="E8" s="25">
        <f>'INPUT-Y'!I38</f>
        <v>5239.7</v>
      </c>
      <c r="F8" s="271">
        <f t="shared" ref="F8:K8" si="5">SUM(F4:F7)</f>
        <v>5330.2</v>
      </c>
      <c r="G8" s="266">
        <f t="shared" si="5"/>
        <v>10111.450000000001</v>
      </c>
      <c r="H8" s="266">
        <f t="shared" si="5"/>
        <v>14947.45</v>
      </c>
      <c r="I8" s="266">
        <f t="shared" si="5"/>
        <v>13998.45</v>
      </c>
      <c r="J8" s="266">
        <f t="shared" si="5"/>
        <v>13049.45</v>
      </c>
      <c r="K8" s="274">
        <f t="shared" si="5"/>
        <v>12100.45</v>
      </c>
    </row>
    <row r="9" spans="1:11" ht="15.6">
      <c r="A9" s="275" t="s">
        <v>220</v>
      </c>
      <c r="B9" s="97">
        <f>F84</f>
        <v>19.659778376759515</v>
      </c>
      <c r="C9" s="25"/>
      <c r="D9" s="25"/>
      <c r="E9" s="25"/>
      <c r="F9" s="26"/>
      <c r="G9" s="38"/>
      <c r="H9" s="38"/>
      <c r="I9" s="38"/>
      <c r="J9" s="38"/>
      <c r="K9" s="39"/>
    </row>
    <row r="10" spans="1:11" ht="15.6">
      <c r="A10" s="276" t="s">
        <v>221</v>
      </c>
      <c r="B10" s="109">
        <f>ROUND(B9,0)</f>
        <v>20</v>
      </c>
      <c r="C10" s="25"/>
      <c r="D10" s="25"/>
      <c r="E10" s="25"/>
      <c r="F10" s="26"/>
      <c r="G10" s="38"/>
      <c r="H10" s="38"/>
      <c r="I10" s="38"/>
      <c r="J10" s="38"/>
      <c r="K10" s="39"/>
    </row>
    <row r="11" spans="1:11" ht="15.6">
      <c r="A11" s="273" t="s">
        <v>222</v>
      </c>
      <c r="B11" s="109">
        <f>F7</f>
        <v>-333.89999999999986</v>
      </c>
      <c r="C11" s="25"/>
      <c r="D11" s="25"/>
      <c r="E11" s="25"/>
      <c r="F11" s="26"/>
      <c r="G11" s="38"/>
      <c r="H11" s="38"/>
      <c r="I11" s="38"/>
      <c r="J11" s="38"/>
      <c r="K11" s="39"/>
    </row>
    <row r="12" spans="1:11" ht="15.6">
      <c r="A12" s="277" t="s">
        <v>223</v>
      </c>
      <c r="B12" s="278"/>
      <c r="C12" s="31"/>
      <c r="D12" s="279">
        <f t="shared" ref="D12:F12" si="6">D16</f>
        <v>-622.9</v>
      </c>
      <c r="E12" s="279">
        <f t="shared" si="6"/>
        <v>-900.2</v>
      </c>
      <c r="F12" s="280">
        <f t="shared" si="6"/>
        <v>-1234.0999999999999</v>
      </c>
      <c r="G12" s="281">
        <f t="shared" ref="G12:K12" si="7">$B$11+F12</f>
        <v>-1567.9999999999998</v>
      </c>
      <c r="H12" s="281">
        <f t="shared" si="7"/>
        <v>-1901.8999999999996</v>
      </c>
      <c r="I12" s="281">
        <f t="shared" si="7"/>
        <v>-2235.7999999999993</v>
      </c>
      <c r="J12" s="281">
        <f t="shared" si="7"/>
        <v>-2569.6999999999989</v>
      </c>
      <c r="K12" s="282">
        <f t="shared" si="7"/>
        <v>-2903.5999999999985</v>
      </c>
    </row>
    <row r="13" spans="1:11" ht="15.6">
      <c r="A13" s="277" t="s">
        <v>224</v>
      </c>
      <c r="B13" s="278"/>
      <c r="C13" s="31"/>
      <c r="D13" s="279">
        <f t="shared" ref="D13:K13" si="8">$D$15+D12</f>
        <v>2871.2</v>
      </c>
      <c r="E13" s="279">
        <f t="shared" si="8"/>
        <v>2593.8999999999996</v>
      </c>
      <c r="F13" s="280">
        <f t="shared" si="8"/>
        <v>2260</v>
      </c>
      <c r="G13" s="281">
        <f t="shared" si="8"/>
        <v>1926.1000000000001</v>
      </c>
      <c r="H13" s="281">
        <f t="shared" si="8"/>
        <v>1592.2000000000003</v>
      </c>
      <c r="I13" s="281">
        <f t="shared" si="8"/>
        <v>1258.3000000000006</v>
      </c>
      <c r="J13" s="281">
        <f t="shared" si="8"/>
        <v>924.400000000001</v>
      </c>
      <c r="K13" s="282">
        <f t="shared" si="8"/>
        <v>590.50000000000136</v>
      </c>
    </row>
    <row r="14" spans="1:11" ht="15.6">
      <c r="A14" s="283" t="s">
        <v>225</v>
      </c>
      <c r="B14" s="24"/>
      <c r="C14" s="268"/>
      <c r="D14" s="268"/>
      <c r="E14" s="268"/>
      <c r="F14" s="89"/>
      <c r="G14" s="266"/>
      <c r="H14" s="266"/>
      <c r="I14" s="266"/>
      <c r="J14" s="266"/>
      <c r="K14" s="284"/>
    </row>
    <row r="15" spans="1:11" ht="15.6">
      <c r="A15" s="273" t="s">
        <v>226</v>
      </c>
      <c r="B15" s="24"/>
      <c r="C15" s="110">
        <f t="shared" ref="C15:F15" si="9">C49</f>
        <v>1634.9</v>
      </c>
      <c r="D15" s="110">
        <f t="shared" si="9"/>
        <v>3494.1</v>
      </c>
      <c r="E15" s="110">
        <f t="shared" si="9"/>
        <v>6139.9</v>
      </c>
      <c r="F15" s="111">
        <f t="shared" si="9"/>
        <v>6564.4</v>
      </c>
      <c r="G15" s="266">
        <f t="shared" ref="G15:K15" si="10">$F$15</f>
        <v>6564.4</v>
      </c>
      <c r="H15" s="266">
        <f t="shared" si="10"/>
        <v>6564.4</v>
      </c>
      <c r="I15" s="266">
        <f t="shared" si="10"/>
        <v>6564.4</v>
      </c>
      <c r="J15" s="266">
        <f t="shared" si="10"/>
        <v>6564.4</v>
      </c>
      <c r="K15" s="274">
        <f t="shared" si="10"/>
        <v>6564.4</v>
      </c>
    </row>
    <row r="16" spans="1:11" ht="15.6">
      <c r="A16" s="285" t="s">
        <v>227</v>
      </c>
      <c r="B16" s="24"/>
      <c r="C16" s="110">
        <f t="shared" ref="C16:F16" si="11">C51</f>
        <v>-527.5</v>
      </c>
      <c r="D16" s="110">
        <f t="shared" si="11"/>
        <v>-622.9</v>
      </c>
      <c r="E16" s="110">
        <f t="shared" si="11"/>
        <v>-900.2</v>
      </c>
      <c r="F16" s="111">
        <f t="shared" si="11"/>
        <v>-1234.0999999999999</v>
      </c>
      <c r="G16" s="265">
        <f t="shared" ref="G16:K16" si="12">F16+G17</f>
        <v>-1567.9999999999998</v>
      </c>
      <c r="H16" s="265">
        <f t="shared" si="12"/>
        <v>-1971.8999999999996</v>
      </c>
      <c r="I16" s="265">
        <f t="shared" si="12"/>
        <v>-2375.7999999999993</v>
      </c>
      <c r="J16" s="265">
        <f t="shared" si="12"/>
        <v>-2779.6999999999989</v>
      </c>
      <c r="K16" s="267">
        <f t="shared" si="12"/>
        <v>-3183.5999999999985</v>
      </c>
    </row>
    <row r="17" spans="1:11" ht="15.6">
      <c r="A17" s="263" t="s">
        <v>228</v>
      </c>
      <c r="B17" s="24"/>
      <c r="C17" s="110">
        <f t="shared" ref="C17:F17" si="13">C7</f>
        <v>-74</v>
      </c>
      <c r="D17" s="110">
        <f t="shared" si="13"/>
        <v>-95.399999999999977</v>
      </c>
      <c r="E17" s="110">
        <f t="shared" si="13"/>
        <v>-277.30000000000007</v>
      </c>
      <c r="F17" s="111">
        <f t="shared" si="13"/>
        <v>-333.89999999999986</v>
      </c>
      <c r="G17" s="265">
        <f>IF(AND(G13&lt;0,F13&lt;0),0,IF(AND(G13&lt;0,F13&gt;0),-(G$15+F$12),$B$11))</f>
        <v>-333.89999999999986</v>
      </c>
      <c r="H17" s="265">
        <f t="shared" ref="H17:K17" si="14">IF(AND(H13&lt;0,G13&lt;0),0,IF(AND(H13&lt;0,G13&gt;0),-(H$15+G$12),$B$11-70))</f>
        <v>-403.89999999999986</v>
      </c>
      <c r="I17" s="265">
        <f t="shared" si="14"/>
        <v>-403.89999999999986</v>
      </c>
      <c r="J17" s="265">
        <f t="shared" si="14"/>
        <v>-403.89999999999986</v>
      </c>
      <c r="K17" s="267">
        <f t="shared" si="14"/>
        <v>-403.89999999999986</v>
      </c>
    </row>
    <row r="18" spans="1:11" ht="15.6">
      <c r="A18" s="263"/>
      <c r="B18" s="24"/>
      <c r="C18" s="268"/>
      <c r="D18" s="268"/>
      <c r="E18" s="268"/>
      <c r="F18" s="89"/>
      <c r="G18" s="266"/>
      <c r="H18" s="266"/>
      <c r="I18" s="266"/>
      <c r="J18" s="266"/>
      <c r="K18" s="274"/>
    </row>
    <row r="19" spans="1:11" ht="15.6">
      <c r="A19" s="286" t="s">
        <v>229</v>
      </c>
      <c r="B19" s="24"/>
      <c r="C19" s="25"/>
      <c r="D19" s="25"/>
      <c r="E19" s="25"/>
      <c r="F19" s="26"/>
      <c r="G19" s="38"/>
      <c r="H19" s="38"/>
      <c r="I19" s="38"/>
      <c r="J19" s="38"/>
      <c r="K19" s="39"/>
    </row>
    <row r="20" spans="1:11" ht="15.6">
      <c r="A20" s="738" t="s">
        <v>652</v>
      </c>
      <c r="B20" s="24"/>
      <c r="C20" s="25"/>
      <c r="D20" s="25"/>
      <c r="E20" s="25"/>
      <c r="F20" s="26"/>
      <c r="G20" s="287">
        <f>-SLN(2242,0,$B$10)+110</f>
        <v>-2.0999999999999943</v>
      </c>
      <c r="H20" s="287">
        <f t="shared" ref="H20:K20" si="15">-SLN(2242,0,$B$10)</f>
        <v>-112.1</v>
      </c>
      <c r="I20" s="287">
        <f t="shared" si="15"/>
        <v>-112.1</v>
      </c>
      <c r="J20" s="287">
        <f t="shared" si="15"/>
        <v>-112.1</v>
      </c>
      <c r="K20" s="288">
        <f t="shared" si="15"/>
        <v>-112.1</v>
      </c>
    </row>
    <row r="21" spans="1:11" ht="15.6">
      <c r="A21" s="738" t="s">
        <v>653</v>
      </c>
      <c r="B21" s="24"/>
      <c r="C21" s="25"/>
      <c r="D21" s="25"/>
      <c r="E21" s="25"/>
      <c r="F21" s="26"/>
      <c r="G21" s="287">
        <f>-SLN(1320,0,$B$10)+60</f>
        <v>-6</v>
      </c>
      <c r="H21" s="287">
        <f t="shared" ref="H21:K21" si="16">-SLN(1320,0,$B$10)</f>
        <v>-66</v>
      </c>
      <c r="I21" s="287">
        <f t="shared" si="16"/>
        <v>-66</v>
      </c>
      <c r="J21" s="287">
        <f t="shared" si="16"/>
        <v>-66</v>
      </c>
      <c r="K21" s="288">
        <f t="shared" si="16"/>
        <v>-66</v>
      </c>
    </row>
    <row r="22" spans="1:11" ht="15.6">
      <c r="A22" s="738" t="s">
        <v>654</v>
      </c>
      <c r="B22" s="24"/>
      <c r="C22" s="25"/>
      <c r="D22" s="25"/>
      <c r="E22" s="25"/>
      <c r="F22" s="26"/>
      <c r="G22" s="287">
        <f>-SLN(1955,0,$B$10)+90</f>
        <v>-7.75</v>
      </c>
      <c r="H22" s="287">
        <f t="shared" ref="H22:K22" si="17">-SLN(1955,0,$B$10)</f>
        <v>-97.75</v>
      </c>
      <c r="I22" s="287">
        <f t="shared" si="17"/>
        <v>-97.75</v>
      </c>
      <c r="J22" s="287">
        <f t="shared" si="17"/>
        <v>-97.75</v>
      </c>
      <c r="K22" s="288">
        <f t="shared" si="17"/>
        <v>-97.75</v>
      </c>
    </row>
    <row r="23" spans="1:11" ht="15.6">
      <c r="A23" s="738" t="s">
        <v>655</v>
      </c>
      <c r="B23" s="24"/>
      <c r="C23" s="25"/>
      <c r="D23" s="25"/>
      <c r="E23" s="25"/>
      <c r="F23" s="26"/>
      <c r="G23" s="287"/>
      <c r="H23" s="287">
        <f t="shared" ref="H23:K23" si="18">-SLN(4465,0,$B$10)</f>
        <v>-223.25</v>
      </c>
      <c r="I23" s="287">
        <f t="shared" si="18"/>
        <v>-223.25</v>
      </c>
      <c r="J23" s="287">
        <f t="shared" si="18"/>
        <v>-223.25</v>
      </c>
      <c r="K23" s="288">
        <f t="shared" si="18"/>
        <v>-223.25</v>
      </c>
    </row>
    <row r="24" spans="1:11" ht="15.6">
      <c r="A24" s="738" t="s">
        <v>656</v>
      </c>
      <c r="B24" s="24"/>
      <c r="C24" s="25"/>
      <c r="D24" s="25"/>
      <c r="E24" s="25"/>
      <c r="F24" s="26"/>
      <c r="G24" s="287"/>
      <c r="H24" s="287">
        <f t="shared" ref="H24:K24" si="19">-SLN(1320,0,$B$10)</f>
        <v>-66</v>
      </c>
      <c r="I24" s="287">
        <f t="shared" si="19"/>
        <v>-66</v>
      </c>
      <c r="J24" s="287">
        <f t="shared" si="19"/>
        <v>-66</v>
      </c>
      <c r="K24" s="288">
        <f t="shared" si="19"/>
        <v>-66</v>
      </c>
    </row>
    <row r="25" spans="1:11" ht="15.6">
      <c r="A25" s="263" t="s">
        <v>230</v>
      </c>
      <c r="B25" s="24"/>
      <c r="C25" s="25"/>
      <c r="D25" s="25"/>
      <c r="E25" s="25"/>
      <c r="F25" s="26"/>
      <c r="G25" s="287">
        <f t="shared" ref="G25:K25" si="20">SUM(G20:G24)</f>
        <v>-15.849999999999994</v>
      </c>
      <c r="H25" s="287">
        <f t="shared" si="20"/>
        <v>-565.1</v>
      </c>
      <c r="I25" s="287">
        <f t="shared" si="20"/>
        <v>-565.1</v>
      </c>
      <c r="J25" s="287">
        <f t="shared" si="20"/>
        <v>-565.1</v>
      </c>
      <c r="K25" s="288">
        <f t="shared" si="20"/>
        <v>-565.1</v>
      </c>
    </row>
    <row r="26" spans="1:11" ht="15.6">
      <c r="A26" s="289" t="s">
        <v>231</v>
      </c>
      <c r="B26" s="24"/>
      <c r="C26" s="25"/>
      <c r="D26" s="25"/>
      <c r="E26" s="25"/>
      <c r="F26" s="26"/>
      <c r="G26" s="290">
        <f t="shared" ref="G26:K26" si="21">G17+G25</f>
        <v>-349.74999999999989</v>
      </c>
      <c r="H26" s="290">
        <f t="shared" si="21"/>
        <v>-968.99999999999989</v>
      </c>
      <c r="I26" s="290">
        <f t="shared" si="21"/>
        <v>-968.99999999999989</v>
      </c>
      <c r="J26" s="290">
        <f t="shared" si="21"/>
        <v>-968.99999999999989</v>
      </c>
      <c r="K26" s="291">
        <f t="shared" si="21"/>
        <v>-968.99999999999989</v>
      </c>
    </row>
    <row r="27" spans="1:11" ht="15.6">
      <c r="A27" s="292"/>
      <c r="B27" s="24"/>
      <c r="C27" s="25"/>
      <c r="D27" s="25"/>
      <c r="E27" s="25"/>
      <c r="F27" s="26"/>
      <c r="G27" s="38"/>
      <c r="H27" s="38"/>
      <c r="I27" s="38"/>
      <c r="J27" s="38"/>
      <c r="K27" s="39"/>
    </row>
    <row r="28" spans="1:11" ht="15.6">
      <c r="A28" s="293" t="s">
        <v>232</v>
      </c>
      <c r="B28" s="24"/>
      <c r="C28" s="25"/>
      <c r="D28" s="25"/>
      <c r="E28" s="25"/>
      <c r="F28" s="26"/>
      <c r="G28" s="38"/>
      <c r="H28" s="38"/>
      <c r="I28" s="38"/>
      <c r="J28" s="38"/>
      <c r="K28" s="39"/>
    </row>
    <row r="29" spans="1:11" ht="16.5" customHeight="1">
      <c r="A29" s="294" t="s">
        <v>233</v>
      </c>
      <c r="B29" s="106"/>
      <c r="C29" s="295">
        <f t="shared" ref="C29:K29" si="22">B35</f>
        <v>5.6</v>
      </c>
      <c r="D29" s="295">
        <f t="shared" si="22"/>
        <v>18</v>
      </c>
      <c r="E29" s="295">
        <f t="shared" si="22"/>
        <v>215.8</v>
      </c>
      <c r="F29" s="296">
        <f t="shared" si="22"/>
        <v>262.8</v>
      </c>
      <c r="G29" s="297">
        <f t="shared" si="22"/>
        <v>541.39999999999986</v>
      </c>
      <c r="H29" s="297">
        <f t="shared" si="22"/>
        <v>3839.8999999999996</v>
      </c>
      <c r="I29" s="297">
        <f t="shared" si="22"/>
        <v>947.39999999999964</v>
      </c>
      <c r="J29" s="297">
        <f t="shared" si="22"/>
        <v>1487.3999999999996</v>
      </c>
      <c r="K29" s="298">
        <f t="shared" si="22"/>
        <v>2027.3999999999996</v>
      </c>
    </row>
    <row r="30" spans="1:11" ht="15.6">
      <c r="A30" s="634" t="s">
        <v>440</v>
      </c>
      <c r="B30" s="24"/>
      <c r="C30" s="25"/>
      <c r="D30" s="25"/>
      <c r="E30" s="25"/>
      <c r="F30" s="26">
        <v>675.3</v>
      </c>
      <c r="G30" s="38">
        <f>5517+5785/2</f>
        <v>8409.5</v>
      </c>
      <c r="H30" s="38">
        <f>2892.5</f>
        <v>2892.5</v>
      </c>
      <c r="I30" s="266">
        <v>540</v>
      </c>
      <c r="J30" s="299">
        <v>540</v>
      </c>
      <c r="K30" s="300"/>
    </row>
    <row r="31" spans="1:11" ht="15.6">
      <c r="A31" s="117" t="s">
        <v>234</v>
      </c>
      <c r="B31" s="24"/>
      <c r="C31" s="25"/>
      <c r="D31" s="25"/>
      <c r="E31" s="104"/>
      <c r="F31" s="26">
        <v>-400.7</v>
      </c>
      <c r="G31" s="38">
        <v>-5111</v>
      </c>
      <c r="H31" s="38">
        <f>-5785</f>
        <v>-5785</v>
      </c>
      <c r="I31" s="38"/>
      <c r="J31" s="299">
        <v>0</v>
      </c>
      <c r="K31" s="300">
        <v>0</v>
      </c>
    </row>
    <row r="32" spans="1:11" ht="15.6">
      <c r="A32" s="117" t="s">
        <v>235</v>
      </c>
      <c r="B32" s="24"/>
      <c r="C32" s="25"/>
      <c r="D32" s="25"/>
      <c r="E32" s="25"/>
      <c r="F32" s="26">
        <v>-0.7</v>
      </c>
      <c r="G32" s="38"/>
      <c r="H32" s="38"/>
      <c r="I32" s="266"/>
      <c r="J32" s="301">
        <v>0</v>
      </c>
      <c r="K32" s="300">
        <v>0</v>
      </c>
    </row>
    <row r="33" spans="1:11" ht="15.6">
      <c r="A33" s="117" t="s">
        <v>236</v>
      </c>
      <c r="B33" s="24"/>
      <c r="C33" s="25"/>
      <c r="D33" s="25"/>
      <c r="E33" s="25"/>
      <c r="F33" s="26"/>
      <c r="G33" s="38"/>
      <c r="H33" s="38"/>
      <c r="I33" s="266"/>
      <c r="J33" s="301">
        <v>0</v>
      </c>
      <c r="K33" s="300">
        <v>0</v>
      </c>
    </row>
    <row r="34" spans="1:11" ht="15.6">
      <c r="A34" s="117" t="s">
        <v>237</v>
      </c>
      <c r="B34" s="24"/>
      <c r="C34" s="25"/>
      <c r="D34" s="25"/>
      <c r="E34" s="25"/>
      <c r="F34" s="26">
        <f>6.3-0.2-1.4</f>
        <v>4.6999999999999993</v>
      </c>
      <c r="G34" s="38"/>
      <c r="H34" s="38"/>
      <c r="I34" s="266"/>
      <c r="J34" s="301">
        <v>0</v>
      </c>
      <c r="K34" s="300">
        <v>0</v>
      </c>
    </row>
    <row r="35" spans="1:11" ht="15.6">
      <c r="A35" s="294" t="s">
        <v>238</v>
      </c>
      <c r="B35" s="30">
        <f>'INPUT-Y'!F52</f>
        <v>5.6</v>
      </c>
      <c r="C35" s="31">
        <f>'INPUT-Y'!G52</f>
        <v>18</v>
      </c>
      <c r="D35" s="31">
        <f>'INPUT-Y'!H52</f>
        <v>215.8</v>
      </c>
      <c r="E35" s="31">
        <f>'INPUT-Y'!I52</f>
        <v>262.8</v>
      </c>
      <c r="F35" s="302">
        <f>SUM(F29:F34)</f>
        <v>541.39999999999986</v>
      </c>
      <c r="G35" s="297">
        <f t="shared" ref="G35:K35" si="23">SUM(G29:G31)</f>
        <v>3839.8999999999996</v>
      </c>
      <c r="H35" s="297">
        <f t="shared" si="23"/>
        <v>947.39999999999964</v>
      </c>
      <c r="I35" s="297">
        <f t="shared" si="23"/>
        <v>1487.3999999999996</v>
      </c>
      <c r="J35" s="297">
        <f t="shared" si="23"/>
        <v>2027.3999999999996</v>
      </c>
      <c r="K35" s="298">
        <f t="shared" si="23"/>
        <v>2027.3999999999996</v>
      </c>
    </row>
    <row r="36" spans="1:11" ht="15.6">
      <c r="A36" s="294"/>
      <c r="B36" s="30"/>
      <c r="C36" s="31"/>
      <c r="D36" s="31"/>
      <c r="E36" s="31"/>
      <c r="F36" s="32"/>
      <c r="G36" s="303"/>
      <c r="H36" s="303"/>
      <c r="I36" s="303"/>
      <c r="J36" s="303"/>
      <c r="K36" s="304"/>
    </row>
    <row r="37" spans="1:11" ht="15.6">
      <c r="A37" s="305" t="s">
        <v>239</v>
      </c>
      <c r="B37" s="30"/>
      <c r="C37" s="31"/>
      <c r="D37" s="31"/>
      <c r="E37" s="31"/>
      <c r="F37" s="32"/>
      <c r="G37" s="303"/>
      <c r="H37" s="303"/>
      <c r="I37" s="303"/>
      <c r="J37" s="303"/>
      <c r="K37" s="304"/>
    </row>
    <row r="38" spans="1:11" ht="15.6">
      <c r="A38" s="294" t="s">
        <v>233</v>
      </c>
      <c r="B38" s="30"/>
      <c r="C38" s="31">
        <f t="shared" ref="C38:K38" si="24">B44</f>
        <v>5.6</v>
      </c>
      <c r="D38" s="306">
        <f t="shared" si="24"/>
        <v>6.6</v>
      </c>
      <c r="E38" s="306">
        <f t="shared" si="24"/>
        <v>6.4</v>
      </c>
      <c r="F38" s="307">
        <f t="shared" si="24"/>
        <v>19.200000000000003</v>
      </c>
      <c r="G38" s="297">
        <f t="shared" si="24"/>
        <v>16.700000000000003</v>
      </c>
      <c r="H38" s="297">
        <f t="shared" si="24"/>
        <v>7.657031250000002</v>
      </c>
      <c r="I38" s="297">
        <f t="shared" si="24"/>
        <v>10.085546875</v>
      </c>
      <c r="J38" s="297">
        <f t="shared" si="24"/>
        <v>10.976269531250001</v>
      </c>
      <c r="K38" s="298">
        <f t="shared" si="24"/>
        <v>12.132250976562501</v>
      </c>
    </row>
    <row r="39" spans="1:11" ht="15.6">
      <c r="A39" s="117" t="s">
        <v>240</v>
      </c>
      <c r="B39" s="24">
        <f>'INPUT-Y'!E45</f>
        <v>6.2</v>
      </c>
      <c r="C39" s="25">
        <f>'INPUT-Y'!F45</f>
        <v>6.4</v>
      </c>
      <c r="D39" s="25">
        <f>'INPUT-Y'!G45</f>
        <v>7.5</v>
      </c>
      <c r="E39" s="25">
        <f>'INPUT-Y'!H45</f>
        <v>7.4</v>
      </c>
      <c r="F39" s="26">
        <f>'INPUT-Y'!I45</f>
        <v>21.1</v>
      </c>
      <c r="G39" s="308">
        <f t="shared" ref="G39:K39" si="25">AVERAGE(C39:F39)</f>
        <v>10.600000000000001</v>
      </c>
      <c r="H39" s="308">
        <f t="shared" si="25"/>
        <v>11.65</v>
      </c>
      <c r="I39" s="308">
        <f t="shared" si="25"/>
        <v>12.6875</v>
      </c>
      <c r="J39" s="308">
        <f t="shared" si="25"/>
        <v>14.009375</v>
      </c>
      <c r="K39" s="309">
        <f t="shared" si="25"/>
        <v>12.23671875</v>
      </c>
    </row>
    <row r="40" spans="1:11" ht="15.6">
      <c r="A40" s="117" t="s">
        <v>241</v>
      </c>
      <c r="B40" s="30"/>
      <c r="C40" s="107">
        <f t="shared" ref="C40:F40" si="26">-C43/C38</f>
        <v>3.5714285714285726E-2</v>
      </c>
      <c r="D40" s="107">
        <f t="shared" si="26"/>
        <v>1.5151515151515148E-2</v>
      </c>
      <c r="E40" s="107">
        <f t="shared" si="26"/>
        <v>0.14062499999999997</v>
      </c>
      <c r="F40" s="108">
        <f t="shared" si="26"/>
        <v>0.14062499999999997</v>
      </c>
      <c r="G40" s="114">
        <f t="shared" ref="G40:K40" si="27">F40</f>
        <v>0.14062499999999997</v>
      </c>
      <c r="H40" s="114">
        <f t="shared" si="27"/>
        <v>0.14062499999999997</v>
      </c>
      <c r="I40" s="114">
        <f t="shared" si="27"/>
        <v>0.14062499999999997</v>
      </c>
      <c r="J40" s="114">
        <f t="shared" si="27"/>
        <v>0.14062499999999997</v>
      </c>
      <c r="K40" s="115">
        <f t="shared" si="27"/>
        <v>0.14062499999999997</v>
      </c>
    </row>
    <row r="41" spans="1:11" ht="15.6">
      <c r="A41" s="310" t="s">
        <v>242</v>
      </c>
      <c r="B41" s="30"/>
      <c r="C41" s="110">
        <f t="shared" ref="C41:F41" si="28">C60</f>
        <v>1.0999999999999996</v>
      </c>
      <c r="D41" s="110">
        <f t="shared" si="28"/>
        <v>-9.9999999999999645E-2</v>
      </c>
      <c r="E41" s="110">
        <f t="shared" si="28"/>
        <v>13.700000000000001</v>
      </c>
      <c r="F41" s="111">
        <f t="shared" si="28"/>
        <v>0.19999999999999929</v>
      </c>
      <c r="G41" s="303">
        <v>0</v>
      </c>
      <c r="H41" s="303">
        <v>0</v>
      </c>
      <c r="I41" s="303">
        <v>0</v>
      </c>
      <c r="J41" s="303">
        <v>0</v>
      </c>
      <c r="K41" s="304">
        <v>0</v>
      </c>
    </row>
    <row r="42" spans="1:11" ht="15.6">
      <c r="A42" s="117" t="s">
        <v>243</v>
      </c>
      <c r="B42" s="24">
        <f t="shared" ref="B42:F42" si="29">B61</f>
        <v>-0.7</v>
      </c>
      <c r="C42" s="25">
        <f t="shared" si="29"/>
        <v>-0.9</v>
      </c>
      <c r="D42" s="25">
        <f t="shared" si="29"/>
        <v>-1</v>
      </c>
      <c r="E42" s="25">
        <f t="shared" si="29"/>
        <v>-1.9</v>
      </c>
      <c r="F42" s="26">
        <f t="shared" si="29"/>
        <v>-4.5999999999999996</v>
      </c>
      <c r="G42" s="308">
        <f t="shared" ref="G42:K42" si="30">G40*-AVERAGE(SUM(F39,F41),SUM(G39,G41))+F32</f>
        <v>-2.9429687499999995</v>
      </c>
      <c r="H42" s="308">
        <f t="shared" si="30"/>
        <v>-1.5644531249999998</v>
      </c>
      <c r="I42" s="308">
        <f t="shared" si="30"/>
        <v>-1.7112304687499995</v>
      </c>
      <c r="J42" s="308">
        <f t="shared" si="30"/>
        <v>-1.8771240234374995</v>
      </c>
      <c r="K42" s="309">
        <f t="shared" si="30"/>
        <v>-1.8454284667968746</v>
      </c>
    </row>
    <row r="43" spans="1:11" ht="15.6">
      <c r="A43" s="117" t="s">
        <v>244</v>
      </c>
      <c r="B43" s="24">
        <v>-0.2</v>
      </c>
      <c r="C43" s="25">
        <f t="shared" ref="C43:K43" si="31">C42-B42</f>
        <v>-0.20000000000000007</v>
      </c>
      <c r="D43" s="25">
        <f t="shared" si="31"/>
        <v>-9.9999999999999978E-2</v>
      </c>
      <c r="E43" s="25">
        <f t="shared" si="31"/>
        <v>-0.89999999999999991</v>
      </c>
      <c r="F43" s="26">
        <f t="shared" si="31"/>
        <v>-2.6999999999999997</v>
      </c>
      <c r="G43" s="311">
        <f t="shared" si="31"/>
        <v>1.6570312500000002</v>
      </c>
      <c r="H43" s="311">
        <f t="shared" si="31"/>
        <v>1.3785156249999997</v>
      </c>
      <c r="I43" s="311">
        <f t="shared" si="31"/>
        <v>-0.14677734374999973</v>
      </c>
      <c r="J43" s="311">
        <f t="shared" si="31"/>
        <v>-0.1658935546875</v>
      </c>
      <c r="K43" s="312">
        <f t="shared" si="31"/>
        <v>3.1695556640624956E-2</v>
      </c>
    </row>
    <row r="44" spans="1:11" ht="15.6">
      <c r="A44" s="294" t="s">
        <v>238</v>
      </c>
      <c r="B44" s="30">
        <f>B58</f>
        <v>5.6</v>
      </c>
      <c r="C44" s="306">
        <f t="shared" ref="C44:K44" si="32">SUM(C39,C41,C42)</f>
        <v>6.6</v>
      </c>
      <c r="D44" s="306">
        <f t="shared" si="32"/>
        <v>6.4</v>
      </c>
      <c r="E44" s="306">
        <f t="shared" si="32"/>
        <v>19.200000000000003</v>
      </c>
      <c r="F44" s="307">
        <f t="shared" si="32"/>
        <v>16.700000000000003</v>
      </c>
      <c r="G44" s="40">
        <f t="shared" si="32"/>
        <v>7.657031250000002</v>
      </c>
      <c r="H44" s="40">
        <f t="shared" si="32"/>
        <v>10.085546875</v>
      </c>
      <c r="I44" s="40">
        <f t="shared" si="32"/>
        <v>10.976269531250001</v>
      </c>
      <c r="J44" s="40">
        <f t="shared" si="32"/>
        <v>12.132250976562501</v>
      </c>
      <c r="K44" s="41">
        <f t="shared" si="32"/>
        <v>10.391290283203125</v>
      </c>
    </row>
    <row r="45" spans="1:11" ht="15.6">
      <c r="A45" s="117"/>
      <c r="B45" s="30"/>
      <c r="C45" s="31"/>
      <c r="D45" s="31"/>
      <c r="E45" s="31"/>
      <c r="F45" s="32"/>
      <c r="G45" s="303"/>
      <c r="H45" s="303"/>
      <c r="I45" s="303"/>
      <c r="J45" s="303"/>
      <c r="K45" s="304"/>
    </row>
    <row r="46" spans="1:11" ht="15.6">
      <c r="A46" s="117"/>
      <c r="B46" s="30"/>
      <c r="C46" s="31"/>
      <c r="D46" s="31"/>
      <c r="E46" s="31"/>
      <c r="F46" s="32"/>
      <c r="G46" s="303"/>
      <c r="H46" s="303"/>
      <c r="I46" s="303"/>
      <c r="J46" s="303"/>
      <c r="K46" s="304"/>
    </row>
    <row r="47" spans="1:11" ht="15.6">
      <c r="A47" s="313" t="s">
        <v>245</v>
      </c>
      <c r="B47" s="314"/>
      <c r="C47" s="315"/>
      <c r="D47" s="315"/>
      <c r="E47" s="315"/>
      <c r="F47" s="316"/>
      <c r="G47" s="38"/>
      <c r="H47" s="38"/>
      <c r="I47" s="38"/>
      <c r="J47" s="38"/>
      <c r="K47" s="39"/>
    </row>
    <row r="48" spans="1:11" ht="14.25" customHeight="1">
      <c r="A48" s="293" t="s">
        <v>246</v>
      </c>
      <c r="B48" s="24">
        <f>'INPUT-Y'!F38</f>
        <v>1163.7</v>
      </c>
      <c r="C48" s="25">
        <f>'INPUT-Y'!G38</f>
        <v>1107.4000000000001</v>
      </c>
      <c r="D48" s="25">
        <f>'INPUT-Y'!H38</f>
        <v>2871.2</v>
      </c>
      <c r="E48" s="25">
        <f>'INPUT-Y'!I38</f>
        <v>5239.7</v>
      </c>
      <c r="F48" s="26">
        <f>'INPUT-Y'!J38</f>
        <v>5330.2</v>
      </c>
      <c r="G48" s="38"/>
      <c r="H48" s="38"/>
      <c r="I48" s="38"/>
      <c r="J48" s="38"/>
      <c r="K48" s="39"/>
    </row>
    <row r="49" spans="1:11" ht="15.6">
      <c r="A49" s="317" t="s">
        <v>247</v>
      </c>
      <c r="B49" s="24">
        <f>'INPUT-Y'!F39</f>
        <v>1617.2</v>
      </c>
      <c r="C49" s="25">
        <f>'INPUT-Y'!G39</f>
        <v>1634.9</v>
      </c>
      <c r="D49" s="25">
        <f>'INPUT-Y'!H39</f>
        <v>3494.1</v>
      </c>
      <c r="E49" s="25">
        <f>'INPUT-Y'!I39</f>
        <v>6139.9</v>
      </c>
      <c r="F49" s="26">
        <f>'INPUT-Y'!J39</f>
        <v>6564.4</v>
      </c>
      <c r="G49" s="38"/>
      <c r="H49" s="38"/>
      <c r="I49" s="38"/>
      <c r="J49" s="38"/>
      <c r="K49" s="39"/>
    </row>
    <row r="50" spans="1:11" ht="15.6">
      <c r="A50" s="317" t="s">
        <v>248</v>
      </c>
      <c r="B50" s="24"/>
      <c r="C50" s="25">
        <f t="shared" ref="C50:F50" si="33">C49-B49</f>
        <v>17.700000000000045</v>
      </c>
      <c r="D50" s="25">
        <f t="shared" si="33"/>
        <v>1859.1999999999998</v>
      </c>
      <c r="E50" s="25">
        <f t="shared" si="33"/>
        <v>2645.7999999999997</v>
      </c>
      <c r="F50" s="26">
        <f t="shared" si="33"/>
        <v>424.5</v>
      </c>
      <c r="G50" s="38"/>
      <c r="H50" s="38"/>
      <c r="I50" s="38"/>
      <c r="J50" s="38"/>
      <c r="K50" s="39"/>
    </row>
    <row r="51" spans="1:11" ht="15.6">
      <c r="A51" s="317" t="s">
        <v>249</v>
      </c>
      <c r="B51" s="24">
        <f>'INPUT-Y'!F40</f>
        <v>-453.5</v>
      </c>
      <c r="C51" s="25">
        <f>'INPUT-Y'!G40</f>
        <v>-527.5</v>
      </c>
      <c r="D51" s="25">
        <f>'INPUT-Y'!H40</f>
        <v>-622.9</v>
      </c>
      <c r="E51" s="25">
        <f>'INPUT-Y'!I40</f>
        <v>-900.2</v>
      </c>
      <c r="F51" s="26">
        <f>'INPUT-Y'!J40</f>
        <v>-1234.0999999999999</v>
      </c>
      <c r="G51" s="38"/>
      <c r="H51" s="38"/>
      <c r="I51" s="38"/>
      <c r="J51" s="38"/>
      <c r="K51" s="39"/>
    </row>
    <row r="52" spans="1:11" ht="15.6">
      <c r="A52" s="317" t="s">
        <v>250</v>
      </c>
      <c r="B52" s="24"/>
      <c r="C52" s="25">
        <f t="shared" ref="C52:F52" si="34">C51-B51</f>
        <v>-74</v>
      </c>
      <c r="D52" s="25">
        <f t="shared" si="34"/>
        <v>-95.399999999999977</v>
      </c>
      <c r="E52" s="25">
        <f t="shared" si="34"/>
        <v>-277.30000000000007</v>
      </c>
      <c r="F52" s="26">
        <f t="shared" si="34"/>
        <v>-333.89999999999986</v>
      </c>
      <c r="G52" s="38"/>
      <c r="H52" s="38"/>
      <c r="I52" s="38"/>
      <c r="J52" s="38"/>
      <c r="K52" s="39"/>
    </row>
    <row r="53" spans="1:11" ht="15.6">
      <c r="A53" s="293" t="s">
        <v>251</v>
      </c>
      <c r="B53" s="24">
        <f>'INPUT-Y'!F41</f>
        <v>0</v>
      </c>
      <c r="C53" s="25">
        <f>'INPUT-Y'!G41</f>
        <v>0</v>
      </c>
      <c r="D53" s="25">
        <f>'INPUT-Y'!H41</f>
        <v>0</v>
      </c>
      <c r="E53" s="25">
        <f>'INPUT-Y'!I41</f>
        <v>0</v>
      </c>
      <c r="F53" s="26">
        <f>'INPUT-Y'!J41</f>
        <v>27.8</v>
      </c>
      <c r="G53" s="38"/>
      <c r="H53" s="38"/>
      <c r="I53" s="38"/>
      <c r="J53" s="38"/>
      <c r="K53" s="39"/>
    </row>
    <row r="54" spans="1:11" ht="15.6">
      <c r="A54" s="317" t="s">
        <v>252</v>
      </c>
      <c r="B54" s="24">
        <f>'INPUT-Y'!F42</f>
        <v>0</v>
      </c>
      <c r="C54" s="25">
        <f>'INPUT-Y'!G42</f>
        <v>0</v>
      </c>
      <c r="D54" s="25">
        <f>'INPUT-Y'!H42</f>
        <v>0</v>
      </c>
      <c r="E54" s="25">
        <f>'INPUT-Y'!I42</f>
        <v>0</v>
      </c>
      <c r="F54" s="26">
        <f>'INPUT-Y'!J42</f>
        <v>28.1</v>
      </c>
      <c r="G54" s="38"/>
      <c r="H54" s="38"/>
      <c r="I54" s="38"/>
      <c r="J54" s="38"/>
      <c r="K54" s="39"/>
    </row>
    <row r="55" spans="1:11" ht="15.6">
      <c r="A55" s="317" t="s">
        <v>253</v>
      </c>
      <c r="B55" s="24"/>
      <c r="C55" s="25">
        <f t="shared" ref="C55:F55" si="35">C54-B54</f>
        <v>0</v>
      </c>
      <c r="D55" s="25">
        <f t="shared" si="35"/>
        <v>0</v>
      </c>
      <c r="E55" s="25">
        <f t="shared" si="35"/>
        <v>0</v>
      </c>
      <c r="F55" s="26">
        <f t="shared" si="35"/>
        <v>28.1</v>
      </c>
      <c r="G55" s="38"/>
      <c r="H55" s="38"/>
      <c r="I55" s="38"/>
      <c r="J55" s="38"/>
      <c r="K55" s="39"/>
    </row>
    <row r="56" spans="1:11" ht="15.6">
      <c r="A56" s="317" t="s">
        <v>254</v>
      </c>
      <c r="B56" s="24">
        <f>'INPUT-Y'!F43</f>
        <v>0</v>
      </c>
      <c r="C56" s="25">
        <f>'INPUT-Y'!G43</f>
        <v>0</v>
      </c>
      <c r="D56" s="25">
        <f>'INPUT-Y'!H43</f>
        <v>0</v>
      </c>
      <c r="E56" s="25">
        <f>'INPUT-Y'!I43</f>
        <v>0</v>
      </c>
      <c r="F56" s="26">
        <f>'INPUT-Y'!J43</f>
        <v>-0.3</v>
      </c>
      <c r="G56" s="38"/>
      <c r="H56" s="38"/>
      <c r="I56" s="38"/>
      <c r="J56" s="38"/>
      <c r="K56" s="39"/>
    </row>
    <row r="57" spans="1:11" ht="15.6">
      <c r="A57" s="317" t="s">
        <v>255</v>
      </c>
      <c r="B57" s="24"/>
      <c r="C57" s="25">
        <f t="shared" ref="C57:F57" si="36">C56-B56</f>
        <v>0</v>
      </c>
      <c r="D57" s="25">
        <f t="shared" si="36"/>
        <v>0</v>
      </c>
      <c r="E57" s="25">
        <f t="shared" si="36"/>
        <v>0</v>
      </c>
      <c r="F57" s="26">
        <f t="shared" si="36"/>
        <v>-0.3</v>
      </c>
      <c r="G57" s="38"/>
      <c r="H57" s="38"/>
      <c r="I57" s="38"/>
      <c r="J57" s="38"/>
      <c r="K57" s="39"/>
    </row>
    <row r="58" spans="1:11" ht="15.6">
      <c r="A58" s="293" t="s">
        <v>239</v>
      </c>
      <c r="B58" s="24">
        <f>'INPUT-Y'!F44</f>
        <v>5.6</v>
      </c>
      <c r="C58" s="25">
        <f>'INPUT-Y'!G44</f>
        <v>6.6</v>
      </c>
      <c r="D58" s="25">
        <f>'INPUT-Y'!H44</f>
        <v>6.4</v>
      </c>
      <c r="E58" s="25">
        <f>'INPUT-Y'!I44</f>
        <v>19.2</v>
      </c>
      <c r="F58" s="26">
        <f>'INPUT-Y'!J44</f>
        <v>16.7</v>
      </c>
      <c r="G58" s="38"/>
      <c r="H58" s="38"/>
      <c r="I58" s="38"/>
      <c r="J58" s="38"/>
      <c r="K58" s="39"/>
    </row>
    <row r="59" spans="1:11" ht="15.6">
      <c r="A59" s="317" t="s">
        <v>256</v>
      </c>
      <c r="B59" s="24">
        <f>'INPUT-Y'!F45</f>
        <v>6.4</v>
      </c>
      <c r="C59" s="25">
        <f>'INPUT-Y'!G45</f>
        <v>7.5</v>
      </c>
      <c r="D59" s="25">
        <f>'INPUT-Y'!H45</f>
        <v>7.4</v>
      </c>
      <c r="E59" s="25">
        <f>'INPUT-Y'!I45</f>
        <v>21.1</v>
      </c>
      <c r="F59" s="26">
        <f>'INPUT-Y'!J45</f>
        <v>21.3</v>
      </c>
      <c r="G59" s="38"/>
      <c r="H59" s="38"/>
      <c r="I59" s="38"/>
      <c r="J59" s="38"/>
      <c r="K59" s="39"/>
    </row>
    <row r="60" spans="1:11" ht="15.6">
      <c r="A60" s="317" t="s">
        <v>257</v>
      </c>
      <c r="B60" s="24"/>
      <c r="C60" s="25">
        <f t="shared" ref="C60:F60" si="37">C59-B59</f>
        <v>1.0999999999999996</v>
      </c>
      <c r="D60" s="25">
        <f t="shared" si="37"/>
        <v>-9.9999999999999645E-2</v>
      </c>
      <c r="E60" s="25">
        <f t="shared" si="37"/>
        <v>13.700000000000001</v>
      </c>
      <c r="F60" s="26">
        <f t="shared" si="37"/>
        <v>0.19999999999999929</v>
      </c>
      <c r="G60" s="38"/>
      <c r="H60" s="38"/>
      <c r="I60" s="38"/>
      <c r="J60" s="38"/>
      <c r="K60" s="39"/>
    </row>
    <row r="61" spans="1:11" ht="15.6">
      <c r="A61" s="317" t="s">
        <v>258</v>
      </c>
      <c r="B61" s="24">
        <f>'INPUT-Y'!F46</f>
        <v>-0.7</v>
      </c>
      <c r="C61" s="25">
        <f>'INPUT-Y'!G46</f>
        <v>-0.9</v>
      </c>
      <c r="D61" s="25">
        <f>'INPUT-Y'!H46</f>
        <v>-1</v>
      </c>
      <c r="E61" s="25">
        <f>'INPUT-Y'!I46</f>
        <v>-1.9</v>
      </c>
      <c r="F61" s="26">
        <f>'INPUT-Y'!J46</f>
        <v>-4.5999999999999996</v>
      </c>
      <c r="G61" s="38"/>
      <c r="H61" s="38"/>
      <c r="I61" s="38"/>
      <c r="J61" s="38"/>
      <c r="K61" s="39"/>
    </row>
    <row r="62" spans="1:11" ht="15.6">
      <c r="A62" s="317" t="s">
        <v>259</v>
      </c>
      <c r="B62" s="24"/>
      <c r="C62" s="25">
        <f t="shared" ref="C62:F62" si="38">C61-B61</f>
        <v>-0.20000000000000007</v>
      </c>
      <c r="D62" s="25">
        <f t="shared" si="38"/>
        <v>-9.9999999999999978E-2</v>
      </c>
      <c r="E62" s="25">
        <f t="shared" si="38"/>
        <v>-0.89999999999999991</v>
      </c>
      <c r="F62" s="26">
        <f t="shared" si="38"/>
        <v>-2.6999999999999997</v>
      </c>
      <c r="G62" s="38"/>
      <c r="H62" s="38"/>
      <c r="I62" s="38"/>
      <c r="J62" s="38"/>
      <c r="K62" s="39"/>
    </row>
    <row r="63" spans="1:11" ht="15.6">
      <c r="A63" s="293" t="s">
        <v>260</v>
      </c>
      <c r="B63" s="24">
        <v>0</v>
      </c>
      <c r="C63" s="25">
        <v>0</v>
      </c>
      <c r="D63" s="25">
        <v>0</v>
      </c>
      <c r="E63" s="25">
        <v>0</v>
      </c>
      <c r="F63" s="26">
        <v>0</v>
      </c>
      <c r="G63" s="38"/>
      <c r="H63" s="38"/>
      <c r="I63" s="38"/>
      <c r="J63" s="38"/>
      <c r="K63" s="39"/>
    </row>
    <row r="64" spans="1:11" ht="15.6">
      <c r="A64" s="317" t="s">
        <v>261</v>
      </c>
      <c r="B64" s="24">
        <v>0</v>
      </c>
      <c r="C64" s="25">
        <v>0</v>
      </c>
      <c r="D64" s="25">
        <v>0</v>
      </c>
      <c r="E64" s="25">
        <v>0</v>
      </c>
      <c r="F64" s="26">
        <v>0</v>
      </c>
      <c r="G64" s="38"/>
      <c r="H64" s="38"/>
      <c r="I64" s="38"/>
      <c r="J64" s="38"/>
      <c r="K64" s="39"/>
    </row>
    <row r="65" spans="1:11" ht="15.6">
      <c r="A65" s="317" t="s">
        <v>262</v>
      </c>
      <c r="B65" s="24">
        <v>0</v>
      </c>
      <c r="C65" s="25">
        <v>0</v>
      </c>
      <c r="D65" s="25">
        <v>0</v>
      </c>
      <c r="E65" s="25">
        <v>0</v>
      </c>
      <c r="F65" s="26">
        <v>0</v>
      </c>
      <c r="G65" s="38"/>
      <c r="H65" s="38"/>
      <c r="I65" s="38"/>
      <c r="J65" s="38"/>
      <c r="K65" s="39"/>
    </row>
    <row r="66" spans="1:11" ht="15.6">
      <c r="A66" s="317" t="s">
        <v>263</v>
      </c>
      <c r="B66" s="24">
        <v>0</v>
      </c>
      <c r="C66" s="25">
        <v>0</v>
      </c>
      <c r="D66" s="25">
        <v>0</v>
      </c>
      <c r="E66" s="25">
        <v>0</v>
      </c>
      <c r="F66" s="26">
        <v>0</v>
      </c>
      <c r="G66" s="38"/>
      <c r="H66" s="38"/>
      <c r="I66" s="38"/>
      <c r="J66" s="38"/>
      <c r="K66" s="39"/>
    </row>
    <row r="67" spans="1:11" ht="15.6">
      <c r="A67" s="317" t="s">
        <v>264</v>
      </c>
      <c r="B67" s="24">
        <v>0</v>
      </c>
      <c r="C67" s="25">
        <v>0</v>
      </c>
      <c r="D67" s="25">
        <v>0</v>
      </c>
      <c r="E67" s="25">
        <v>0</v>
      </c>
      <c r="F67" s="26">
        <v>0</v>
      </c>
      <c r="G67" s="38"/>
      <c r="H67" s="38"/>
      <c r="I67" s="38"/>
      <c r="J67" s="38"/>
      <c r="K67" s="39"/>
    </row>
    <row r="68" spans="1:11" ht="15.6">
      <c r="A68" s="293" t="s">
        <v>120</v>
      </c>
      <c r="B68" s="24">
        <f>'INPUT-Y'!F50</f>
        <v>5.6</v>
      </c>
      <c r="C68" s="25">
        <f>'INPUT-Y'!G50</f>
        <v>18</v>
      </c>
      <c r="D68" s="25">
        <f>'INPUT-Y'!H50</f>
        <v>215.8</v>
      </c>
      <c r="E68" s="25">
        <f>'INPUT-Y'!I50</f>
        <v>262.8</v>
      </c>
      <c r="F68" s="26">
        <f>'INPUT-Y'!J50</f>
        <v>541.4</v>
      </c>
      <c r="G68" s="38"/>
      <c r="H68" s="38"/>
      <c r="I68" s="38"/>
      <c r="J68" s="38"/>
      <c r="K68" s="39"/>
    </row>
    <row r="69" spans="1:11" ht="15.6">
      <c r="A69" s="317" t="s">
        <v>265</v>
      </c>
      <c r="B69" s="24">
        <f>'INPUT-Y'!C64</f>
        <v>3.5</v>
      </c>
      <c r="C69" s="25">
        <f>'INPUT-Y'!D64</f>
        <v>16.899999999999999</v>
      </c>
      <c r="D69" s="25">
        <f>'INPUT-Y'!E64</f>
        <v>14.6</v>
      </c>
      <c r="E69" s="25">
        <f>'INPUT-Y'!F64</f>
        <v>12.3</v>
      </c>
      <c r="F69" s="26">
        <f>'INPUT-Y'!G64</f>
        <v>9.6999999999999993</v>
      </c>
      <c r="G69" s="38"/>
      <c r="H69" s="38"/>
      <c r="I69" s="38"/>
      <c r="J69" s="38"/>
      <c r="K69" s="39"/>
    </row>
    <row r="70" spans="1:11" ht="15.6">
      <c r="A70" s="317" t="s">
        <v>266</v>
      </c>
      <c r="B70" s="24">
        <v>0</v>
      </c>
      <c r="C70" s="25">
        <v>0</v>
      </c>
      <c r="D70" s="25">
        <v>0</v>
      </c>
      <c r="E70" s="25">
        <v>0</v>
      </c>
      <c r="F70" s="26">
        <v>0</v>
      </c>
      <c r="G70" s="38"/>
      <c r="H70" s="38"/>
      <c r="I70" s="38"/>
      <c r="J70" s="38"/>
      <c r="K70" s="39"/>
    </row>
    <row r="71" spans="1:11" ht="15.6">
      <c r="A71" s="317" t="s">
        <v>267</v>
      </c>
      <c r="B71" s="24"/>
      <c r="C71" s="25">
        <f t="shared" ref="C71:F71" si="39">C50</f>
        <v>17.700000000000045</v>
      </c>
      <c r="D71" s="25">
        <f t="shared" si="39"/>
        <v>1859.1999999999998</v>
      </c>
      <c r="E71" s="25">
        <f t="shared" si="39"/>
        <v>2645.7999999999997</v>
      </c>
      <c r="F71" s="26">
        <f t="shared" si="39"/>
        <v>424.5</v>
      </c>
      <c r="G71" s="38"/>
      <c r="H71" s="38"/>
      <c r="I71" s="38"/>
      <c r="J71" s="38"/>
      <c r="K71" s="39"/>
    </row>
    <row r="72" spans="1:11" ht="15.6">
      <c r="A72" s="317" t="s">
        <v>268</v>
      </c>
      <c r="B72" s="24"/>
      <c r="C72" s="25">
        <f t="shared" ref="C72:F72" si="40">C50+C55+C60+C65</f>
        <v>18.800000000000047</v>
      </c>
      <c r="D72" s="25">
        <f t="shared" si="40"/>
        <v>1859.1</v>
      </c>
      <c r="E72" s="25">
        <f t="shared" si="40"/>
        <v>2659.4999999999995</v>
      </c>
      <c r="F72" s="26">
        <f t="shared" si="40"/>
        <v>452.8</v>
      </c>
      <c r="G72" s="38"/>
      <c r="H72" s="38"/>
      <c r="I72" s="38"/>
      <c r="J72" s="38"/>
      <c r="K72" s="39"/>
    </row>
    <row r="73" spans="1:11" ht="15.6">
      <c r="A73" s="317" t="s">
        <v>269</v>
      </c>
      <c r="B73" s="24">
        <f t="shared" ref="B73:F73" si="41">B51+B56+B61+B66</f>
        <v>-454.2</v>
      </c>
      <c r="C73" s="25">
        <f t="shared" si="41"/>
        <v>-528.4</v>
      </c>
      <c r="D73" s="25">
        <f t="shared" si="41"/>
        <v>-623.9</v>
      </c>
      <c r="E73" s="25">
        <f t="shared" si="41"/>
        <v>-902.1</v>
      </c>
      <c r="F73" s="26">
        <f t="shared" si="41"/>
        <v>-1238.9999999999998</v>
      </c>
      <c r="G73" s="38"/>
      <c r="H73" s="38"/>
      <c r="I73" s="38"/>
      <c r="J73" s="38"/>
      <c r="K73" s="39"/>
    </row>
    <row r="74" spans="1:11" ht="15.6">
      <c r="A74" s="317" t="s">
        <v>270</v>
      </c>
      <c r="B74" s="24">
        <f t="shared" ref="B74:F74" si="42">B52+B57+B62+B67</f>
        <v>0</v>
      </c>
      <c r="C74" s="25">
        <f t="shared" si="42"/>
        <v>-74.2</v>
      </c>
      <c r="D74" s="25">
        <f t="shared" si="42"/>
        <v>-95.499999999999972</v>
      </c>
      <c r="E74" s="25">
        <f t="shared" si="42"/>
        <v>-278.20000000000005</v>
      </c>
      <c r="F74" s="26">
        <f t="shared" si="42"/>
        <v>-336.89999999999986</v>
      </c>
      <c r="G74" s="38"/>
      <c r="H74" s="38"/>
      <c r="I74" s="38"/>
      <c r="J74" s="38"/>
      <c r="K74" s="39"/>
    </row>
    <row r="75" spans="1:11" ht="15.6">
      <c r="A75" s="318" t="s">
        <v>271</v>
      </c>
      <c r="B75" s="24">
        <f>-'INPUT-Y'!F147</f>
        <v>-79.8</v>
      </c>
      <c r="C75" s="25">
        <f>-'INPUT-Y'!G147</f>
        <v>-79.5</v>
      </c>
      <c r="D75" s="25">
        <f>-'INPUT-Y'!H147</f>
        <v>-97.5</v>
      </c>
      <c r="E75" s="25">
        <f>-'INPUT-Y'!I147</f>
        <v>-285</v>
      </c>
      <c r="F75" s="26">
        <f>-'INPUT-Y'!J147</f>
        <v>-354</v>
      </c>
      <c r="G75" s="38"/>
      <c r="H75" s="38"/>
      <c r="I75" s="38"/>
      <c r="J75" s="38"/>
      <c r="K75" s="39"/>
    </row>
    <row r="76" spans="1:11" ht="15.6">
      <c r="A76" s="317" t="s">
        <v>272</v>
      </c>
      <c r="B76" s="24"/>
      <c r="C76" s="107">
        <f t="shared" ref="C76:F76" si="43">-C52/AVERAGE(B49:C49)</f>
        <v>4.5509055687094485E-2</v>
      </c>
      <c r="D76" s="107">
        <f t="shared" si="43"/>
        <v>3.7200233963735611E-2</v>
      </c>
      <c r="E76" s="107">
        <f t="shared" si="43"/>
        <v>5.756695038405648E-2</v>
      </c>
      <c r="F76" s="108">
        <f t="shared" si="43"/>
        <v>5.2564879607691864E-2</v>
      </c>
      <c r="G76" s="38"/>
      <c r="H76" s="38"/>
      <c r="I76" s="38"/>
      <c r="J76" s="38"/>
      <c r="K76" s="39"/>
    </row>
    <row r="77" spans="1:11" ht="15.6">
      <c r="A77" s="317" t="s">
        <v>273</v>
      </c>
      <c r="B77" s="24"/>
      <c r="C77" s="107">
        <v>0</v>
      </c>
      <c r="D77" s="107">
        <v>0</v>
      </c>
      <c r="E77" s="107">
        <v>0</v>
      </c>
      <c r="F77" s="108">
        <v>0</v>
      </c>
      <c r="G77" s="38"/>
      <c r="H77" s="38"/>
      <c r="I77" s="38"/>
      <c r="J77" s="38"/>
      <c r="K77" s="39"/>
    </row>
    <row r="78" spans="1:11" ht="15.6">
      <c r="A78" s="317" t="s">
        <v>274</v>
      </c>
      <c r="B78" s="24"/>
      <c r="C78" s="107">
        <f t="shared" ref="C78:F78" si="44">C40</f>
        <v>3.5714285714285726E-2</v>
      </c>
      <c r="D78" s="107">
        <f t="shared" si="44"/>
        <v>1.5151515151515148E-2</v>
      </c>
      <c r="E78" s="107">
        <f t="shared" si="44"/>
        <v>0.14062499999999997</v>
      </c>
      <c r="F78" s="108">
        <f t="shared" si="44"/>
        <v>0.14062499999999997</v>
      </c>
      <c r="G78" s="38"/>
      <c r="H78" s="38"/>
      <c r="I78" s="38"/>
      <c r="J78" s="38"/>
      <c r="K78" s="39"/>
    </row>
    <row r="79" spans="1:11" ht="15.6">
      <c r="A79" s="317" t="s">
        <v>275</v>
      </c>
      <c r="B79" s="24"/>
      <c r="C79" s="107">
        <v>0</v>
      </c>
      <c r="D79" s="107">
        <v>0</v>
      </c>
      <c r="E79" s="107">
        <v>0</v>
      </c>
      <c r="F79" s="108">
        <v>0</v>
      </c>
      <c r="G79" s="38"/>
      <c r="H79" s="38"/>
      <c r="I79" s="38"/>
      <c r="J79" s="38"/>
      <c r="K79" s="39"/>
    </row>
    <row r="80" spans="1:11" ht="15.6">
      <c r="A80" s="317" t="s">
        <v>276</v>
      </c>
      <c r="B80" s="24"/>
      <c r="C80" s="25">
        <v>0</v>
      </c>
      <c r="D80" s="25">
        <v>0</v>
      </c>
      <c r="E80" s="25">
        <v>0</v>
      </c>
      <c r="F80" s="26">
        <v>0</v>
      </c>
      <c r="G80" s="38"/>
      <c r="H80" s="38"/>
      <c r="I80" s="38"/>
      <c r="J80" s="38"/>
      <c r="K80" s="39"/>
    </row>
    <row r="81" spans="1:11" ht="15.6">
      <c r="A81" s="317" t="s">
        <v>277</v>
      </c>
      <c r="B81" s="24"/>
      <c r="C81" s="107">
        <f t="shared" ref="C81:F81" si="45">-C75/(0.5*SUM((B49:C49),B54:C54,B59:C59,B64:C64))</f>
        <v>4.8683404776484987E-2</v>
      </c>
      <c r="D81" s="107">
        <f t="shared" si="45"/>
        <v>3.790897956803204E-2</v>
      </c>
      <c r="E81" s="107">
        <f t="shared" si="45"/>
        <v>5.8990944372574385E-2</v>
      </c>
      <c r="F81" s="108">
        <f t="shared" si="45"/>
        <v>5.5421611297241449E-2</v>
      </c>
      <c r="G81" s="38"/>
      <c r="H81" s="38"/>
      <c r="I81" s="38"/>
      <c r="J81" s="38"/>
      <c r="K81" s="39"/>
    </row>
    <row r="82" spans="1:11" ht="15.6">
      <c r="A82" s="317" t="s">
        <v>278</v>
      </c>
      <c r="B82" s="24"/>
      <c r="C82" s="319">
        <f t="shared" ref="C82:F82" si="46">C51/C52</f>
        <v>7.1283783783783781</v>
      </c>
      <c r="D82" s="319">
        <f t="shared" si="46"/>
        <v>6.5293501048218046</v>
      </c>
      <c r="E82" s="319">
        <f t="shared" si="46"/>
        <v>3.2463036422646945</v>
      </c>
      <c r="F82" s="320">
        <f t="shared" si="46"/>
        <v>3.6960167714884706</v>
      </c>
      <c r="G82" s="38"/>
      <c r="H82" s="38"/>
      <c r="I82" s="38"/>
      <c r="J82" s="38"/>
      <c r="K82" s="39"/>
    </row>
    <row r="83" spans="1:11" ht="15.6">
      <c r="A83" s="317" t="s">
        <v>279</v>
      </c>
      <c r="B83" s="24"/>
      <c r="C83" s="107">
        <f t="shared" ref="C83:F83" si="47">-C51/C49</f>
        <v>0.32264970334577037</v>
      </c>
      <c r="D83" s="107">
        <f t="shared" si="47"/>
        <v>0.17827194413439798</v>
      </c>
      <c r="E83" s="107">
        <f t="shared" si="47"/>
        <v>0.14661476571279664</v>
      </c>
      <c r="F83" s="108">
        <f t="shared" si="47"/>
        <v>0.18799890317469989</v>
      </c>
      <c r="G83" s="38"/>
      <c r="H83" s="38"/>
      <c r="I83" s="38"/>
      <c r="J83" s="38"/>
      <c r="K83" s="39"/>
    </row>
    <row r="84" spans="1:11" ht="15.6">
      <c r="A84" s="321" t="s">
        <v>220</v>
      </c>
      <c r="B84" s="124"/>
      <c r="C84" s="322">
        <f t="shared" ref="C84:F84" si="48">-C49/C52</f>
        <v>22.093243243243244</v>
      </c>
      <c r="D84" s="322">
        <f t="shared" si="48"/>
        <v>36.625786163522022</v>
      </c>
      <c r="E84" s="322">
        <f t="shared" si="48"/>
        <v>22.141723764875579</v>
      </c>
      <c r="F84" s="323">
        <f t="shared" si="48"/>
        <v>19.659778376759515</v>
      </c>
      <c r="G84" s="324"/>
      <c r="H84" s="324"/>
      <c r="I84" s="324"/>
      <c r="J84" s="324"/>
      <c r="K84" s="325"/>
    </row>
    <row r="85" spans="1:11" ht="15.6">
      <c r="A85" s="326"/>
      <c r="B85" s="52"/>
      <c r="C85" s="52"/>
      <c r="D85" s="52"/>
      <c r="E85" s="52"/>
      <c r="F85" s="52"/>
      <c r="G85" s="52"/>
      <c r="H85" s="52"/>
      <c r="I85" s="52"/>
      <c r="J85" s="52"/>
      <c r="K85" s="52"/>
    </row>
    <row r="86" spans="1:11" ht="15.6">
      <c r="A86" s="327"/>
      <c r="B86" s="6"/>
      <c r="C86" s="6"/>
      <c r="D86" s="6"/>
      <c r="E86" s="6"/>
      <c r="F86" s="6"/>
      <c r="G86" s="6"/>
      <c r="H86" s="6"/>
      <c r="I86" s="6"/>
      <c r="J86" s="6"/>
      <c r="K86" s="6"/>
    </row>
    <row r="87" spans="1:11" ht="15.6">
      <c r="A87" s="327"/>
      <c r="B87" s="6"/>
      <c r="C87" s="6"/>
      <c r="D87" s="6"/>
      <c r="E87" s="6"/>
      <c r="F87" s="6"/>
      <c r="G87" s="6"/>
      <c r="H87" s="6"/>
      <c r="I87" s="6"/>
      <c r="J87" s="6"/>
      <c r="K87" s="6"/>
    </row>
    <row r="88" spans="1:11" ht="15.6">
      <c r="A88" s="327"/>
      <c r="B88" s="6"/>
      <c r="C88" s="6"/>
      <c r="D88" s="6"/>
      <c r="E88" s="6"/>
      <c r="F88" s="6"/>
      <c r="G88" s="6"/>
      <c r="H88" s="6"/>
      <c r="I88" s="6"/>
      <c r="J88" s="6"/>
      <c r="K88" s="6"/>
    </row>
    <row r="89" spans="1:11" ht="15.6">
      <c r="A89" s="327"/>
      <c r="B89" s="6"/>
      <c r="C89" s="6"/>
      <c r="D89" s="6"/>
      <c r="E89" s="6"/>
      <c r="F89" s="6"/>
      <c r="G89" s="6"/>
      <c r="H89" s="6"/>
      <c r="I89" s="6"/>
      <c r="J89" s="6"/>
      <c r="K89" s="6"/>
    </row>
    <row r="90" spans="1:11" ht="15.6">
      <c r="A90" s="327"/>
      <c r="B90" s="6"/>
      <c r="C90" s="6"/>
      <c r="D90" s="6"/>
      <c r="E90" s="6"/>
      <c r="F90" s="6"/>
      <c r="G90" s="6"/>
      <c r="H90" s="6"/>
      <c r="I90" s="6"/>
      <c r="J90" s="6"/>
      <c r="K90" s="6"/>
    </row>
    <row r="91" spans="1:11" ht="15.6">
      <c r="A91" s="327"/>
      <c r="B91" s="6"/>
      <c r="C91" s="6"/>
      <c r="D91" s="6"/>
      <c r="E91" s="6"/>
      <c r="F91" s="6"/>
      <c r="G91" s="6"/>
      <c r="H91" s="6"/>
      <c r="I91" s="6"/>
      <c r="J91" s="6"/>
      <c r="K91" s="6"/>
    </row>
    <row r="92" spans="1:11" ht="15.6">
      <c r="A92" s="327"/>
      <c r="B92" s="6"/>
      <c r="C92" s="6"/>
      <c r="D92" s="6"/>
      <c r="E92" s="6"/>
      <c r="F92" s="6"/>
      <c r="G92" s="6"/>
      <c r="H92" s="6"/>
      <c r="I92" s="6"/>
      <c r="J92" s="6"/>
      <c r="K92" s="6"/>
    </row>
    <row r="93" spans="1:11" ht="15.6">
      <c r="A93" s="327"/>
      <c r="B93" s="6"/>
      <c r="C93" s="6"/>
      <c r="D93" s="6"/>
      <c r="E93" s="6"/>
      <c r="F93" s="6"/>
      <c r="G93" s="6"/>
      <c r="H93" s="6"/>
      <c r="I93" s="6"/>
      <c r="J93" s="6"/>
      <c r="K93" s="6"/>
    </row>
    <row r="94" spans="1:11" ht="15.6">
      <c r="A94" s="327"/>
      <c r="B94" s="6"/>
      <c r="C94" s="6"/>
      <c r="D94" s="6"/>
      <c r="E94" s="6"/>
      <c r="F94" s="6"/>
      <c r="G94" s="6"/>
      <c r="H94" s="6"/>
      <c r="I94" s="6"/>
      <c r="J94" s="6"/>
      <c r="K94" s="6"/>
    </row>
    <row r="95" spans="1:11" ht="15.6">
      <c r="A95" s="327"/>
      <c r="B95" s="6"/>
      <c r="C95" s="6"/>
      <c r="D95" s="6"/>
      <c r="E95" s="6"/>
      <c r="F95" s="6"/>
      <c r="G95" s="6"/>
      <c r="H95" s="6"/>
      <c r="I95" s="6"/>
      <c r="J95" s="6"/>
      <c r="K95" s="6"/>
    </row>
    <row r="96" spans="1:11" ht="15.6">
      <c r="A96" s="327"/>
      <c r="B96" s="6"/>
      <c r="C96" s="6"/>
      <c r="D96" s="6"/>
      <c r="E96" s="6"/>
      <c r="F96" s="6"/>
      <c r="G96" s="6"/>
      <c r="H96" s="6"/>
      <c r="I96" s="6"/>
      <c r="J96" s="6"/>
      <c r="K96" s="6"/>
    </row>
    <row r="97" spans="1:11" ht="15.6">
      <c r="A97" s="327"/>
      <c r="B97" s="6"/>
      <c r="C97" s="6"/>
      <c r="D97" s="6"/>
      <c r="E97" s="6"/>
      <c r="F97" s="6"/>
      <c r="G97" s="6"/>
      <c r="H97" s="6"/>
      <c r="I97" s="6"/>
      <c r="J97" s="6"/>
      <c r="K97" s="6"/>
    </row>
    <row r="98" spans="1:11" ht="15.6">
      <c r="A98" s="327"/>
      <c r="B98" s="6"/>
      <c r="C98" s="6"/>
      <c r="D98" s="6"/>
      <c r="E98" s="6"/>
      <c r="F98" s="6"/>
      <c r="G98" s="6"/>
      <c r="H98" s="6"/>
      <c r="I98" s="6"/>
      <c r="J98" s="6"/>
      <c r="K98" s="6"/>
    </row>
    <row r="99" spans="1:11" ht="15.6">
      <c r="A99" s="327"/>
      <c r="B99" s="6"/>
      <c r="C99" s="6"/>
      <c r="D99" s="6"/>
      <c r="E99" s="6"/>
      <c r="F99" s="6"/>
      <c r="G99" s="6"/>
      <c r="H99" s="6"/>
      <c r="I99" s="6"/>
      <c r="J99" s="6"/>
      <c r="K99" s="6"/>
    </row>
    <row r="100" spans="1:11" ht="15.6">
      <c r="A100" s="327"/>
      <c r="B100" s="6"/>
      <c r="C100" s="6"/>
      <c r="D100" s="6"/>
      <c r="E100" s="6"/>
      <c r="F100" s="6"/>
      <c r="G100" s="6"/>
      <c r="H100" s="6"/>
      <c r="I100" s="6"/>
      <c r="J100" s="6"/>
      <c r="K100" s="6"/>
    </row>
    <row r="101" spans="1:11" ht="15.6">
      <c r="A101" s="327"/>
      <c r="B101" s="6"/>
      <c r="C101" s="6"/>
      <c r="D101" s="6"/>
      <c r="E101" s="6"/>
      <c r="F101" s="6"/>
      <c r="G101" s="6"/>
      <c r="H101" s="6"/>
      <c r="I101" s="6"/>
      <c r="J101" s="6"/>
      <c r="K101" s="6"/>
    </row>
    <row r="102" spans="1:11" ht="15.6">
      <c r="A102" s="327"/>
      <c r="B102" s="6"/>
      <c r="C102" s="6"/>
      <c r="D102" s="6"/>
      <c r="E102" s="6"/>
      <c r="F102" s="6"/>
      <c r="G102" s="6"/>
      <c r="H102" s="6"/>
      <c r="I102" s="6"/>
      <c r="J102" s="6"/>
      <c r="K102" s="6"/>
    </row>
    <row r="103" spans="1:11" ht="15.6">
      <c r="A103" s="327"/>
      <c r="B103" s="6"/>
      <c r="C103" s="6"/>
      <c r="D103" s="6"/>
      <c r="E103" s="6"/>
      <c r="F103" s="6"/>
      <c r="G103" s="6"/>
      <c r="H103" s="6"/>
      <c r="I103" s="6"/>
      <c r="J103" s="6"/>
      <c r="K103" s="6"/>
    </row>
    <row r="104" spans="1:11" ht="15.6">
      <c r="A104" s="327"/>
      <c r="B104" s="6"/>
      <c r="C104" s="6"/>
      <c r="D104" s="6"/>
      <c r="E104" s="6"/>
      <c r="F104" s="6"/>
      <c r="G104" s="6"/>
      <c r="H104" s="6"/>
      <c r="I104" s="6"/>
      <c r="J104" s="6"/>
      <c r="K104" s="6"/>
    </row>
    <row r="105" spans="1:11" ht="15.6">
      <c r="A105" s="327"/>
      <c r="B105" s="6"/>
      <c r="C105" s="6"/>
      <c r="D105" s="6"/>
      <c r="E105" s="6"/>
      <c r="F105" s="6"/>
      <c r="G105" s="6"/>
      <c r="H105" s="6"/>
      <c r="I105" s="6"/>
      <c r="J105" s="6"/>
      <c r="K105" s="6"/>
    </row>
    <row r="106" spans="1:11" ht="15.6">
      <c r="A106" s="327"/>
      <c r="B106" s="6"/>
      <c r="C106" s="6"/>
      <c r="D106" s="6"/>
      <c r="E106" s="6"/>
      <c r="F106" s="6"/>
      <c r="G106" s="6"/>
      <c r="H106" s="6"/>
      <c r="I106" s="6"/>
      <c r="J106" s="6"/>
      <c r="K106" s="6"/>
    </row>
    <row r="107" spans="1:11" ht="15.6">
      <c r="A107" s="327"/>
      <c r="B107" s="6"/>
      <c r="C107" s="6"/>
      <c r="D107" s="6"/>
      <c r="E107" s="6"/>
      <c r="F107" s="6"/>
      <c r="G107" s="6"/>
      <c r="H107" s="6"/>
      <c r="I107" s="6"/>
      <c r="J107" s="6"/>
      <c r="K107" s="6"/>
    </row>
    <row r="108" spans="1:11" ht="15.6">
      <c r="A108" s="327"/>
      <c r="B108" s="6"/>
      <c r="C108" s="6"/>
      <c r="D108" s="6"/>
      <c r="E108" s="6"/>
      <c r="F108" s="6"/>
      <c r="G108" s="6"/>
      <c r="H108" s="6"/>
      <c r="I108" s="6"/>
      <c r="J108" s="6"/>
      <c r="K108" s="6"/>
    </row>
    <row r="109" spans="1:11" ht="15.6">
      <c r="A109" s="327"/>
      <c r="B109" s="6"/>
      <c r="C109" s="6"/>
      <c r="D109" s="6"/>
      <c r="E109" s="6"/>
      <c r="F109" s="6"/>
      <c r="G109" s="6"/>
      <c r="H109" s="6"/>
      <c r="I109" s="6"/>
      <c r="J109" s="6"/>
      <c r="K109" s="6"/>
    </row>
    <row r="110" spans="1:11" ht="15.6">
      <c r="A110" s="327"/>
      <c r="B110" s="6"/>
      <c r="C110" s="6"/>
      <c r="D110" s="6"/>
      <c r="E110" s="6"/>
      <c r="F110" s="6"/>
      <c r="G110" s="6"/>
      <c r="H110" s="6"/>
      <c r="I110" s="6"/>
      <c r="J110" s="6"/>
      <c r="K110" s="6"/>
    </row>
    <row r="111" spans="1:11" ht="15.6">
      <c r="A111" s="327"/>
      <c r="B111" s="6"/>
      <c r="C111" s="6"/>
      <c r="D111" s="6"/>
      <c r="E111" s="6"/>
      <c r="F111" s="6"/>
      <c r="G111" s="6"/>
      <c r="H111" s="6"/>
      <c r="I111" s="6"/>
      <c r="J111" s="6"/>
      <c r="K111" s="6"/>
    </row>
    <row r="112" spans="1:11" ht="15.6">
      <c r="A112" s="327"/>
      <c r="B112" s="6"/>
      <c r="C112" s="6"/>
      <c r="D112" s="6"/>
      <c r="E112" s="6"/>
      <c r="F112" s="6"/>
      <c r="G112" s="6"/>
      <c r="H112" s="6"/>
      <c r="I112" s="6"/>
      <c r="J112" s="6"/>
      <c r="K112" s="6"/>
    </row>
    <row r="113" spans="1:11" ht="15.6">
      <c r="A113" s="327"/>
      <c r="B113" s="6"/>
      <c r="C113" s="6"/>
      <c r="D113" s="6"/>
      <c r="E113" s="6"/>
      <c r="F113" s="6"/>
      <c r="G113" s="6"/>
      <c r="H113" s="6"/>
      <c r="I113" s="6"/>
      <c r="J113" s="6"/>
      <c r="K113" s="6"/>
    </row>
    <row r="114" spans="1:11" ht="15.6">
      <c r="A114" s="327"/>
      <c r="B114" s="6"/>
      <c r="C114" s="6"/>
      <c r="D114" s="6"/>
      <c r="E114" s="6"/>
      <c r="F114" s="6"/>
      <c r="G114" s="6"/>
      <c r="H114" s="6"/>
      <c r="I114" s="6"/>
      <c r="J114" s="6"/>
      <c r="K114" s="6"/>
    </row>
    <row r="115" spans="1:11" ht="15.6">
      <c r="A115" s="327"/>
      <c r="B115" s="6"/>
      <c r="C115" s="6"/>
      <c r="D115" s="6"/>
      <c r="E115" s="6"/>
      <c r="F115" s="6"/>
      <c r="G115" s="6"/>
      <c r="H115" s="6"/>
      <c r="I115" s="6"/>
      <c r="J115" s="6"/>
      <c r="K115" s="6"/>
    </row>
    <row r="116" spans="1:11" ht="15.6">
      <c r="A116" s="327"/>
      <c r="B116" s="6"/>
      <c r="C116" s="6"/>
      <c r="D116" s="6"/>
      <c r="E116" s="6"/>
      <c r="F116" s="6"/>
      <c r="G116" s="6"/>
      <c r="H116" s="6"/>
      <c r="I116" s="6"/>
      <c r="J116" s="6"/>
      <c r="K116" s="6"/>
    </row>
    <row r="117" spans="1:11" ht="15.6">
      <c r="A117" s="327"/>
      <c r="B117" s="6"/>
      <c r="C117" s="6"/>
      <c r="D117" s="6"/>
      <c r="E117" s="6"/>
      <c r="F117" s="6"/>
      <c r="G117" s="6"/>
      <c r="H117" s="6"/>
      <c r="I117" s="6"/>
      <c r="J117" s="6"/>
      <c r="K117" s="6"/>
    </row>
    <row r="118" spans="1:11" ht="15.6">
      <c r="A118" s="327"/>
      <c r="B118" s="6"/>
      <c r="C118" s="6"/>
      <c r="D118" s="6"/>
      <c r="E118" s="6"/>
      <c r="F118" s="6"/>
      <c r="G118" s="6"/>
      <c r="H118" s="6"/>
      <c r="I118" s="6"/>
      <c r="J118" s="6"/>
      <c r="K118" s="6"/>
    </row>
    <row r="119" spans="1:11" ht="15.6">
      <c r="A119" s="327"/>
      <c r="B119" s="6"/>
      <c r="C119" s="6"/>
      <c r="D119" s="6"/>
      <c r="E119" s="6"/>
      <c r="F119" s="6"/>
      <c r="G119" s="6"/>
      <c r="H119" s="6"/>
      <c r="I119" s="6"/>
      <c r="J119" s="6"/>
      <c r="K119" s="6"/>
    </row>
    <row r="120" spans="1:11" ht="15.6">
      <c r="A120" s="327"/>
      <c r="B120" s="6"/>
      <c r="C120" s="6"/>
      <c r="D120" s="6"/>
      <c r="E120" s="6"/>
      <c r="F120" s="6"/>
      <c r="G120" s="6"/>
      <c r="H120" s="6"/>
      <c r="I120" s="6"/>
      <c r="J120" s="6"/>
      <c r="K120" s="6"/>
    </row>
    <row r="121" spans="1:11" ht="15.6">
      <c r="A121" s="327"/>
      <c r="B121" s="6"/>
      <c r="C121" s="6"/>
      <c r="D121" s="6"/>
      <c r="E121" s="6"/>
      <c r="F121" s="6"/>
      <c r="G121" s="6"/>
      <c r="H121" s="6"/>
      <c r="I121" s="6"/>
      <c r="J121" s="6"/>
      <c r="K121" s="6"/>
    </row>
    <row r="122" spans="1:11" ht="15.6">
      <c r="A122" s="327"/>
      <c r="B122" s="6"/>
      <c r="C122" s="6"/>
      <c r="D122" s="6"/>
      <c r="E122" s="6"/>
      <c r="F122" s="6"/>
      <c r="G122" s="6"/>
      <c r="H122" s="6"/>
      <c r="I122" s="6"/>
      <c r="J122" s="6"/>
      <c r="K122" s="6"/>
    </row>
    <row r="123" spans="1:11" ht="15.6">
      <c r="A123" s="327"/>
      <c r="B123" s="6"/>
      <c r="C123" s="6"/>
      <c r="D123" s="6"/>
      <c r="E123" s="6"/>
      <c r="F123" s="6"/>
      <c r="G123" s="6"/>
      <c r="H123" s="6"/>
      <c r="I123" s="6"/>
      <c r="J123" s="6"/>
      <c r="K123" s="6"/>
    </row>
    <row r="124" spans="1:11" ht="15.6">
      <c r="A124" s="327"/>
      <c r="B124" s="6"/>
      <c r="C124" s="6"/>
      <c r="D124" s="6"/>
      <c r="E124" s="6"/>
      <c r="F124" s="6"/>
      <c r="G124" s="6"/>
      <c r="H124" s="6"/>
      <c r="I124" s="6"/>
      <c r="J124" s="6"/>
      <c r="K124" s="6"/>
    </row>
    <row r="125" spans="1:11" ht="15.6">
      <c r="A125" s="327"/>
      <c r="B125" s="6"/>
      <c r="C125" s="6"/>
      <c r="D125" s="6"/>
      <c r="E125" s="6"/>
      <c r="F125" s="6"/>
      <c r="G125" s="6"/>
      <c r="H125" s="6"/>
      <c r="I125" s="6"/>
      <c r="J125" s="6"/>
      <c r="K125" s="6"/>
    </row>
    <row r="126" spans="1:11" ht="15.6">
      <c r="A126" s="327"/>
      <c r="B126" s="6"/>
      <c r="C126" s="6"/>
      <c r="D126" s="6"/>
      <c r="E126" s="6"/>
      <c r="F126" s="6"/>
      <c r="G126" s="6"/>
      <c r="H126" s="6"/>
      <c r="I126" s="6"/>
      <c r="J126" s="6"/>
      <c r="K126" s="6"/>
    </row>
    <row r="127" spans="1:11" ht="15.6">
      <c r="A127" s="327"/>
      <c r="B127" s="6"/>
      <c r="C127" s="6"/>
      <c r="D127" s="6"/>
      <c r="E127" s="6"/>
      <c r="F127" s="6"/>
      <c r="G127" s="6"/>
      <c r="H127" s="6"/>
      <c r="I127" s="6"/>
      <c r="J127" s="6"/>
      <c r="K127" s="6"/>
    </row>
    <row r="128" spans="1:11" ht="15.6">
      <c r="A128" s="327"/>
      <c r="B128" s="6"/>
      <c r="C128" s="6"/>
      <c r="D128" s="6"/>
      <c r="E128" s="6"/>
      <c r="F128" s="6"/>
      <c r="G128" s="6"/>
      <c r="H128" s="6"/>
      <c r="I128" s="6"/>
      <c r="J128" s="6"/>
      <c r="K128" s="6"/>
    </row>
    <row r="129" spans="1:11" ht="15.6">
      <c r="A129" s="327"/>
      <c r="B129" s="6"/>
      <c r="C129" s="6"/>
      <c r="D129" s="6"/>
      <c r="E129" s="6"/>
      <c r="F129" s="6"/>
      <c r="G129" s="6"/>
      <c r="H129" s="6"/>
      <c r="I129" s="6"/>
      <c r="J129" s="6"/>
      <c r="K129" s="6"/>
    </row>
    <row r="130" spans="1:11" ht="15.6">
      <c r="A130" s="327"/>
      <c r="B130" s="6"/>
      <c r="C130" s="6"/>
      <c r="D130" s="6"/>
      <c r="E130" s="6"/>
      <c r="F130" s="6"/>
      <c r="G130" s="6"/>
      <c r="H130" s="6"/>
      <c r="I130" s="6"/>
      <c r="J130" s="6"/>
      <c r="K130" s="6"/>
    </row>
    <row r="131" spans="1:11" ht="15.6">
      <c r="A131" s="327"/>
      <c r="B131" s="6"/>
      <c r="C131" s="6"/>
      <c r="D131" s="6"/>
      <c r="E131" s="6"/>
      <c r="F131" s="6"/>
      <c r="G131" s="6"/>
      <c r="H131" s="6"/>
      <c r="I131" s="6"/>
      <c r="J131" s="6"/>
      <c r="K131" s="6"/>
    </row>
    <row r="132" spans="1:11" ht="15.6">
      <c r="A132" s="327"/>
      <c r="B132" s="6"/>
      <c r="C132" s="6"/>
      <c r="D132" s="6"/>
      <c r="E132" s="6"/>
      <c r="F132" s="6"/>
      <c r="G132" s="6"/>
      <c r="H132" s="6"/>
      <c r="I132" s="6"/>
      <c r="J132" s="6"/>
      <c r="K132" s="6"/>
    </row>
    <row r="133" spans="1:11" ht="15.6">
      <c r="A133" s="327"/>
      <c r="B133" s="6"/>
      <c r="C133" s="6"/>
      <c r="D133" s="6"/>
      <c r="E133" s="6"/>
      <c r="F133" s="6"/>
      <c r="G133" s="6"/>
      <c r="H133" s="6"/>
      <c r="I133" s="6"/>
      <c r="J133" s="6"/>
      <c r="K133" s="6"/>
    </row>
    <row r="134" spans="1:11" ht="15.6">
      <c r="A134" s="327"/>
      <c r="B134" s="6"/>
      <c r="C134" s="6"/>
      <c r="D134" s="6"/>
      <c r="E134" s="6"/>
      <c r="F134" s="6"/>
      <c r="G134" s="6"/>
      <c r="H134" s="6"/>
      <c r="I134" s="6"/>
      <c r="J134" s="6"/>
      <c r="K134" s="6"/>
    </row>
    <row r="135" spans="1:11" ht="15.6">
      <c r="A135" s="327"/>
      <c r="B135" s="6"/>
      <c r="C135" s="6"/>
      <c r="D135" s="6"/>
      <c r="E135" s="6"/>
      <c r="F135" s="6"/>
      <c r="G135" s="6"/>
      <c r="H135" s="6"/>
      <c r="I135" s="6"/>
      <c r="J135" s="6"/>
      <c r="K135" s="6"/>
    </row>
    <row r="136" spans="1:11" ht="15.6">
      <c r="A136" s="327"/>
      <c r="B136" s="6"/>
      <c r="C136" s="6"/>
      <c r="D136" s="6"/>
      <c r="E136" s="6"/>
      <c r="F136" s="6"/>
      <c r="G136" s="6"/>
      <c r="H136" s="6"/>
      <c r="I136" s="6"/>
      <c r="J136" s="6"/>
      <c r="K136" s="6"/>
    </row>
    <row r="137" spans="1:11" ht="15.6">
      <c r="A137" s="327"/>
      <c r="B137" s="6"/>
      <c r="C137" s="6"/>
      <c r="D137" s="6"/>
      <c r="E137" s="6"/>
      <c r="F137" s="6"/>
      <c r="G137" s="6"/>
      <c r="H137" s="6"/>
      <c r="I137" s="6"/>
      <c r="J137" s="6"/>
      <c r="K137" s="6"/>
    </row>
    <row r="138" spans="1:11" ht="15.6">
      <c r="A138" s="327"/>
      <c r="B138" s="6"/>
      <c r="C138" s="6"/>
      <c r="D138" s="6"/>
      <c r="E138" s="6"/>
      <c r="F138" s="6"/>
      <c r="G138" s="6"/>
      <c r="H138" s="6"/>
      <c r="I138" s="6"/>
      <c r="J138" s="6"/>
      <c r="K138" s="6"/>
    </row>
    <row r="139" spans="1:11" ht="15.6">
      <c r="A139" s="327"/>
      <c r="B139" s="6"/>
      <c r="C139" s="6"/>
      <c r="D139" s="6"/>
      <c r="E139" s="6"/>
      <c r="F139" s="6"/>
      <c r="G139" s="6"/>
      <c r="H139" s="6"/>
      <c r="I139" s="6"/>
      <c r="J139" s="6"/>
      <c r="K139" s="6"/>
    </row>
    <row r="140" spans="1:11" ht="15.6">
      <c r="A140" s="327"/>
      <c r="B140" s="6"/>
      <c r="C140" s="6"/>
      <c r="D140" s="6"/>
      <c r="E140" s="6"/>
      <c r="F140" s="6"/>
      <c r="G140" s="6"/>
      <c r="H140" s="6"/>
      <c r="I140" s="6"/>
      <c r="J140" s="6"/>
      <c r="K140" s="6"/>
    </row>
    <row r="141" spans="1:11" ht="15.6">
      <c r="A141" s="327"/>
      <c r="B141" s="6"/>
      <c r="C141" s="6"/>
      <c r="D141" s="6"/>
      <c r="E141" s="6"/>
      <c r="F141" s="6"/>
      <c r="G141" s="6"/>
      <c r="H141" s="6"/>
      <c r="I141" s="6"/>
      <c r="J141" s="6"/>
      <c r="K141" s="6"/>
    </row>
    <row r="142" spans="1:11" ht="15.6">
      <c r="A142" s="327"/>
      <c r="B142" s="6"/>
      <c r="C142" s="6"/>
      <c r="D142" s="6"/>
      <c r="E142" s="6"/>
      <c r="F142" s="6"/>
      <c r="G142" s="6"/>
      <c r="H142" s="6"/>
      <c r="I142" s="6"/>
      <c r="J142" s="6"/>
      <c r="K142" s="6"/>
    </row>
    <row r="143" spans="1:11" ht="15.6">
      <c r="A143" s="327"/>
      <c r="B143" s="6"/>
      <c r="C143" s="6"/>
      <c r="D143" s="6"/>
      <c r="E143" s="6"/>
      <c r="F143" s="6"/>
      <c r="G143" s="6"/>
      <c r="H143" s="6"/>
      <c r="I143" s="6"/>
      <c r="J143" s="6"/>
      <c r="K143" s="6"/>
    </row>
    <row r="144" spans="1:11" ht="15.6">
      <c r="A144" s="327"/>
      <c r="B144" s="6"/>
      <c r="C144" s="6"/>
      <c r="D144" s="6"/>
      <c r="E144" s="6"/>
      <c r="F144" s="6"/>
      <c r="G144" s="6"/>
      <c r="H144" s="6"/>
      <c r="I144" s="6"/>
      <c r="J144" s="6"/>
      <c r="K144" s="6"/>
    </row>
    <row r="145" spans="1:11" ht="15.6">
      <c r="A145" s="327"/>
      <c r="B145" s="6"/>
      <c r="C145" s="6"/>
      <c r="D145" s="6"/>
      <c r="E145" s="6"/>
      <c r="F145" s="6"/>
      <c r="G145" s="6"/>
      <c r="H145" s="6"/>
      <c r="I145" s="6"/>
      <c r="J145" s="6"/>
      <c r="K145" s="6"/>
    </row>
    <row r="146" spans="1:11" ht="15.6">
      <c r="A146" s="327"/>
      <c r="B146" s="6"/>
      <c r="C146" s="6"/>
      <c r="D146" s="6"/>
      <c r="E146" s="6"/>
      <c r="F146" s="6"/>
      <c r="G146" s="6"/>
      <c r="H146" s="6"/>
      <c r="I146" s="6"/>
      <c r="J146" s="6"/>
      <c r="K146" s="6"/>
    </row>
    <row r="147" spans="1:11" ht="15.6">
      <c r="A147" s="327"/>
      <c r="B147" s="6"/>
      <c r="C147" s="6"/>
      <c r="D147" s="6"/>
      <c r="E147" s="6"/>
      <c r="F147" s="6"/>
      <c r="G147" s="6"/>
      <c r="H147" s="6"/>
      <c r="I147" s="6"/>
      <c r="J147" s="6"/>
      <c r="K147" s="6"/>
    </row>
    <row r="148" spans="1:11" ht="15.6">
      <c r="A148" s="327"/>
      <c r="B148" s="6"/>
      <c r="C148" s="6"/>
      <c r="D148" s="6"/>
      <c r="E148" s="6"/>
      <c r="F148" s="6"/>
      <c r="G148" s="6"/>
      <c r="H148" s="6"/>
      <c r="I148" s="6"/>
      <c r="J148" s="6"/>
      <c r="K148" s="6"/>
    </row>
    <row r="149" spans="1:11" ht="15.6">
      <c r="A149" s="327"/>
      <c r="B149" s="6"/>
      <c r="C149" s="6"/>
      <c r="D149" s="6"/>
      <c r="E149" s="6"/>
      <c r="F149" s="6"/>
      <c r="G149" s="6"/>
      <c r="H149" s="6"/>
      <c r="I149" s="6"/>
      <c r="J149" s="6"/>
      <c r="K149" s="6"/>
    </row>
    <row r="150" spans="1:11" ht="15.6">
      <c r="A150" s="327"/>
      <c r="B150" s="6"/>
      <c r="C150" s="6"/>
      <c r="D150" s="6"/>
      <c r="E150" s="6"/>
      <c r="F150" s="6"/>
      <c r="G150" s="6"/>
      <c r="H150" s="6"/>
      <c r="I150" s="6"/>
      <c r="J150" s="6"/>
      <c r="K150" s="6"/>
    </row>
    <row r="151" spans="1:11" ht="15.6">
      <c r="A151" s="327"/>
      <c r="B151" s="6"/>
      <c r="C151" s="6"/>
      <c r="D151" s="6"/>
      <c r="E151" s="6"/>
      <c r="F151" s="6"/>
      <c r="G151" s="6"/>
      <c r="H151" s="6"/>
      <c r="I151" s="6"/>
      <c r="J151" s="6"/>
      <c r="K151" s="6"/>
    </row>
    <row r="152" spans="1:11" ht="15.6">
      <c r="A152" s="327"/>
      <c r="B152" s="6"/>
      <c r="C152" s="6"/>
      <c r="D152" s="6"/>
      <c r="E152" s="6"/>
      <c r="F152" s="6"/>
      <c r="G152" s="6"/>
      <c r="H152" s="6"/>
      <c r="I152" s="6"/>
      <c r="J152" s="6"/>
      <c r="K152" s="6"/>
    </row>
    <row r="153" spans="1:11" ht="15.6">
      <c r="A153" s="327"/>
      <c r="B153" s="6"/>
      <c r="C153" s="6"/>
      <c r="D153" s="6"/>
      <c r="E153" s="6"/>
      <c r="F153" s="6"/>
      <c r="G153" s="6"/>
      <c r="H153" s="6"/>
      <c r="I153" s="6"/>
      <c r="J153" s="6"/>
      <c r="K153" s="6"/>
    </row>
    <row r="154" spans="1:11" ht="15.6">
      <c r="A154" s="327"/>
      <c r="B154" s="6"/>
      <c r="C154" s="6"/>
      <c r="D154" s="6"/>
      <c r="E154" s="6"/>
      <c r="F154" s="6"/>
      <c r="G154" s="6"/>
      <c r="H154" s="6"/>
      <c r="I154" s="6"/>
      <c r="J154" s="6"/>
      <c r="K154" s="6"/>
    </row>
    <row r="155" spans="1:11" ht="15.6">
      <c r="A155" s="327"/>
      <c r="B155" s="6"/>
      <c r="C155" s="6"/>
      <c r="D155" s="6"/>
      <c r="E155" s="6"/>
      <c r="F155" s="6"/>
      <c r="G155" s="6"/>
      <c r="H155" s="6"/>
      <c r="I155" s="6"/>
      <c r="J155" s="6"/>
      <c r="K155" s="6"/>
    </row>
    <row r="156" spans="1:11" ht="15.6">
      <c r="A156" s="327"/>
      <c r="B156" s="6"/>
      <c r="C156" s="6"/>
      <c r="D156" s="6"/>
      <c r="E156" s="6"/>
      <c r="F156" s="6"/>
      <c r="G156" s="6"/>
      <c r="H156" s="6"/>
      <c r="I156" s="6"/>
      <c r="J156" s="6"/>
      <c r="K156" s="6"/>
    </row>
    <row r="157" spans="1:11" ht="15.6">
      <c r="A157" s="327"/>
      <c r="B157" s="6"/>
      <c r="C157" s="6"/>
      <c r="D157" s="6"/>
      <c r="E157" s="6"/>
      <c r="F157" s="6"/>
      <c r="G157" s="6"/>
      <c r="H157" s="6"/>
      <c r="I157" s="6"/>
      <c r="J157" s="6"/>
      <c r="K157" s="6"/>
    </row>
    <row r="158" spans="1:11" ht="15.6">
      <c r="A158" s="327"/>
      <c r="B158" s="6"/>
      <c r="C158" s="6"/>
      <c r="D158" s="6"/>
      <c r="E158" s="6"/>
      <c r="F158" s="6"/>
      <c r="G158" s="6"/>
      <c r="H158" s="6"/>
      <c r="I158" s="6"/>
      <c r="J158" s="6"/>
      <c r="K158" s="6"/>
    </row>
    <row r="159" spans="1:11" ht="15.6">
      <c r="A159" s="327"/>
      <c r="B159" s="6"/>
      <c r="C159" s="6"/>
      <c r="D159" s="6"/>
      <c r="E159" s="6"/>
      <c r="F159" s="6"/>
      <c r="G159" s="6"/>
      <c r="H159" s="6"/>
      <c r="I159" s="6"/>
      <c r="J159" s="6"/>
      <c r="K159" s="6"/>
    </row>
    <row r="160" spans="1:11" ht="15.6">
      <c r="A160" s="327"/>
      <c r="B160" s="6"/>
      <c r="C160" s="6"/>
      <c r="D160" s="6"/>
      <c r="E160" s="6"/>
      <c r="F160" s="6"/>
      <c r="G160" s="6"/>
      <c r="H160" s="6"/>
      <c r="I160" s="6"/>
      <c r="J160" s="6"/>
      <c r="K160" s="6"/>
    </row>
    <row r="161" spans="1:11" ht="15.6">
      <c r="A161" s="327"/>
      <c r="B161" s="6"/>
      <c r="C161" s="6"/>
      <c r="D161" s="6"/>
      <c r="E161" s="6"/>
      <c r="F161" s="6"/>
      <c r="G161" s="6"/>
      <c r="H161" s="6"/>
      <c r="I161" s="6"/>
      <c r="J161" s="6"/>
      <c r="K161" s="6"/>
    </row>
    <row r="162" spans="1:11" ht="15.6">
      <c r="A162" s="327"/>
      <c r="B162" s="6"/>
      <c r="C162" s="6"/>
      <c r="D162" s="6"/>
      <c r="E162" s="6"/>
      <c r="F162" s="6"/>
      <c r="G162" s="6"/>
      <c r="H162" s="6"/>
      <c r="I162" s="6"/>
      <c r="J162" s="6"/>
      <c r="K162" s="6"/>
    </row>
    <row r="163" spans="1:11" ht="15.6">
      <c r="A163" s="327"/>
      <c r="B163" s="6"/>
      <c r="C163" s="6"/>
      <c r="D163" s="6"/>
      <c r="E163" s="6"/>
      <c r="F163" s="6"/>
      <c r="G163" s="6"/>
      <c r="H163" s="6"/>
      <c r="I163" s="6"/>
      <c r="J163" s="6"/>
      <c r="K163" s="6"/>
    </row>
    <row r="164" spans="1:11" ht="15.6">
      <c r="A164" s="327"/>
      <c r="B164" s="6"/>
      <c r="C164" s="6"/>
      <c r="D164" s="6"/>
      <c r="E164" s="6"/>
      <c r="F164" s="6"/>
      <c r="G164" s="6"/>
      <c r="H164" s="6"/>
      <c r="I164" s="6"/>
      <c r="J164" s="6"/>
      <c r="K164" s="6"/>
    </row>
    <row r="165" spans="1:11" ht="15.6">
      <c r="A165" s="327"/>
      <c r="B165" s="6"/>
      <c r="C165" s="6"/>
      <c r="D165" s="6"/>
      <c r="E165" s="6"/>
      <c r="F165" s="6"/>
      <c r="G165" s="6"/>
      <c r="H165" s="6"/>
      <c r="I165" s="6"/>
      <c r="J165" s="6"/>
      <c r="K165" s="6"/>
    </row>
    <row r="166" spans="1:11" ht="15.6">
      <c r="A166" s="327"/>
      <c r="B166" s="6"/>
      <c r="C166" s="6"/>
      <c r="D166" s="6"/>
      <c r="E166" s="6"/>
      <c r="F166" s="6"/>
      <c r="G166" s="6"/>
      <c r="H166" s="6"/>
      <c r="I166" s="6"/>
      <c r="J166" s="6"/>
      <c r="K166" s="6"/>
    </row>
    <row r="167" spans="1:11" ht="15.6">
      <c r="A167" s="327"/>
      <c r="B167" s="6"/>
      <c r="C167" s="6"/>
      <c r="D167" s="6"/>
      <c r="E167" s="6"/>
      <c r="F167" s="6"/>
      <c r="G167" s="6"/>
      <c r="H167" s="6"/>
      <c r="I167" s="6"/>
      <c r="J167" s="6"/>
      <c r="K167" s="6"/>
    </row>
    <row r="168" spans="1:11" ht="15.6">
      <c r="A168" s="327"/>
      <c r="B168" s="6"/>
      <c r="C168" s="6"/>
      <c r="D168" s="6"/>
      <c r="E168" s="6"/>
      <c r="F168" s="6"/>
      <c r="G168" s="6"/>
      <c r="H168" s="6"/>
      <c r="I168" s="6"/>
      <c r="J168" s="6"/>
      <c r="K168" s="6"/>
    </row>
    <row r="169" spans="1:11" ht="15.6">
      <c r="A169" s="327"/>
      <c r="B169" s="6"/>
      <c r="C169" s="6"/>
      <c r="D169" s="6"/>
      <c r="E169" s="6"/>
      <c r="F169" s="6"/>
      <c r="G169" s="6"/>
      <c r="H169" s="6"/>
      <c r="I169" s="6"/>
      <c r="J169" s="6"/>
      <c r="K169" s="6"/>
    </row>
    <row r="170" spans="1:11" ht="15.6">
      <c r="A170" s="327"/>
      <c r="B170" s="6"/>
      <c r="C170" s="6"/>
      <c r="D170" s="6"/>
      <c r="E170" s="6"/>
      <c r="F170" s="6"/>
      <c r="G170" s="6"/>
      <c r="H170" s="6"/>
      <c r="I170" s="6"/>
      <c r="J170" s="6"/>
      <c r="K170" s="6"/>
    </row>
    <row r="171" spans="1:11" ht="15.6">
      <c r="A171" s="327"/>
      <c r="B171" s="6"/>
      <c r="C171" s="6"/>
      <c r="D171" s="6"/>
      <c r="E171" s="6"/>
      <c r="F171" s="6"/>
      <c r="G171" s="6"/>
      <c r="H171" s="6"/>
      <c r="I171" s="6"/>
      <c r="J171" s="6"/>
      <c r="K171" s="6"/>
    </row>
    <row r="172" spans="1:11" ht="15.6">
      <c r="A172" s="327"/>
      <c r="B172" s="6"/>
      <c r="C172" s="6"/>
      <c r="D172" s="6"/>
      <c r="E172" s="6"/>
      <c r="F172" s="6"/>
      <c r="G172" s="6"/>
      <c r="H172" s="6"/>
      <c r="I172" s="6"/>
      <c r="J172" s="6"/>
      <c r="K172" s="6"/>
    </row>
    <row r="173" spans="1:11" ht="15.6">
      <c r="A173" s="327"/>
      <c r="B173" s="6"/>
      <c r="C173" s="6"/>
      <c r="D173" s="6"/>
      <c r="E173" s="6"/>
      <c r="F173" s="6"/>
      <c r="G173" s="6"/>
      <c r="H173" s="6"/>
      <c r="I173" s="6"/>
      <c r="J173" s="6"/>
      <c r="K173" s="6"/>
    </row>
    <row r="174" spans="1:11" ht="15.6">
      <c r="A174" s="327"/>
      <c r="B174" s="6"/>
      <c r="C174" s="6"/>
      <c r="D174" s="6"/>
      <c r="E174" s="6"/>
      <c r="F174" s="6"/>
      <c r="G174" s="6"/>
      <c r="H174" s="6"/>
      <c r="I174" s="6"/>
      <c r="J174" s="6"/>
      <c r="K174" s="6"/>
    </row>
    <row r="175" spans="1:11" ht="15.6">
      <c r="A175" s="327"/>
      <c r="B175" s="6"/>
      <c r="C175" s="6"/>
      <c r="D175" s="6"/>
      <c r="E175" s="6"/>
      <c r="F175" s="6"/>
      <c r="G175" s="6"/>
      <c r="H175" s="6"/>
      <c r="I175" s="6"/>
      <c r="J175" s="6"/>
      <c r="K175" s="6"/>
    </row>
    <row r="176" spans="1:11" ht="15.6">
      <c r="A176" s="327"/>
      <c r="B176" s="6"/>
      <c r="C176" s="6"/>
      <c r="D176" s="6"/>
      <c r="E176" s="6"/>
      <c r="F176" s="6"/>
      <c r="G176" s="6"/>
      <c r="H176" s="6"/>
      <c r="I176" s="6"/>
      <c r="J176" s="6"/>
      <c r="K176" s="6"/>
    </row>
    <row r="177" spans="1:11" ht="15.6">
      <c r="A177" s="327"/>
      <c r="B177" s="6"/>
      <c r="C177" s="6"/>
      <c r="D177" s="6"/>
      <c r="E177" s="6"/>
      <c r="F177" s="6"/>
      <c r="G177" s="6"/>
      <c r="H177" s="6"/>
      <c r="I177" s="6"/>
      <c r="J177" s="6"/>
      <c r="K177" s="6"/>
    </row>
    <row r="178" spans="1:11" ht="15.6">
      <c r="A178" s="327"/>
      <c r="B178" s="6"/>
      <c r="C178" s="6"/>
      <c r="D178" s="6"/>
      <c r="E178" s="6"/>
      <c r="F178" s="6"/>
      <c r="G178" s="6"/>
      <c r="H178" s="6"/>
      <c r="I178" s="6"/>
      <c r="J178" s="6"/>
      <c r="K178" s="6"/>
    </row>
    <row r="179" spans="1:11" ht="15.6">
      <c r="A179" s="327"/>
      <c r="B179" s="6"/>
      <c r="C179" s="6"/>
      <c r="D179" s="6"/>
      <c r="E179" s="6"/>
      <c r="F179" s="6"/>
      <c r="G179" s="6"/>
      <c r="H179" s="6"/>
      <c r="I179" s="6"/>
      <c r="J179" s="6"/>
      <c r="K179" s="6"/>
    </row>
    <row r="180" spans="1:11" ht="15.6">
      <c r="A180" s="327"/>
      <c r="B180" s="6"/>
      <c r="C180" s="6"/>
      <c r="D180" s="6"/>
      <c r="E180" s="6"/>
      <c r="F180" s="6"/>
      <c r="G180" s="6"/>
      <c r="H180" s="6"/>
      <c r="I180" s="6"/>
      <c r="J180" s="6"/>
      <c r="K180" s="6"/>
    </row>
    <row r="181" spans="1:11" ht="15.6">
      <c r="A181" s="327"/>
      <c r="B181" s="6"/>
      <c r="C181" s="6"/>
      <c r="D181" s="6"/>
      <c r="E181" s="6"/>
      <c r="F181" s="6"/>
      <c r="G181" s="6"/>
      <c r="H181" s="6"/>
      <c r="I181" s="6"/>
      <c r="J181" s="6"/>
      <c r="K181" s="6"/>
    </row>
    <row r="182" spans="1:11" ht="15.6">
      <c r="A182" s="327"/>
      <c r="B182" s="6"/>
      <c r="C182" s="6"/>
      <c r="D182" s="6"/>
      <c r="E182" s="6"/>
      <c r="F182" s="6"/>
      <c r="G182" s="6"/>
      <c r="H182" s="6"/>
      <c r="I182" s="6"/>
      <c r="J182" s="6"/>
      <c r="K182" s="6"/>
    </row>
    <row r="183" spans="1:11" ht="15.6">
      <c r="A183" s="327"/>
      <c r="B183" s="6"/>
      <c r="C183" s="6"/>
      <c r="D183" s="6"/>
      <c r="E183" s="6"/>
      <c r="F183" s="6"/>
      <c r="G183" s="6"/>
      <c r="H183" s="6"/>
      <c r="I183" s="6"/>
      <c r="J183" s="6"/>
      <c r="K183" s="6"/>
    </row>
    <row r="184" spans="1:11" ht="15.6">
      <c r="A184" s="327"/>
      <c r="B184" s="6"/>
      <c r="C184" s="6"/>
      <c r="D184" s="6"/>
      <c r="E184" s="6"/>
      <c r="F184" s="6"/>
      <c r="G184" s="6"/>
      <c r="H184" s="6"/>
      <c r="I184" s="6"/>
      <c r="J184" s="6"/>
      <c r="K184" s="6"/>
    </row>
    <row r="185" spans="1:11" ht="15.6">
      <c r="A185" s="327"/>
      <c r="B185" s="6"/>
      <c r="C185" s="6"/>
      <c r="D185" s="6"/>
      <c r="E185" s="6"/>
      <c r="F185" s="6"/>
      <c r="G185" s="6"/>
      <c r="H185" s="6"/>
      <c r="I185" s="6"/>
      <c r="J185" s="6"/>
      <c r="K185" s="6"/>
    </row>
    <row r="186" spans="1:11" ht="15.6">
      <c r="A186" s="327"/>
      <c r="B186" s="6"/>
      <c r="C186" s="6"/>
      <c r="D186" s="6"/>
      <c r="E186" s="6"/>
      <c r="F186" s="6"/>
      <c r="G186" s="6"/>
      <c r="H186" s="6"/>
      <c r="I186" s="6"/>
      <c r="J186" s="6"/>
      <c r="K186" s="6"/>
    </row>
    <row r="187" spans="1:11" ht="15.6">
      <c r="A187" s="327"/>
      <c r="B187" s="6"/>
      <c r="C187" s="6"/>
      <c r="D187" s="6"/>
      <c r="E187" s="6"/>
      <c r="F187" s="6"/>
      <c r="G187" s="6"/>
      <c r="H187" s="6"/>
      <c r="I187" s="6"/>
      <c r="J187" s="6"/>
      <c r="K187" s="6"/>
    </row>
    <row r="188" spans="1:11" ht="15.6">
      <c r="A188" s="327"/>
      <c r="B188" s="6"/>
      <c r="C188" s="6"/>
      <c r="D188" s="6"/>
      <c r="E188" s="6"/>
      <c r="F188" s="6"/>
      <c r="G188" s="6"/>
      <c r="H188" s="6"/>
      <c r="I188" s="6"/>
      <c r="J188" s="6"/>
      <c r="K188" s="6"/>
    </row>
    <row r="189" spans="1:11" ht="15.6">
      <c r="A189" s="327"/>
      <c r="B189" s="6"/>
      <c r="C189" s="6"/>
      <c r="D189" s="6"/>
      <c r="E189" s="6"/>
      <c r="F189" s="6"/>
      <c r="G189" s="6"/>
      <c r="H189" s="6"/>
      <c r="I189" s="6"/>
      <c r="J189" s="6"/>
      <c r="K189" s="6"/>
    </row>
    <row r="190" spans="1:11" ht="15.6">
      <c r="A190" s="327"/>
      <c r="B190" s="6"/>
      <c r="C190" s="6"/>
      <c r="D190" s="6"/>
      <c r="E190" s="6"/>
      <c r="F190" s="6"/>
      <c r="G190" s="6"/>
      <c r="H190" s="6"/>
      <c r="I190" s="6"/>
      <c r="J190" s="6"/>
      <c r="K190" s="6"/>
    </row>
    <row r="191" spans="1:11" ht="15.6">
      <c r="A191" s="327"/>
      <c r="B191" s="6"/>
      <c r="C191" s="6"/>
      <c r="D191" s="6"/>
      <c r="E191" s="6"/>
      <c r="F191" s="6"/>
      <c r="G191" s="6"/>
      <c r="H191" s="6"/>
      <c r="I191" s="6"/>
      <c r="J191" s="6"/>
      <c r="K191" s="6"/>
    </row>
    <row r="192" spans="1:11" ht="15.6">
      <c r="A192" s="327"/>
      <c r="B192" s="6"/>
      <c r="C192" s="6"/>
      <c r="D192" s="6"/>
      <c r="E192" s="6"/>
      <c r="F192" s="6"/>
      <c r="G192" s="6"/>
      <c r="H192" s="6"/>
      <c r="I192" s="6"/>
      <c r="J192" s="6"/>
      <c r="K192" s="6"/>
    </row>
    <row r="193" spans="1:11" ht="15.6">
      <c r="A193" s="327"/>
      <c r="B193" s="6"/>
      <c r="C193" s="6"/>
      <c r="D193" s="6"/>
      <c r="E193" s="6"/>
      <c r="F193" s="6"/>
      <c r="G193" s="6"/>
      <c r="H193" s="6"/>
      <c r="I193" s="6"/>
      <c r="J193" s="6"/>
      <c r="K193" s="6"/>
    </row>
    <row r="194" spans="1:11" ht="15.6">
      <c r="A194" s="327"/>
      <c r="B194" s="6"/>
      <c r="C194" s="6"/>
      <c r="D194" s="6"/>
      <c r="E194" s="6"/>
      <c r="F194" s="6"/>
      <c r="G194" s="6"/>
      <c r="H194" s="6"/>
      <c r="I194" s="6"/>
      <c r="J194" s="6"/>
      <c r="K194" s="6"/>
    </row>
    <row r="195" spans="1:11" ht="15.6">
      <c r="A195" s="327"/>
      <c r="B195" s="6"/>
      <c r="C195" s="6"/>
      <c r="D195" s="6"/>
      <c r="E195" s="6"/>
      <c r="F195" s="6"/>
      <c r="G195" s="6"/>
      <c r="H195" s="6"/>
      <c r="I195" s="6"/>
      <c r="J195" s="6"/>
      <c r="K195" s="6"/>
    </row>
    <row r="196" spans="1:11" ht="15.6">
      <c r="A196" s="327"/>
      <c r="B196" s="6"/>
      <c r="C196" s="6"/>
      <c r="D196" s="6"/>
      <c r="E196" s="6"/>
      <c r="F196" s="6"/>
      <c r="G196" s="6"/>
      <c r="H196" s="6"/>
      <c r="I196" s="6"/>
      <c r="J196" s="6"/>
      <c r="K196" s="6"/>
    </row>
    <row r="197" spans="1:11" ht="15.6">
      <c r="A197" s="327"/>
      <c r="B197" s="6"/>
      <c r="C197" s="6"/>
      <c r="D197" s="6"/>
      <c r="E197" s="6"/>
      <c r="F197" s="6"/>
      <c r="G197" s="6"/>
      <c r="H197" s="6"/>
      <c r="I197" s="6"/>
      <c r="J197" s="6"/>
      <c r="K197" s="6"/>
    </row>
    <row r="198" spans="1:11" ht="15.6">
      <c r="A198" s="327"/>
      <c r="B198" s="6"/>
      <c r="C198" s="6"/>
      <c r="D198" s="6"/>
      <c r="E198" s="6"/>
      <c r="F198" s="6"/>
      <c r="G198" s="6"/>
      <c r="H198" s="6"/>
      <c r="I198" s="6"/>
      <c r="J198" s="6"/>
      <c r="K198" s="6"/>
    </row>
    <row r="199" spans="1:11" ht="15.6">
      <c r="A199" s="327"/>
      <c r="B199" s="6"/>
      <c r="C199" s="6"/>
      <c r="D199" s="6"/>
      <c r="E199" s="6"/>
      <c r="F199" s="6"/>
      <c r="G199" s="6"/>
      <c r="H199" s="6"/>
      <c r="I199" s="6"/>
      <c r="J199" s="6"/>
      <c r="K199" s="6"/>
    </row>
    <row r="200" spans="1:11" ht="15.6">
      <c r="A200" s="327"/>
      <c r="B200" s="6"/>
      <c r="C200" s="6"/>
      <c r="D200" s="6"/>
      <c r="E200" s="6"/>
      <c r="F200" s="6"/>
      <c r="G200" s="6"/>
      <c r="H200" s="6"/>
      <c r="I200" s="6"/>
      <c r="J200" s="6"/>
      <c r="K200" s="6"/>
    </row>
    <row r="201" spans="1:11" ht="15.6">
      <c r="A201" s="327"/>
      <c r="B201" s="6"/>
      <c r="C201" s="6"/>
      <c r="D201" s="6"/>
      <c r="E201" s="6"/>
      <c r="F201" s="6"/>
      <c r="G201" s="6"/>
      <c r="H201" s="6"/>
      <c r="I201" s="6"/>
      <c r="J201" s="6"/>
      <c r="K201" s="6"/>
    </row>
    <row r="202" spans="1:11" ht="15.6">
      <c r="A202" s="327"/>
      <c r="B202" s="6"/>
      <c r="C202" s="6"/>
      <c r="D202" s="6"/>
      <c r="E202" s="6"/>
      <c r="F202" s="6"/>
      <c r="G202" s="6"/>
      <c r="H202" s="6"/>
      <c r="I202" s="6"/>
      <c r="J202" s="6"/>
      <c r="K202" s="6"/>
    </row>
    <row r="203" spans="1:11" ht="15.6">
      <c r="A203" s="327"/>
      <c r="B203" s="6"/>
      <c r="C203" s="6"/>
      <c r="D203" s="6"/>
      <c r="E203" s="6"/>
      <c r="F203" s="6"/>
      <c r="G203" s="6"/>
      <c r="H203" s="6"/>
      <c r="I203" s="6"/>
      <c r="J203" s="6"/>
      <c r="K203" s="6"/>
    </row>
    <row r="204" spans="1:11" ht="15.6">
      <c r="A204" s="327"/>
      <c r="B204" s="6"/>
      <c r="C204" s="6"/>
      <c r="D204" s="6"/>
      <c r="E204" s="6"/>
      <c r="F204" s="6"/>
      <c r="G204" s="6"/>
      <c r="H204" s="6"/>
      <c r="I204" s="6"/>
      <c r="J204" s="6"/>
      <c r="K204" s="6"/>
    </row>
    <row r="205" spans="1:11" ht="15.6">
      <c r="A205" s="327"/>
      <c r="B205" s="6"/>
      <c r="C205" s="6"/>
      <c r="D205" s="6"/>
      <c r="E205" s="6"/>
      <c r="F205" s="6"/>
      <c r="G205" s="6"/>
      <c r="H205" s="6"/>
      <c r="I205" s="6"/>
      <c r="J205" s="6"/>
      <c r="K205" s="6"/>
    </row>
    <row r="206" spans="1:11" ht="15.6">
      <c r="A206" s="327"/>
      <c r="B206" s="6"/>
      <c r="C206" s="6"/>
      <c r="D206" s="6"/>
      <c r="E206" s="6"/>
      <c r="F206" s="6"/>
      <c r="G206" s="6"/>
      <c r="H206" s="6"/>
      <c r="I206" s="6"/>
      <c r="J206" s="6"/>
      <c r="K206" s="6"/>
    </row>
    <row r="207" spans="1:11" ht="15.6">
      <c r="A207" s="327"/>
      <c r="B207" s="6"/>
      <c r="C207" s="6"/>
      <c r="D207" s="6"/>
      <c r="E207" s="6"/>
      <c r="F207" s="6"/>
      <c r="G207" s="6"/>
      <c r="H207" s="6"/>
      <c r="I207" s="6"/>
      <c r="J207" s="6"/>
      <c r="K207" s="6"/>
    </row>
    <row r="208" spans="1:11" ht="15.6">
      <c r="A208" s="327"/>
      <c r="B208" s="6"/>
      <c r="C208" s="6"/>
      <c r="D208" s="6"/>
      <c r="E208" s="6"/>
      <c r="F208" s="6"/>
      <c r="G208" s="6"/>
      <c r="H208" s="6"/>
      <c r="I208" s="6"/>
      <c r="J208" s="6"/>
      <c r="K208" s="6"/>
    </row>
    <row r="209" spans="1:11" ht="15.6">
      <c r="A209" s="327"/>
      <c r="B209" s="6"/>
      <c r="C209" s="6"/>
      <c r="D209" s="6"/>
      <c r="E209" s="6"/>
      <c r="F209" s="6"/>
      <c r="G209" s="6"/>
      <c r="H209" s="6"/>
      <c r="I209" s="6"/>
      <c r="J209" s="6"/>
      <c r="K209" s="6"/>
    </row>
    <row r="210" spans="1:11" ht="15.6">
      <c r="A210" s="327"/>
      <c r="B210" s="6"/>
      <c r="C210" s="6"/>
      <c r="D210" s="6"/>
      <c r="E210" s="6"/>
      <c r="F210" s="6"/>
      <c r="G210" s="6"/>
      <c r="H210" s="6"/>
      <c r="I210" s="6"/>
      <c r="J210" s="6"/>
      <c r="K210" s="6"/>
    </row>
    <row r="211" spans="1:11" ht="15.6">
      <c r="A211" s="327"/>
      <c r="B211" s="6"/>
      <c r="C211" s="6"/>
      <c r="D211" s="6"/>
      <c r="E211" s="6"/>
      <c r="F211" s="6"/>
      <c r="G211" s="6"/>
      <c r="H211" s="6"/>
      <c r="I211" s="6"/>
      <c r="J211" s="6"/>
      <c r="K211" s="6"/>
    </row>
    <row r="212" spans="1:11" ht="15.6">
      <c r="A212" s="327"/>
      <c r="B212" s="6"/>
      <c r="C212" s="6"/>
      <c r="D212" s="6"/>
      <c r="E212" s="6"/>
      <c r="F212" s="6"/>
      <c r="G212" s="6"/>
      <c r="H212" s="6"/>
      <c r="I212" s="6"/>
      <c r="J212" s="6"/>
      <c r="K212" s="6"/>
    </row>
    <row r="213" spans="1:11" ht="15.6">
      <c r="A213" s="327"/>
      <c r="B213" s="6"/>
      <c r="C213" s="6"/>
      <c r="D213" s="6"/>
      <c r="E213" s="6"/>
      <c r="F213" s="6"/>
      <c r="G213" s="6"/>
      <c r="H213" s="6"/>
      <c r="I213" s="6"/>
      <c r="J213" s="6"/>
      <c r="K213" s="6"/>
    </row>
    <row r="214" spans="1:11" ht="15.6">
      <c r="A214" s="327"/>
      <c r="B214" s="6"/>
      <c r="C214" s="6"/>
      <c r="D214" s="6"/>
      <c r="E214" s="6"/>
      <c r="F214" s="6"/>
      <c r="G214" s="6"/>
      <c r="H214" s="6"/>
      <c r="I214" s="6"/>
      <c r="J214" s="6"/>
      <c r="K214" s="6"/>
    </row>
    <row r="215" spans="1:11" ht="15.6">
      <c r="A215" s="327"/>
      <c r="B215" s="6"/>
      <c r="C215" s="6"/>
      <c r="D215" s="6"/>
      <c r="E215" s="6"/>
      <c r="F215" s="6"/>
      <c r="G215" s="6"/>
      <c r="H215" s="6"/>
      <c r="I215" s="6"/>
      <c r="J215" s="6"/>
      <c r="K215" s="6"/>
    </row>
    <row r="216" spans="1:11" ht="15.6">
      <c r="A216" s="327"/>
      <c r="B216" s="6"/>
      <c r="C216" s="6"/>
      <c r="D216" s="6"/>
      <c r="E216" s="6"/>
      <c r="F216" s="6"/>
      <c r="G216" s="6"/>
      <c r="H216" s="6"/>
      <c r="I216" s="6"/>
      <c r="J216" s="6"/>
      <c r="K216" s="6"/>
    </row>
    <row r="217" spans="1:11" ht="15.6">
      <c r="A217" s="327"/>
      <c r="B217" s="6"/>
      <c r="C217" s="6"/>
      <c r="D217" s="6"/>
      <c r="E217" s="6"/>
      <c r="F217" s="6"/>
      <c r="G217" s="6"/>
      <c r="H217" s="6"/>
      <c r="I217" s="6"/>
      <c r="J217" s="6"/>
      <c r="K217" s="6"/>
    </row>
    <row r="218" spans="1:11" ht="15.6">
      <c r="A218" s="327"/>
      <c r="B218" s="6"/>
      <c r="C218" s="6"/>
      <c r="D218" s="6"/>
      <c r="E218" s="6"/>
      <c r="F218" s="6"/>
      <c r="G218" s="6"/>
      <c r="H218" s="6"/>
      <c r="I218" s="6"/>
      <c r="J218" s="6"/>
      <c r="K218" s="6"/>
    </row>
    <row r="219" spans="1:11" ht="15.6">
      <c r="A219" s="327"/>
      <c r="B219" s="6"/>
      <c r="C219" s="6"/>
      <c r="D219" s="6"/>
      <c r="E219" s="6"/>
      <c r="F219" s="6"/>
      <c r="G219" s="6"/>
      <c r="H219" s="6"/>
      <c r="I219" s="6"/>
      <c r="J219" s="6"/>
      <c r="K219" s="6"/>
    </row>
    <row r="220" spans="1:11" ht="15.6">
      <c r="A220" s="327"/>
      <c r="B220" s="6"/>
      <c r="C220" s="6"/>
      <c r="D220" s="6"/>
      <c r="E220" s="6"/>
      <c r="F220" s="6"/>
      <c r="G220" s="6"/>
      <c r="H220" s="6"/>
      <c r="I220" s="6"/>
      <c r="J220" s="6"/>
      <c r="K220" s="6"/>
    </row>
    <row r="221" spans="1:11" ht="15.6">
      <c r="A221" s="327"/>
      <c r="B221" s="6"/>
      <c r="C221" s="6"/>
      <c r="D221" s="6"/>
      <c r="E221" s="6"/>
      <c r="F221" s="6"/>
      <c r="G221" s="6"/>
      <c r="H221" s="6"/>
      <c r="I221" s="6"/>
      <c r="J221" s="6"/>
      <c r="K221" s="6"/>
    </row>
    <row r="222" spans="1:11" ht="15.6">
      <c r="A222" s="327"/>
      <c r="B222" s="6"/>
      <c r="C222" s="6"/>
      <c r="D222" s="6"/>
      <c r="E222" s="6"/>
      <c r="F222" s="6"/>
      <c r="G222" s="6"/>
      <c r="H222" s="6"/>
      <c r="I222" s="6"/>
      <c r="J222" s="6"/>
      <c r="K222" s="6"/>
    </row>
    <row r="223" spans="1:11" ht="15.6">
      <c r="A223" s="327"/>
      <c r="B223" s="6"/>
      <c r="C223" s="6"/>
      <c r="D223" s="6"/>
      <c r="E223" s="6"/>
      <c r="F223" s="6"/>
      <c r="G223" s="6"/>
      <c r="H223" s="6"/>
      <c r="I223" s="6"/>
      <c r="J223" s="6"/>
      <c r="K223" s="6"/>
    </row>
    <row r="224" spans="1:11" ht="15.6">
      <c r="A224" s="327"/>
      <c r="B224" s="6"/>
      <c r="C224" s="6"/>
      <c r="D224" s="6"/>
      <c r="E224" s="6"/>
      <c r="F224" s="6"/>
      <c r="G224" s="6"/>
      <c r="H224" s="6"/>
      <c r="I224" s="6"/>
      <c r="J224" s="6"/>
      <c r="K224" s="6"/>
    </row>
    <row r="225" spans="1:11" ht="15.6">
      <c r="A225" s="327"/>
      <c r="B225" s="6"/>
      <c r="C225" s="6"/>
      <c r="D225" s="6"/>
      <c r="E225" s="6"/>
      <c r="F225" s="6"/>
      <c r="G225" s="6"/>
      <c r="H225" s="6"/>
      <c r="I225" s="6"/>
      <c r="J225" s="6"/>
      <c r="K225" s="6"/>
    </row>
    <row r="226" spans="1:11" ht="15.6">
      <c r="A226" s="327"/>
      <c r="B226" s="6"/>
      <c r="C226" s="6"/>
      <c r="D226" s="6"/>
      <c r="E226" s="6"/>
      <c r="F226" s="6"/>
      <c r="G226" s="6"/>
      <c r="H226" s="6"/>
      <c r="I226" s="6"/>
      <c r="J226" s="6"/>
      <c r="K226" s="6"/>
    </row>
    <row r="227" spans="1:11" ht="15.6">
      <c r="A227" s="327"/>
      <c r="B227" s="6"/>
      <c r="C227" s="6"/>
      <c r="D227" s="6"/>
      <c r="E227" s="6"/>
      <c r="F227" s="6"/>
      <c r="G227" s="6"/>
      <c r="H227" s="6"/>
      <c r="I227" s="6"/>
      <c r="J227" s="6"/>
      <c r="K227" s="6"/>
    </row>
    <row r="228" spans="1:11" ht="15.6">
      <c r="A228" s="327"/>
      <c r="B228" s="6"/>
      <c r="C228" s="6"/>
      <c r="D228" s="6"/>
      <c r="E228" s="6"/>
      <c r="F228" s="6"/>
      <c r="G228" s="6"/>
      <c r="H228" s="6"/>
      <c r="I228" s="6"/>
      <c r="J228" s="6"/>
      <c r="K228" s="6"/>
    </row>
    <row r="229" spans="1:11" ht="15.6">
      <c r="A229" s="327"/>
      <c r="B229" s="6"/>
      <c r="C229" s="6"/>
      <c r="D229" s="6"/>
      <c r="E229" s="6"/>
      <c r="F229" s="6"/>
      <c r="G229" s="6"/>
      <c r="H229" s="6"/>
      <c r="I229" s="6"/>
      <c r="J229" s="6"/>
      <c r="K229" s="6"/>
    </row>
    <row r="230" spans="1:11" ht="15.6">
      <c r="A230" s="327"/>
      <c r="B230" s="6"/>
      <c r="C230" s="6"/>
      <c r="D230" s="6"/>
      <c r="E230" s="6"/>
      <c r="F230" s="6"/>
      <c r="G230" s="6"/>
      <c r="H230" s="6"/>
      <c r="I230" s="6"/>
      <c r="J230" s="6"/>
      <c r="K230" s="6"/>
    </row>
    <row r="231" spans="1:11" ht="15.6">
      <c r="A231" s="327"/>
      <c r="B231" s="6"/>
      <c r="C231" s="6"/>
      <c r="D231" s="6"/>
      <c r="E231" s="6"/>
      <c r="F231" s="6"/>
      <c r="G231" s="6"/>
      <c r="H231" s="6"/>
      <c r="I231" s="6"/>
      <c r="J231" s="6"/>
      <c r="K231" s="6"/>
    </row>
    <row r="232" spans="1:11" ht="15.6">
      <c r="A232" s="327"/>
      <c r="B232" s="6"/>
      <c r="C232" s="6"/>
      <c r="D232" s="6"/>
      <c r="E232" s="6"/>
      <c r="F232" s="6"/>
      <c r="G232" s="6"/>
      <c r="H232" s="6"/>
      <c r="I232" s="6"/>
      <c r="J232" s="6"/>
      <c r="K232" s="6"/>
    </row>
    <row r="233" spans="1:11" ht="15.6">
      <c r="A233" s="327"/>
      <c r="B233" s="6"/>
      <c r="C233" s="6"/>
      <c r="D233" s="6"/>
      <c r="E233" s="6"/>
      <c r="F233" s="6"/>
      <c r="G233" s="6"/>
      <c r="H233" s="6"/>
      <c r="I233" s="6"/>
      <c r="J233" s="6"/>
      <c r="K233" s="6"/>
    </row>
    <row r="234" spans="1:11" ht="15.6">
      <c r="A234" s="327"/>
      <c r="B234" s="6"/>
      <c r="C234" s="6"/>
      <c r="D234" s="6"/>
      <c r="E234" s="6"/>
      <c r="F234" s="6"/>
      <c r="G234" s="6"/>
      <c r="H234" s="6"/>
      <c r="I234" s="6"/>
      <c r="J234" s="6"/>
      <c r="K234" s="6"/>
    </row>
    <row r="235" spans="1:11" ht="15.6">
      <c r="A235" s="327"/>
      <c r="B235" s="6"/>
      <c r="C235" s="6"/>
      <c r="D235" s="6"/>
      <c r="E235" s="6"/>
      <c r="F235" s="6"/>
      <c r="G235" s="6"/>
      <c r="H235" s="6"/>
      <c r="I235" s="6"/>
      <c r="J235" s="6"/>
      <c r="K235" s="6"/>
    </row>
    <row r="236" spans="1:11" ht="15.6">
      <c r="A236" s="327"/>
      <c r="B236" s="6"/>
      <c r="C236" s="6"/>
      <c r="D236" s="6"/>
      <c r="E236" s="6"/>
      <c r="F236" s="6"/>
      <c r="G236" s="6"/>
      <c r="H236" s="6"/>
      <c r="I236" s="6"/>
      <c r="J236" s="6"/>
      <c r="K236" s="6"/>
    </row>
    <row r="237" spans="1:11" ht="15.6">
      <c r="A237" s="327"/>
      <c r="B237" s="6"/>
      <c r="C237" s="6"/>
      <c r="D237" s="6"/>
      <c r="E237" s="6"/>
      <c r="F237" s="6"/>
      <c r="G237" s="6"/>
      <c r="H237" s="6"/>
      <c r="I237" s="6"/>
      <c r="J237" s="6"/>
      <c r="K237" s="6"/>
    </row>
    <row r="238" spans="1:11" ht="15.6">
      <c r="A238" s="327"/>
      <c r="B238" s="6"/>
      <c r="C238" s="6"/>
      <c r="D238" s="6"/>
      <c r="E238" s="6"/>
      <c r="F238" s="6"/>
      <c r="G238" s="6"/>
      <c r="H238" s="6"/>
      <c r="I238" s="6"/>
      <c r="J238" s="6"/>
      <c r="K238" s="6"/>
    </row>
    <row r="239" spans="1:11" ht="15.6">
      <c r="A239" s="327"/>
      <c r="B239" s="6"/>
      <c r="C239" s="6"/>
      <c r="D239" s="6"/>
      <c r="E239" s="6"/>
      <c r="F239" s="6"/>
      <c r="G239" s="6"/>
      <c r="H239" s="6"/>
      <c r="I239" s="6"/>
      <c r="J239" s="6"/>
      <c r="K239" s="6"/>
    </row>
    <row r="240" spans="1:11" ht="15.6">
      <c r="A240" s="327"/>
      <c r="B240" s="6"/>
      <c r="C240" s="6"/>
      <c r="D240" s="6"/>
      <c r="E240" s="6"/>
      <c r="F240" s="6"/>
      <c r="G240" s="6"/>
      <c r="H240" s="6"/>
      <c r="I240" s="6"/>
      <c r="J240" s="6"/>
      <c r="K240" s="6"/>
    </row>
    <row r="241" spans="1:11" ht="15.6">
      <c r="A241" s="327"/>
      <c r="B241" s="6"/>
      <c r="C241" s="6"/>
      <c r="D241" s="6"/>
      <c r="E241" s="6"/>
      <c r="F241" s="6"/>
      <c r="G241" s="6"/>
      <c r="H241" s="6"/>
      <c r="I241" s="6"/>
      <c r="J241" s="6"/>
      <c r="K241" s="6"/>
    </row>
    <row r="242" spans="1:11" ht="15.6">
      <c r="A242" s="327"/>
      <c r="B242" s="6"/>
      <c r="C242" s="6"/>
      <c r="D242" s="6"/>
      <c r="E242" s="6"/>
      <c r="F242" s="6"/>
      <c r="G242" s="6"/>
      <c r="H242" s="6"/>
      <c r="I242" s="6"/>
      <c r="J242" s="6"/>
      <c r="K242" s="6"/>
    </row>
    <row r="243" spans="1:11" ht="15.6">
      <c r="A243" s="327"/>
      <c r="B243" s="6"/>
      <c r="C243" s="6"/>
      <c r="D243" s="6"/>
      <c r="E243" s="6"/>
      <c r="F243" s="6"/>
      <c r="G243" s="6"/>
      <c r="H243" s="6"/>
      <c r="I243" s="6"/>
      <c r="J243" s="6"/>
      <c r="K243" s="6"/>
    </row>
    <row r="244" spans="1:11" ht="15.6">
      <c r="A244" s="327"/>
      <c r="B244" s="6"/>
      <c r="C244" s="6"/>
      <c r="D244" s="6"/>
      <c r="E244" s="6"/>
      <c r="F244" s="6"/>
      <c r="G244" s="6"/>
      <c r="H244" s="6"/>
      <c r="I244" s="6"/>
      <c r="J244" s="6"/>
      <c r="K244" s="6"/>
    </row>
    <row r="245" spans="1:11" ht="15.6">
      <c r="A245" s="327"/>
      <c r="B245" s="6"/>
      <c r="C245" s="6"/>
      <c r="D245" s="6"/>
      <c r="E245" s="6"/>
      <c r="F245" s="6"/>
      <c r="G245" s="6"/>
      <c r="H245" s="6"/>
      <c r="I245" s="6"/>
      <c r="J245" s="6"/>
      <c r="K245" s="6"/>
    </row>
    <row r="246" spans="1:11" ht="15.6">
      <c r="A246" s="327"/>
      <c r="B246" s="6"/>
      <c r="C246" s="6"/>
      <c r="D246" s="6"/>
      <c r="E246" s="6"/>
      <c r="F246" s="6"/>
      <c r="G246" s="6"/>
      <c r="H246" s="6"/>
      <c r="I246" s="6"/>
      <c r="J246" s="6"/>
      <c r="K246" s="6"/>
    </row>
    <row r="247" spans="1:11" ht="15.6">
      <c r="A247" s="327"/>
      <c r="B247" s="6"/>
      <c r="C247" s="6"/>
      <c r="D247" s="6"/>
      <c r="E247" s="6"/>
      <c r="F247" s="6"/>
      <c r="G247" s="6"/>
      <c r="H247" s="6"/>
      <c r="I247" s="6"/>
      <c r="J247" s="6"/>
      <c r="K247" s="6"/>
    </row>
    <row r="248" spans="1:11" ht="15.6">
      <c r="A248" s="327"/>
      <c r="B248" s="6"/>
      <c r="C248" s="6"/>
      <c r="D248" s="6"/>
      <c r="E248" s="6"/>
      <c r="F248" s="6"/>
      <c r="G248" s="6"/>
      <c r="H248" s="6"/>
      <c r="I248" s="6"/>
      <c r="J248" s="6"/>
      <c r="K248" s="6"/>
    </row>
    <row r="249" spans="1:11" ht="15.6">
      <c r="A249" s="327"/>
      <c r="B249" s="6"/>
      <c r="C249" s="6"/>
      <c r="D249" s="6"/>
      <c r="E249" s="6"/>
      <c r="F249" s="6"/>
      <c r="G249" s="6"/>
      <c r="H249" s="6"/>
      <c r="I249" s="6"/>
      <c r="J249" s="6"/>
      <c r="K249" s="6"/>
    </row>
    <row r="250" spans="1:11" ht="15.6">
      <c r="A250" s="327"/>
      <c r="B250" s="6"/>
      <c r="C250" s="6"/>
      <c r="D250" s="6"/>
      <c r="E250" s="6"/>
      <c r="F250" s="6"/>
      <c r="G250" s="6"/>
      <c r="H250" s="6"/>
      <c r="I250" s="6"/>
      <c r="J250" s="6"/>
      <c r="K250" s="6"/>
    </row>
    <row r="251" spans="1:11" ht="15.6">
      <c r="A251" s="327"/>
      <c r="B251" s="6"/>
      <c r="C251" s="6"/>
      <c r="D251" s="6"/>
      <c r="E251" s="6"/>
      <c r="F251" s="6"/>
      <c r="G251" s="6"/>
      <c r="H251" s="6"/>
      <c r="I251" s="6"/>
      <c r="J251" s="6"/>
      <c r="K251" s="6"/>
    </row>
    <row r="252" spans="1:11" ht="15.6">
      <c r="A252" s="327"/>
      <c r="B252" s="6"/>
      <c r="C252" s="6"/>
      <c r="D252" s="6"/>
      <c r="E252" s="6"/>
      <c r="F252" s="6"/>
      <c r="G252" s="6"/>
      <c r="H252" s="6"/>
      <c r="I252" s="6"/>
      <c r="J252" s="6"/>
      <c r="K252" s="6"/>
    </row>
    <row r="253" spans="1:11" ht="15.6">
      <c r="A253" s="327"/>
      <c r="B253" s="6"/>
      <c r="C253" s="6"/>
      <c r="D253" s="6"/>
      <c r="E253" s="6"/>
      <c r="F253" s="6"/>
      <c r="G253" s="6"/>
      <c r="H253" s="6"/>
      <c r="I253" s="6"/>
      <c r="J253" s="6"/>
      <c r="K253" s="6"/>
    </row>
    <row r="254" spans="1:11" ht="15.6">
      <c r="A254" s="327"/>
      <c r="B254" s="6"/>
      <c r="C254" s="6"/>
      <c r="D254" s="6"/>
      <c r="E254" s="6"/>
      <c r="F254" s="6"/>
      <c r="G254" s="6"/>
      <c r="H254" s="6"/>
      <c r="I254" s="6"/>
      <c r="J254" s="6"/>
      <c r="K254" s="6"/>
    </row>
    <row r="255" spans="1:11" ht="15.6">
      <c r="A255" s="327"/>
      <c r="B255" s="6"/>
      <c r="C255" s="6"/>
      <c r="D255" s="6"/>
      <c r="E255" s="6"/>
      <c r="F255" s="6"/>
      <c r="G255" s="6"/>
      <c r="H255" s="6"/>
      <c r="I255" s="6"/>
      <c r="J255" s="6"/>
      <c r="K255" s="6"/>
    </row>
    <row r="256" spans="1:11" ht="15.6">
      <c r="A256" s="327"/>
      <c r="B256" s="6"/>
      <c r="C256" s="6"/>
      <c r="D256" s="6"/>
      <c r="E256" s="6"/>
      <c r="F256" s="6"/>
      <c r="G256" s="6"/>
      <c r="H256" s="6"/>
      <c r="I256" s="6"/>
      <c r="J256" s="6"/>
      <c r="K256" s="6"/>
    </row>
    <row r="257" spans="1:11" ht="15.6">
      <c r="A257" s="327"/>
      <c r="B257" s="6"/>
      <c r="C257" s="6"/>
      <c r="D257" s="6"/>
      <c r="E257" s="6"/>
      <c r="F257" s="6"/>
      <c r="G257" s="6"/>
      <c r="H257" s="6"/>
      <c r="I257" s="6"/>
      <c r="J257" s="6"/>
      <c r="K257" s="6"/>
    </row>
    <row r="258" spans="1:11" ht="15.6">
      <c r="A258" s="327"/>
      <c r="B258" s="6"/>
      <c r="C258" s="6"/>
      <c r="D258" s="6"/>
      <c r="E258" s="6"/>
      <c r="F258" s="6"/>
      <c r="G258" s="6"/>
      <c r="H258" s="6"/>
      <c r="I258" s="6"/>
      <c r="J258" s="6"/>
      <c r="K258" s="6"/>
    </row>
    <row r="259" spans="1:11" ht="15.6">
      <c r="A259" s="327"/>
      <c r="B259" s="6"/>
      <c r="C259" s="6"/>
      <c r="D259" s="6"/>
      <c r="E259" s="6"/>
      <c r="F259" s="6"/>
      <c r="G259" s="6"/>
      <c r="H259" s="6"/>
      <c r="I259" s="6"/>
      <c r="J259" s="6"/>
      <c r="K259" s="6"/>
    </row>
    <row r="260" spans="1:11" ht="15.6">
      <c r="A260" s="327"/>
      <c r="B260" s="6"/>
      <c r="C260" s="6"/>
      <c r="D260" s="6"/>
      <c r="E260" s="6"/>
      <c r="F260" s="6"/>
      <c r="G260" s="6"/>
      <c r="H260" s="6"/>
      <c r="I260" s="6"/>
      <c r="J260" s="6"/>
      <c r="K260" s="6"/>
    </row>
    <row r="261" spans="1:11" ht="15.6">
      <c r="A261" s="327"/>
      <c r="B261" s="6"/>
      <c r="C261" s="6"/>
      <c r="D261" s="6"/>
      <c r="E261" s="6"/>
      <c r="F261" s="6"/>
      <c r="G261" s="6"/>
      <c r="H261" s="6"/>
      <c r="I261" s="6"/>
      <c r="J261" s="6"/>
      <c r="K261" s="6"/>
    </row>
    <row r="262" spans="1:11" ht="15.6">
      <c r="A262" s="327"/>
      <c r="B262" s="6"/>
      <c r="C262" s="6"/>
      <c r="D262" s="6"/>
      <c r="E262" s="6"/>
      <c r="F262" s="6"/>
      <c r="G262" s="6"/>
      <c r="H262" s="6"/>
      <c r="I262" s="6"/>
      <c r="J262" s="6"/>
      <c r="K262" s="6"/>
    </row>
    <row r="263" spans="1:11" ht="15.6">
      <c r="A263" s="327"/>
      <c r="B263" s="6"/>
      <c r="C263" s="6"/>
      <c r="D263" s="6"/>
      <c r="E263" s="6"/>
      <c r="F263" s="6"/>
      <c r="G263" s="6"/>
      <c r="H263" s="6"/>
      <c r="I263" s="6"/>
      <c r="J263" s="6"/>
      <c r="K263" s="6"/>
    </row>
    <row r="264" spans="1:11" ht="15.6">
      <c r="A264" s="327"/>
      <c r="B264" s="6"/>
      <c r="C264" s="6"/>
      <c r="D264" s="6"/>
      <c r="E264" s="6"/>
      <c r="F264" s="6"/>
      <c r="G264" s="6"/>
      <c r="H264" s="6"/>
      <c r="I264" s="6"/>
      <c r="J264" s="6"/>
      <c r="K264" s="6"/>
    </row>
    <row r="265" spans="1:11" ht="15.6">
      <c r="A265" s="327"/>
      <c r="B265" s="6"/>
      <c r="C265" s="6"/>
      <c r="D265" s="6"/>
      <c r="E265" s="6"/>
      <c r="F265" s="6"/>
      <c r="G265" s="6"/>
      <c r="H265" s="6"/>
      <c r="I265" s="6"/>
      <c r="J265" s="6"/>
      <c r="K265" s="6"/>
    </row>
    <row r="266" spans="1:11" ht="15.6">
      <c r="A266" s="327"/>
      <c r="B266" s="6"/>
      <c r="C266" s="6"/>
      <c r="D266" s="6"/>
      <c r="E266" s="6"/>
      <c r="F266" s="6"/>
      <c r="G266" s="6"/>
      <c r="H266" s="6"/>
      <c r="I266" s="6"/>
      <c r="J266" s="6"/>
      <c r="K266" s="6"/>
    </row>
    <row r="267" spans="1:11" ht="15.6">
      <c r="A267" s="327"/>
      <c r="B267" s="6"/>
      <c r="C267" s="6"/>
      <c r="D267" s="6"/>
      <c r="E267" s="6"/>
      <c r="F267" s="6"/>
      <c r="G267" s="6"/>
      <c r="H267" s="6"/>
      <c r="I267" s="6"/>
      <c r="J267" s="6"/>
      <c r="K267" s="6"/>
    </row>
    <row r="268" spans="1:11" ht="15.6">
      <c r="A268" s="327"/>
      <c r="B268" s="6"/>
      <c r="C268" s="6"/>
      <c r="D268" s="6"/>
      <c r="E268" s="6"/>
      <c r="F268" s="6"/>
      <c r="G268" s="6"/>
      <c r="H268" s="6"/>
      <c r="I268" s="6"/>
      <c r="J268" s="6"/>
      <c r="K268" s="6"/>
    </row>
    <row r="269" spans="1:11" ht="15.6">
      <c r="A269" s="327"/>
      <c r="B269" s="6"/>
      <c r="C269" s="6"/>
      <c r="D269" s="6"/>
      <c r="E269" s="6"/>
      <c r="F269" s="6"/>
      <c r="G269" s="6"/>
      <c r="H269" s="6"/>
      <c r="I269" s="6"/>
      <c r="J269" s="6"/>
      <c r="K269" s="6"/>
    </row>
    <row r="270" spans="1:11" ht="15.6">
      <c r="A270" s="327"/>
      <c r="B270" s="6"/>
      <c r="C270" s="6"/>
      <c r="D270" s="6"/>
      <c r="E270" s="6"/>
      <c r="F270" s="6"/>
      <c r="G270" s="6"/>
      <c r="H270" s="6"/>
      <c r="I270" s="6"/>
      <c r="J270" s="6"/>
      <c r="K270" s="6"/>
    </row>
    <row r="271" spans="1:11" ht="15.6">
      <c r="A271" s="327"/>
      <c r="B271" s="6"/>
      <c r="C271" s="6"/>
      <c r="D271" s="6"/>
      <c r="E271" s="6"/>
      <c r="F271" s="6"/>
      <c r="G271" s="6"/>
      <c r="H271" s="6"/>
      <c r="I271" s="6"/>
      <c r="J271" s="6"/>
      <c r="K271" s="6"/>
    </row>
    <row r="272" spans="1:11" ht="15.6">
      <c r="A272" s="327"/>
      <c r="B272" s="6"/>
      <c r="C272" s="6"/>
      <c r="D272" s="6"/>
      <c r="E272" s="6"/>
      <c r="F272" s="6"/>
      <c r="G272" s="6"/>
      <c r="H272" s="6"/>
      <c r="I272" s="6"/>
      <c r="J272" s="6"/>
      <c r="K272" s="6"/>
    </row>
    <row r="273" spans="1:11" ht="15.6">
      <c r="A273" s="327"/>
      <c r="B273" s="6"/>
      <c r="C273" s="6"/>
      <c r="D273" s="6"/>
      <c r="E273" s="6"/>
      <c r="F273" s="6"/>
      <c r="G273" s="6"/>
      <c r="H273" s="6"/>
      <c r="I273" s="6"/>
      <c r="J273" s="6"/>
      <c r="K273" s="6"/>
    </row>
    <row r="274" spans="1:11" ht="15.6">
      <c r="A274" s="327"/>
      <c r="B274" s="6"/>
      <c r="C274" s="6"/>
      <c r="D274" s="6"/>
      <c r="E274" s="6"/>
      <c r="F274" s="6"/>
      <c r="G274" s="6"/>
      <c r="H274" s="6"/>
      <c r="I274" s="6"/>
      <c r="J274" s="6"/>
      <c r="K274" s="6"/>
    </row>
    <row r="275" spans="1:11" ht="15.6">
      <c r="A275" s="327"/>
      <c r="B275" s="6"/>
      <c r="C275" s="6"/>
      <c r="D275" s="6"/>
      <c r="E275" s="6"/>
      <c r="F275" s="6"/>
      <c r="G275" s="6"/>
      <c r="H275" s="6"/>
      <c r="I275" s="6"/>
      <c r="J275" s="6"/>
      <c r="K275" s="6"/>
    </row>
    <row r="276" spans="1:11" ht="15.6">
      <c r="A276" s="327"/>
      <c r="B276" s="6"/>
      <c r="C276" s="6"/>
      <c r="D276" s="6"/>
      <c r="E276" s="6"/>
      <c r="F276" s="6"/>
      <c r="G276" s="6"/>
      <c r="H276" s="6"/>
      <c r="I276" s="6"/>
      <c r="J276" s="6"/>
      <c r="K276" s="6"/>
    </row>
    <row r="277" spans="1:11" ht="15.6">
      <c r="A277" s="327"/>
      <c r="B277" s="6"/>
      <c r="C277" s="6"/>
      <c r="D277" s="6"/>
      <c r="E277" s="6"/>
      <c r="F277" s="6"/>
      <c r="G277" s="6"/>
      <c r="H277" s="6"/>
      <c r="I277" s="6"/>
      <c r="J277" s="6"/>
      <c r="K277" s="6"/>
    </row>
    <row r="278" spans="1:11" ht="15.6">
      <c r="A278" s="327"/>
      <c r="B278" s="6"/>
      <c r="C278" s="6"/>
      <c r="D278" s="6"/>
      <c r="E278" s="6"/>
      <c r="F278" s="6"/>
      <c r="G278" s="6"/>
      <c r="H278" s="6"/>
      <c r="I278" s="6"/>
      <c r="J278" s="6"/>
      <c r="K278" s="6"/>
    </row>
    <row r="279" spans="1:11" ht="15.6">
      <c r="A279" s="327"/>
      <c r="B279" s="6"/>
      <c r="C279" s="6"/>
      <c r="D279" s="6"/>
      <c r="E279" s="6"/>
      <c r="F279" s="6"/>
      <c r="G279" s="6"/>
      <c r="H279" s="6"/>
      <c r="I279" s="6"/>
      <c r="J279" s="6"/>
      <c r="K279" s="6"/>
    </row>
    <row r="280" spans="1:11" ht="15.6">
      <c r="A280" s="327"/>
      <c r="B280" s="6"/>
      <c r="C280" s="6"/>
      <c r="D280" s="6"/>
      <c r="E280" s="6"/>
      <c r="F280" s="6"/>
      <c r="G280" s="6"/>
      <c r="H280" s="6"/>
      <c r="I280" s="6"/>
      <c r="J280" s="6"/>
      <c r="K280" s="6"/>
    </row>
    <row r="281" spans="1:11" ht="15.6">
      <c r="A281" s="327"/>
      <c r="B281" s="6"/>
      <c r="C281" s="6"/>
      <c r="D281" s="6"/>
      <c r="E281" s="6"/>
      <c r="F281" s="6"/>
      <c r="G281" s="6"/>
      <c r="H281" s="6"/>
      <c r="I281" s="6"/>
      <c r="J281" s="6"/>
      <c r="K281" s="6"/>
    </row>
    <row r="282" spans="1:11" ht="15.6">
      <c r="A282" s="327"/>
      <c r="B282" s="6"/>
      <c r="C282" s="6"/>
      <c r="D282" s="6"/>
      <c r="E282" s="6"/>
      <c r="F282" s="6"/>
      <c r="G282" s="6"/>
      <c r="H282" s="6"/>
      <c r="I282" s="6"/>
      <c r="J282" s="6"/>
      <c r="K282" s="6"/>
    </row>
    <row r="283" spans="1:11" ht="15.6">
      <c r="A283" s="327"/>
      <c r="B283" s="6"/>
      <c r="C283" s="6"/>
      <c r="D283" s="6"/>
      <c r="E283" s="6"/>
      <c r="F283" s="6"/>
      <c r="G283" s="6"/>
      <c r="H283" s="6"/>
      <c r="I283" s="6"/>
      <c r="J283" s="6"/>
      <c r="K283" s="6"/>
    </row>
    <row r="284" spans="1:11" ht="15.6">
      <c r="A284" s="327"/>
      <c r="B284" s="6"/>
      <c r="C284" s="6"/>
      <c r="D284" s="6"/>
      <c r="E284" s="6"/>
      <c r="F284" s="6"/>
      <c r="G284" s="6"/>
      <c r="H284" s="6"/>
      <c r="I284" s="6"/>
      <c r="J284" s="6"/>
      <c r="K284" s="6"/>
    </row>
    <row r="285" spans="1:11" ht="15.6">
      <c r="A285" s="327"/>
      <c r="B285" s="6"/>
      <c r="C285" s="6"/>
      <c r="D285" s="6"/>
      <c r="E285" s="6"/>
      <c r="F285" s="6"/>
      <c r="G285" s="6"/>
      <c r="H285" s="6"/>
      <c r="I285" s="6"/>
      <c r="J285" s="6"/>
      <c r="K285" s="6"/>
    </row>
    <row r="286" spans="1:11" ht="15.6">
      <c r="A286" s="327"/>
      <c r="B286" s="6"/>
      <c r="C286" s="6"/>
      <c r="D286" s="6"/>
      <c r="E286" s="6"/>
      <c r="F286" s="6"/>
      <c r="G286" s="6"/>
      <c r="H286" s="6"/>
      <c r="I286" s="6"/>
      <c r="J286" s="6"/>
      <c r="K286" s="6"/>
    </row>
    <row r="287" spans="1:11" ht="15.6">
      <c r="A287" s="327"/>
      <c r="B287" s="6"/>
      <c r="C287" s="6"/>
      <c r="D287" s="6"/>
      <c r="E287" s="6"/>
      <c r="F287" s="6"/>
      <c r="G287" s="6"/>
      <c r="H287" s="6"/>
      <c r="I287" s="6"/>
      <c r="J287" s="6"/>
      <c r="K287" s="6"/>
    </row>
    <row r="288" spans="1:11" ht="15.6">
      <c r="A288" s="327"/>
      <c r="B288" s="6"/>
      <c r="C288" s="6"/>
      <c r="D288" s="6"/>
      <c r="E288" s="6"/>
      <c r="F288" s="6"/>
      <c r="G288" s="6"/>
      <c r="H288" s="6"/>
      <c r="I288" s="6"/>
      <c r="J288" s="6"/>
      <c r="K288" s="6"/>
    </row>
    <row r="289" spans="1:11" ht="15.6">
      <c r="A289" s="327"/>
      <c r="B289" s="6"/>
      <c r="C289" s="6"/>
      <c r="D289" s="6"/>
      <c r="E289" s="6"/>
      <c r="F289" s="6"/>
      <c r="G289" s="6"/>
      <c r="H289" s="6"/>
      <c r="I289" s="6"/>
      <c r="J289" s="6"/>
      <c r="K289" s="6"/>
    </row>
    <row r="290" spans="1:11" ht="15.6">
      <c r="A290" s="327"/>
      <c r="B290" s="6"/>
      <c r="C290" s="6"/>
      <c r="D290" s="6"/>
      <c r="E290" s="6"/>
      <c r="F290" s="6"/>
      <c r="G290" s="6"/>
      <c r="H290" s="6"/>
      <c r="I290" s="6"/>
      <c r="J290" s="6"/>
      <c r="K290" s="6"/>
    </row>
    <row r="291" spans="1:11" ht="15.6">
      <c r="A291" s="327"/>
      <c r="B291" s="6"/>
      <c r="C291" s="6"/>
      <c r="D291" s="6"/>
      <c r="E291" s="6"/>
      <c r="F291" s="6"/>
      <c r="G291" s="6"/>
      <c r="H291" s="6"/>
      <c r="I291" s="6"/>
      <c r="J291" s="6"/>
      <c r="K291" s="6"/>
    </row>
    <row r="292" spans="1:11" ht="15.6">
      <c r="A292" s="327"/>
      <c r="B292" s="6"/>
      <c r="C292" s="6"/>
      <c r="D292" s="6"/>
      <c r="E292" s="6"/>
      <c r="F292" s="6"/>
      <c r="G292" s="6"/>
      <c r="H292" s="6"/>
      <c r="I292" s="6"/>
      <c r="J292" s="6"/>
      <c r="K292" s="6"/>
    </row>
    <row r="293" spans="1:11" ht="15.6">
      <c r="A293" s="327"/>
      <c r="B293" s="6"/>
      <c r="C293" s="6"/>
      <c r="D293" s="6"/>
      <c r="E293" s="6"/>
      <c r="F293" s="6"/>
      <c r="G293" s="6"/>
      <c r="H293" s="6"/>
      <c r="I293" s="6"/>
      <c r="J293" s="6"/>
      <c r="K293" s="6"/>
    </row>
    <row r="294" spans="1:11" ht="15.6">
      <c r="A294" s="327"/>
      <c r="B294" s="6"/>
      <c r="C294" s="6"/>
      <c r="D294" s="6"/>
      <c r="E294" s="6"/>
      <c r="F294" s="6"/>
      <c r="G294" s="6"/>
      <c r="H294" s="6"/>
      <c r="I294" s="6"/>
      <c r="J294" s="6"/>
      <c r="K294" s="6"/>
    </row>
    <row r="295" spans="1:11" ht="15.6">
      <c r="A295" s="327"/>
      <c r="B295" s="6"/>
      <c r="C295" s="6"/>
      <c r="D295" s="6"/>
      <c r="E295" s="6"/>
      <c r="F295" s="6"/>
      <c r="G295" s="6"/>
      <c r="H295" s="6"/>
      <c r="I295" s="6"/>
      <c r="J295" s="6"/>
      <c r="K295" s="6"/>
    </row>
    <row r="296" spans="1:11" ht="15.6">
      <c r="A296" s="327"/>
      <c r="B296" s="6"/>
      <c r="C296" s="6"/>
      <c r="D296" s="6"/>
      <c r="E296" s="6"/>
      <c r="F296" s="6"/>
      <c r="G296" s="6"/>
      <c r="H296" s="6"/>
      <c r="I296" s="6"/>
      <c r="J296" s="6"/>
      <c r="K296" s="6"/>
    </row>
    <row r="297" spans="1:11" ht="15.6">
      <c r="A297" s="327"/>
      <c r="B297" s="6"/>
      <c r="C297" s="6"/>
      <c r="D297" s="6"/>
      <c r="E297" s="6"/>
      <c r="F297" s="6"/>
      <c r="G297" s="6"/>
      <c r="H297" s="6"/>
      <c r="I297" s="6"/>
      <c r="J297" s="6"/>
      <c r="K297" s="6"/>
    </row>
    <row r="298" spans="1:11" ht="15.6">
      <c r="A298" s="327"/>
      <c r="B298" s="6"/>
      <c r="C298" s="6"/>
      <c r="D298" s="6"/>
      <c r="E298" s="6"/>
      <c r="F298" s="6"/>
      <c r="G298" s="6"/>
      <c r="H298" s="6"/>
      <c r="I298" s="6"/>
      <c r="J298" s="6"/>
      <c r="K298" s="6"/>
    </row>
    <row r="299" spans="1:11" ht="15.6">
      <c r="A299" s="327"/>
      <c r="B299" s="6"/>
      <c r="C299" s="6"/>
      <c r="D299" s="6"/>
      <c r="E299" s="6"/>
      <c r="F299" s="6"/>
      <c r="G299" s="6"/>
      <c r="H299" s="6"/>
      <c r="I299" s="6"/>
      <c r="J299" s="6"/>
      <c r="K299" s="6"/>
    </row>
    <row r="300" spans="1:11" ht="15.6">
      <c r="A300" s="327"/>
      <c r="B300" s="6"/>
      <c r="C300" s="6"/>
      <c r="D300" s="6"/>
      <c r="E300" s="6"/>
      <c r="F300" s="6"/>
      <c r="G300" s="6"/>
      <c r="H300" s="6"/>
      <c r="I300" s="6"/>
      <c r="J300" s="6"/>
      <c r="K300" s="6"/>
    </row>
    <row r="301" spans="1:11" ht="15.6">
      <c r="A301" s="327"/>
      <c r="B301" s="6"/>
      <c r="C301" s="6"/>
      <c r="D301" s="6"/>
      <c r="E301" s="6"/>
      <c r="F301" s="6"/>
      <c r="G301" s="6"/>
      <c r="H301" s="6"/>
      <c r="I301" s="6"/>
      <c r="J301" s="6"/>
      <c r="K301" s="6"/>
    </row>
    <row r="302" spans="1:11" ht="15.6">
      <c r="A302" s="327"/>
      <c r="B302" s="6"/>
      <c r="C302" s="6"/>
      <c r="D302" s="6"/>
      <c r="E302" s="6"/>
      <c r="F302" s="6"/>
      <c r="G302" s="6"/>
      <c r="H302" s="6"/>
      <c r="I302" s="6"/>
      <c r="J302" s="6"/>
      <c r="K302" s="6"/>
    </row>
    <row r="303" spans="1:11" ht="15.6">
      <c r="A303" s="327"/>
      <c r="B303" s="6"/>
      <c r="C303" s="6"/>
      <c r="D303" s="6"/>
      <c r="E303" s="6"/>
      <c r="F303" s="6"/>
      <c r="G303" s="6"/>
      <c r="H303" s="6"/>
      <c r="I303" s="6"/>
      <c r="J303" s="6"/>
      <c r="K303" s="6"/>
    </row>
    <row r="304" spans="1:11" ht="15.6">
      <c r="A304" s="327"/>
      <c r="B304" s="6"/>
      <c r="C304" s="6"/>
      <c r="D304" s="6"/>
      <c r="E304" s="6"/>
      <c r="F304" s="6"/>
      <c r="G304" s="6"/>
      <c r="H304" s="6"/>
      <c r="I304" s="6"/>
      <c r="J304" s="6"/>
      <c r="K304" s="6"/>
    </row>
    <row r="305" spans="1:11" ht="15.6">
      <c r="A305" s="327"/>
      <c r="B305" s="6"/>
      <c r="C305" s="6"/>
      <c r="D305" s="6"/>
      <c r="E305" s="6"/>
      <c r="F305" s="6"/>
      <c r="G305" s="6"/>
      <c r="H305" s="6"/>
      <c r="I305" s="6"/>
      <c r="J305" s="6"/>
      <c r="K305" s="6"/>
    </row>
    <row r="306" spans="1:11" ht="15.6">
      <c r="A306" s="327"/>
      <c r="B306" s="6"/>
      <c r="C306" s="6"/>
      <c r="D306" s="6"/>
      <c r="E306" s="6"/>
      <c r="F306" s="6"/>
      <c r="G306" s="6"/>
      <c r="H306" s="6"/>
      <c r="I306" s="6"/>
      <c r="J306" s="6"/>
      <c r="K306" s="6"/>
    </row>
    <row r="307" spans="1:11" ht="15.6">
      <c r="A307" s="327"/>
      <c r="B307" s="6"/>
      <c r="C307" s="6"/>
      <c r="D307" s="6"/>
      <c r="E307" s="6"/>
      <c r="F307" s="6"/>
      <c r="G307" s="6"/>
      <c r="H307" s="6"/>
      <c r="I307" s="6"/>
      <c r="J307" s="6"/>
      <c r="K307" s="6"/>
    </row>
    <row r="308" spans="1:11" ht="15.6">
      <c r="A308" s="327"/>
      <c r="B308" s="6"/>
      <c r="C308" s="6"/>
      <c r="D308" s="6"/>
      <c r="E308" s="6"/>
      <c r="F308" s="6"/>
      <c r="G308" s="6"/>
      <c r="H308" s="6"/>
      <c r="I308" s="6"/>
      <c r="J308" s="6"/>
      <c r="K308" s="6"/>
    </row>
    <row r="309" spans="1:11" ht="15.6">
      <c r="A309" s="327"/>
      <c r="B309" s="6"/>
      <c r="C309" s="6"/>
      <c r="D309" s="6"/>
      <c r="E309" s="6"/>
      <c r="F309" s="6"/>
      <c r="G309" s="6"/>
      <c r="H309" s="6"/>
      <c r="I309" s="6"/>
      <c r="J309" s="6"/>
      <c r="K309" s="6"/>
    </row>
    <row r="310" spans="1:11" ht="15.6">
      <c r="A310" s="327"/>
      <c r="B310" s="6"/>
      <c r="C310" s="6"/>
      <c r="D310" s="6"/>
      <c r="E310" s="6"/>
      <c r="F310" s="6"/>
      <c r="G310" s="6"/>
      <c r="H310" s="6"/>
      <c r="I310" s="6"/>
      <c r="J310" s="6"/>
      <c r="K310" s="6"/>
    </row>
    <row r="311" spans="1:11" ht="15.6">
      <c r="A311" s="327"/>
      <c r="B311" s="6"/>
      <c r="C311" s="6"/>
      <c r="D311" s="6"/>
      <c r="E311" s="6"/>
      <c r="F311" s="6"/>
      <c r="G311" s="6"/>
      <c r="H311" s="6"/>
      <c r="I311" s="6"/>
      <c r="J311" s="6"/>
      <c r="K311" s="6"/>
    </row>
    <row r="312" spans="1:11" ht="15.6">
      <c r="A312" s="327"/>
      <c r="B312" s="6"/>
      <c r="C312" s="6"/>
      <c r="D312" s="6"/>
      <c r="E312" s="6"/>
      <c r="F312" s="6"/>
      <c r="G312" s="6"/>
      <c r="H312" s="6"/>
      <c r="I312" s="6"/>
      <c r="J312" s="6"/>
      <c r="K312" s="6"/>
    </row>
    <row r="313" spans="1:11" ht="15.6">
      <c r="A313" s="327"/>
      <c r="B313" s="6"/>
      <c r="C313" s="6"/>
      <c r="D313" s="6"/>
      <c r="E313" s="6"/>
      <c r="F313" s="6"/>
      <c r="G313" s="6"/>
      <c r="H313" s="6"/>
      <c r="I313" s="6"/>
      <c r="J313" s="6"/>
      <c r="K313" s="6"/>
    </row>
    <row r="314" spans="1:11" ht="15.6">
      <c r="A314" s="327"/>
      <c r="B314" s="6"/>
      <c r="C314" s="6"/>
      <c r="D314" s="6"/>
      <c r="E314" s="6"/>
      <c r="F314" s="6"/>
      <c r="G314" s="6"/>
      <c r="H314" s="6"/>
      <c r="I314" s="6"/>
      <c r="J314" s="6"/>
      <c r="K314" s="6"/>
    </row>
    <row r="315" spans="1:11" ht="15.6">
      <c r="A315" s="327"/>
      <c r="B315" s="6"/>
      <c r="C315" s="6"/>
      <c r="D315" s="6"/>
      <c r="E315" s="6"/>
      <c r="F315" s="6"/>
      <c r="G315" s="6"/>
      <c r="H315" s="6"/>
      <c r="I315" s="6"/>
      <c r="J315" s="6"/>
      <c r="K315" s="6"/>
    </row>
    <row r="316" spans="1:11" ht="15.6">
      <c r="A316" s="327"/>
      <c r="B316" s="6"/>
      <c r="C316" s="6"/>
      <c r="D316" s="6"/>
      <c r="E316" s="6"/>
      <c r="F316" s="6"/>
      <c r="G316" s="6"/>
      <c r="H316" s="6"/>
      <c r="I316" s="6"/>
      <c r="J316" s="6"/>
      <c r="K316" s="6"/>
    </row>
    <row r="317" spans="1:11" ht="15.6">
      <c r="A317" s="327"/>
      <c r="B317" s="6"/>
      <c r="C317" s="6"/>
      <c r="D317" s="6"/>
      <c r="E317" s="6"/>
      <c r="F317" s="6"/>
      <c r="G317" s="6"/>
      <c r="H317" s="6"/>
      <c r="I317" s="6"/>
      <c r="J317" s="6"/>
      <c r="K317" s="6"/>
    </row>
    <row r="318" spans="1:11" ht="15.6">
      <c r="A318" s="327"/>
      <c r="B318" s="6"/>
      <c r="C318" s="6"/>
      <c r="D318" s="6"/>
      <c r="E318" s="6"/>
      <c r="F318" s="6"/>
      <c r="G318" s="6"/>
      <c r="H318" s="6"/>
      <c r="I318" s="6"/>
      <c r="J318" s="6"/>
      <c r="K318" s="6"/>
    </row>
    <row r="319" spans="1:11" ht="15.6">
      <c r="A319" s="327"/>
      <c r="B319" s="6"/>
      <c r="C319" s="6"/>
      <c r="D319" s="6"/>
      <c r="E319" s="6"/>
      <c r="F319" s="6"/>
      <c r="G319" s="6"/>
      <c r="H319" s="6"/>
      <c r="I319" s="6"/>
      <c r="J319" s="6"/>
      <c r="K319" s="6"/>
    </row>
    <row r="320" spans="1:11" ht="15.6">
      <c r="A320" s="327"/>
      <c r="B320" s="6"/>
      <c r="C320" s="6"/>
      <c r="D320" s="6"/>
      <c r="E320" s="6"/>
      <c r="F320" s="6"/>
      <c r="G320" s="6"/>
      <c r="H320" s="6"/>
      <c r="I320" s="6"/>
      <c r="J320" s="6"/>
      <c r="K320" s="6"/>
    </row>
    <row r="321" spans="1:11" ht="15.6">
      <c r="A321" s="327"/>
      <c r="B321" s="6"/>
      <c r="C321" s="6"/>
      <c r="D321" s="6"/>
      <c r="E321" s="6"/>
      <c r="F321" s="6"/>
      <c r="G321" s="6"/>
      <c r="H321" s="6"/>
      <c r="I321" s="6"/>
      <c r="J321" s="6"/>
      <c r="K321" s="6"/>
    </row>
    <row r="322" spans="1:11" ht="15.6">
      <c r="A322" s="327"/>
      <c r="B322" s="6"/>
      <c r="C322" s="6"/>
      <c r="D322" s="6"/>
      <c r="E322" s="6"/>
      <c r="F322" s="6"/>
      <c r="G322" s="6"/>
      <c r="H322" s="6"/>
      <c r="I322" s="6"/>
      <c r="J322" s="6"/>
      <c r="K322" s="6"/>
    </row>
    <row r="323" spans="1:11" ht="15.6">
      <c r="A323" s="327"/>
      <c r="B323" s="6"/>
      <c r="C323" s="6"/>
      <c r="D323" s="6"/>
      <c r="E323" s="6"/>
      <c r="F323" s="6"/>
      <c r="G323" s="6"/>
      <c r="H323" s="6"/>
      <c r="I323" s="6"/>
      <c r="J323" s="6"/>
      <c r="K323" s="6"/>
    </row>
    <row r="324" spans="1:11" ht="15.6">
      <c r="A324" s="327"/>
      <c r="B324" s="6"/>
      <c r="C324" s="6"/>
      <c r="D324" s="6"/>
      <c r="E324" s="6"/>
      <c r="F324" s="6"/>
      <c r="G324" s="6"/>
      <c r="H324" s="6"/>
      <c r="I324" s="6"/>
      <c r="J324" s="6"/>
      <c r="K324" s="6"/>
    </row>
    <row r="325" spans="1:11" ht="15.6">
      <c r="A325" s="327"/>
      <c r="B325" s="6"/>
      <c r="C325" s="6"/>
      <c r="D325" s="6"/>
      <c r="E325" s="6"/>
      <c r="F325" s="6"/>
      <c r="G325" s="6"/>
      <c r="H325" s="6"/>
      <c r="I325" s="6"/>
      <c r="J325" s="6"/>
      <c r="K325" s="6"/>
    </row>
    <row r="326" spans="1:11" ht="15.6">
      <c r="A326" s="327"/>
      <c r="B326" s="6"/>
      <c r="C326" s="6"/>
      <c r="D326" s="6"/>
      <c r="E326" s="6"/>
      <c r="F326" s="6"/>
      <c r="G326" s="6"/>
      <c r="H326" s="6"/>
      <c r="I326" s="6"/>
      <c r="J326" s="6"/>
      <c r="K326" s="6"/>
    </row>
    <row r="327" spans="1:11" ht="15.6">
      <c r="A327" s="327"/>
      <c r="B327" s="6"/>
      <c r="C327" s="6"/>
      <c r="D327" s="6"/>
      <c r="E327" s="6"/>
      <c r="F327" s="6"/>
      <c r="G327" s="6"/>
      <c r="H327" s="6"/>
      <c r="I327" s="6"/>
      <c r="J327" s="6"/>
      <c r="K327" s="6"/>
    </row>
    <row r="328" spans="1:11" ht="15.6">
      <c r="A328" s="327"/>
      <c r="B328" s="6"/>
      <c r="C328" s="6"/>
      <c r="D328" s="6"/>
      <c r="E328" s="6"/>
      <c r="F328" s="6"/>
      <c r="G328" s="6"/>
      <c r="H328" s="6"/>
      <c r="I328" s="6"/>
      <c r="J328" s="6"/>
      <c r="K328" s="6"/>
    </row>
    <row r="329" spans="1:11" ht="15.6">
      <c r="A329" s="327"/>
      <c r="B329" s="6"/>
      <c r="C329" s="6"/>
      <c r="D329" s="6"/>
      <c r="E329" s="6"/>
      <c r="F329" s="6"/>
      <c r="G329" s="6"/>
      <c r="H329" s="6"/>
      <c r="I329" s="6"/>
      <c r="J329" s="6"/>
      <c r="K329" s="6"/>
    </row>
    <row r="330" spans="1:11" ht="15.6">
      <c r="A330" s="327"/>
      <c r="B330" s="6"/>
      <c r="C330" s="6"/>
      <c r="D330" s="6"/>
      <c r="E330" s="6"/>
      <c r="F330" s="6"/>
      <c r="G330" s="6"/>
      <c r="H330" s="6"/>
      <c r="I330" s="6"/>
      <c r="J330" s="6"/>
      <c r="K330" s="6"/>
    </row>
    <row r="331" spans="1:11" ht="15.6">
      <c r="A331" s="327"/>
      <c r="B331" s="6"/>
      <c r="C331" s="6"/>
      <c r="D331" s="6"/>
      <c r="E331" s="6"/>
      <c r="F331" s="6"/>
      <c r="G331" s="6"/>
      <c r="H331" s="6"/>
      <c r="I331" s="6"/>
      <c r="J331" s="6"/>
      <c r="K331" s="6"/>
    </row>
    <row r="332" spans="1:11" ht="15.6">
      <c r="A332" s="327"/>
      <c r="B332" s="6"/>
      <c r="C332" s="6"/>
      <c r="D332" s="6"/>
      <c r="E332" s="6"/>
      <c r="F332" s="6"/>
      <c r="G332" s="6"/>
      <c r="H332" s="6"/>
      <c r="I332" s="6"/>
      <c r="J332" s="6"/>
      <c r="K332" s="6"/>
    </row>
    <row r="333" spans="1:11" ht="15.6">
      <c r="A333" s="327"/>
      <c r="B333" s="6"/>
      <c r="C333" s="6"/>
      <c r="D333" s="6"/>
      <c r="E333" s="6"/>
      <c r="F333" s="6"/>
      <c r="G333" s="6"/>
      <c r="H333" s="6"/>
      <c r="I333" s="6"/>
      <c r="J333" s="6"/>
      <c r="K333" s="6"/>
    </row>
    <row r="334" spans="1:11" ht="15.6">
      <c r="A334" s="327"/>
      <c r="B334" s="6"/>
      <c r="C334" s="6"/>
      <c r="D334" s="6"/>
      <c r="E334" s="6"/>
      <c r="F334" s="6"/>
      <c r="G334" s="6"/>
      <c r="H334" s="6"/>
      <c r="I334" s="6"/>
      <c r="J334" s="6"/>
      <c r="K334" s="6"/>
    </row>
    <row r="335" spans="1:11" ht="15.6">
      <c r="A335" s="327"/>
      <c r="B335" s="6"/>
      <c r="C335" s="6"/>
      <c r="D335" s="6"/>
      <c r="E335" s="6"/>
      <c r="F335" s="6"/>
      <c r="G335" s="6"/>
      <c r="H335" s="6"/>
      <c r="I335" s="6"/>
      <c r="J335" s="6"/>
      <c r="K335" s="6"/>
    </row>
    <row r="336" spans="1:11" ht="15.6">
      <c r="A336" s="327"/>
      <c r="B336" s="6"/>
      <c r="C336" s="6"/>
      <c r="D336" s="6"/>
      <c r="E336" s="6"/>
      <c r="F336" s="6"/>
      <c r="G336" s="6"/>
      <c r="H336" s="6"/>
      <c r="I336" s="6"/>
      <c r="J336" s="6"/>
      <c r="K336" s="6"/>
    </row>
    <row r="337" spans="1:11" ht="15.6">
      <c r="A337" s="327"/>
      <c r="B337" s="6"/>
      <c r="C337" s="6"/>
      <c r="D337" s="6"/>
      <c r="E337" s="6"/>
      <c r="F337" s="6"/>
      <c r="G337" s="6"/>
      <c r="H337" s="6"/>
      <c r="I337" s="6"/>
      <c r="J337" s="6"/>
      <c r="K337" s="6"/>
    </row>
    <row r="338" spans="1:11" ht="15.6">
      <c r="A338" s="327"/>
      <c r="B338" s="6"/>
      <c r="C338" s="6"/>
      <c r="D338" s="6"/>
      <c r="E338" s="6"/>
      <c r="F338" s="6"/>
      <c r="G338" s="6"/>
      <c r="H338" s="6"/>
      <c r="I338" s="6"/>
      <c r="J338" s="6"/>
      <c r="K338" s="6"/>
    </row>
    <row r="339" spans="1:11" ht="15.6">
      <c r="A339" s="327"/>
      <c r="B339" s="6"/>
      <c r="C339" s="6"/>
      <c r="D339" s="6"/>
      <c r="E339" s="6"/>
      <c r="F339" s="6"/>
      <c r="G339" s="6"/>
      <c r="H339" s="6"/>
      <c r="I339" s="6"/>
      <c r="J339" s="6"/>
      <c r="K339" s="6"/>
    </row>
    <row r="340" spans="1:11" ht="15.6">
      <c r="A340" s="327"/>
      <c r="B340" s="6"/>
      <c r="C340" s="6"/>
      <c r="D340" s="6"/>
      <c r="E340" s="6"/>
      <c r="F340" s="6"/>
      <c r="G340" s="6"/>
      <c r="H340" s="6"/>
      <c r="I340" s="6"/>
      <c r="J340" s="6"/>
      <c r="K340" s="6"/>
    </row>
    <row r="341" spans="1:11" ht="15.6">
      <c r="A341" s="327"/>
      <c r="B341" s="6"/>
      <c r="C341" s="6"/>
      <c r="D341" s="6"/>
      <c r="E341" s="6"/>
      <c r="F341" s="6"/>
      <c r="G341" s="6"/>
      <c r="H341" s="6"/>
      <c r="I341" s="6"/>
      <c r="J341" s="6"/>
      <c r="K341" s="6"/>
    </row>
    <row r="342" spans="1:11" ht="15.6">
      <c r="A342" s="327"/>
      <c r="B342" s="6"/>
      <c r="C342" s="6"/>
      <c r="D342" s="6"/>
      <c r="E342" s="6"/>
      <c r="F342" s="6"/>
      <c r="G342" s="6"/>
      <c r="H342" s="6"/>
      <c r="I342" s="6"/>
      <c r="J342" s="6"/>
      <c r="K342" s="6"/>
    </row>
    <row r="343" spans="1:11" ht="15.6">
      <c r="A343" s="327"/>
      <c r="B343" s="6"/>
      <c r="C343" s="6"/>
      <c r="D343" s="6"/>
      <c r="E343" s="6"/>
      <c r="F343" s="6"/>
      <c r="G343" s="6"/>
      <c r="H343" s="6"/>
      <c r="I343" s="6"/>
      <c r="J343" s="6"/>
      <c r="K343" s="6"/>
    </row>
    <row r="344" spans="1:11" ht="15.6">
      <c r="A344" s="327"/>
      <c r="B344" s="6"/>
      <c r="C344" s="6"/>
      <c r="D344" s="6"/>
      <c r="E344" s="6"/>
      <c r="F344" s="6"/>
      <c r="G344" s="6"/>
      <c r="H344" s="6"/>
      <c r="I344" s="6"/>
      <c r="J344" s="6"/>
      <c r="K344" s="6"/>
    </row>
    <row r="345" spans="1:11" ht="15.6">
      <c r="A345" s="327"/>
      <c r="B345" s="6"/>
      <c r="C345" s="6"/>
      <c r="D345" s="6"/>
      <c r="E345" s="6"/>
      <c r="F345" s="6"/>
      <c r="G345" s="6"/>
      <c r="H345" s="6"/>
      <c r="I345" s="6"/>
      <c r="J345" s="6"/>
      <c r="K345" s="6"/>
    </row>
    <row r="346" spans="1:11" ht="15.6">
      <c r="A346" s="327"/>
      <c r="B346" s="6"/>
      <c r="C346" s="6"/>
      <c r="D346" s="6"/>
      <c r="E346" s="6"/>
      <c r="F346" s="6"/>
      <c r="G346" s="6"/>
      <c r="H346" s="6"/>
      <c r="I346" s="6"/>
      <c r="J346" s="6"/>
      <c r="K346" s="6"/>
    </row>
    <row r="347" spans="1:11" ht="15.6">
      <c r="A347" s="327"/>
      <c r="B347" s="6"/>
      <c r="C347" s="6"/>
      <c r="D347" s="6"/>
      <c r="E347" s="6"/>
      <c r="F347" s="6"/>
      <c r="G347" s="6"/>
      <c r="H347" s="6"/>
      <c r="I347" s="6"/>
      <c r="J347" s="6"/>
      <c r="K347" s="6"/>
    </row>
    <row r="348" spans="1:11" ht="15.6">
      <c r="A348" s="327"/>
      <c r="B348" s="6"/>
      <c r="C348" s="6"/>
      <c r="D348" s="6"/>
      <c r="E348" s="6"/>
      <c r="F348" s="6"/>
      <c r="G348" s="6"/>
      <c r="H348" s="6"/>
      <c r="I348" s="6"/>
      <c r="J348" s="6"/>
      <c r="K348" s="6"/>
    </row>
    <row r="349" spans="1:11" ht="15.6">
      <c r="A349" s="327"/>
      <c r="B349" s="6"/>
      <c r="C349" s="6"/>
      <c r="D349" s="6"/>
      <c r="E349" s="6"/>
      <c r="F349" s="6"/>
      <c r="G349" s="6"/>
      <c r="H349" s="6"/>
      <c r="I349" s="6"/>
      <c r="J349" s="6"/>
      <c r="K349" s="6"/>
    </row>
    <row r="350" spans="1:11" ht="15.6">
      <c r="A350" s="327"/>
      <c r="B350" s="6"/>
      <c r="C350" s="6"/>
      <c r="D350" s="6"/>
      <c r="E350" s="6"/>
      <c r="F350" s="6"/>
      <c r="G350" s="6"/>
      <c r="H350" s="6"/>
      <c r="I350" s="6"/>
      <c r="J350" s="6"/>
      <c r="K350" s="6"/>
    </row>
    <row r="351" spans="1:11" ht="15.6">
      <c r="A351" s="327"/>
      <c r="B351" s="6"/>
      <c r="C351" s="6"/>
      <c r="D351" s="6"/>
      <c r="E351" s="6"/>
      <c r="F351" s="6"/>
      <c r="G351" s="6"/>
      <c r="H351" s="6"/>
      <c r="I351" s="6"/>
      <c r="J351" s="6"/>
      <c r="K351" s="6"/>
    </row>
    <row r="352" spans="1:11" ht="15.6">
      <c r="A352" s="327"/>
      <c r="B352" s="6"/>
      <c r="C352" s="6"/>
      <c r="D352" s="6"/>
      <c r="E352" s="6"/>
      <c r="F352" s="6"/>
      <c r="G352" s="6"/>
      <c r="H352" s="6"/>
      <c r="I352" s="6"/>
      <c r="J352" s="6"/>
      <c r="K352" s="6"/>
    </row>
    <row r="353" spans="1:11" ht="15.6">
      <c r="A353" s="327"/>
      <c r="B353" s="6"/>
      <c r="C353" s="6"/>
      <c r="D353" s="6"/>
      <c r="E353" s="6"/>
      <c r="F353" s="6"/>
      <c r="G353" s="6"/>
      <c r="H353" s="6"/>
      <c r="I353" s="6"/>
      <c r="J353" s="6"/>
      <c r="K353" s="6"/>
    </row>
    <row r="354" spans="1:11" ht="15.6">
      <c r="A354" s="327"/>
      <c r="B354" s="6"/>
      <c r="C354" s="6"/>
      <c r="D354" s="6"/>
      <c r="E354" s="6"/>
      <c r="F354" s="6"/>
      <c r="G354" s="6"/>
      <c r="H354" s="6"/>
      <c r="I354" s="6"/>
      <c r="J354" s="6"/>
      <c r="K354" s="6"/>
    </row>
    <row r="355" spans="1:11" ht="15.6">
      <c r="A355" s="327"/>
      <c r="B355" s="6"/>
      <c r="C355" s="6"/>
      <c r="D355" s="6"/>
      <c r="E355" s="6"/>
      <c r="F355" s="6"/>
      <c r="G355" s="6"/>
      <c r="H355" s="6"/>
      <c r="I355" s="6"/>
      <c r="J355" s="6"/>
      <c r="K355" s="6"/>
    </row>
    <row r="356" spans="1:11" ht="15.6">
      <c r="A356" s="327"/>
      <c r="B356" s="6"/>
      <c r="C356" s="6"/>
      <c r="D356" s="6"/>
      <c r="E356" s="6"/>
      <c r="F356" s="6"/>
      <c r="G356" s="6"/>
      <c r="H356" s="6"/>
      <c r="I356" s="6"/>
      <c r="J356" s="6"/>
      <c r="K356" s="6"/>
    </row>
    <row r="357" spans="1:11" ht="15.6">
      <c r="A357" s="327"/>
      <c r="B357" s="6"/>
      <c r="C357" s="6"/>
      <c r="D357" s="6"/>
      <c r="E357" s="6"/>
      <c r="F357" s="6"/>
      <c r="G357" s="6"/>
      <c r="H357" s="6"/>
      <c r="I357" s="6"/>
      <c r="J357" s="6"/>
      <c r="K357" s="6"/>
    </row>
    <row r="358" spans="1:11" ht="15.6">
      <c r="A358" s="327"/>
      <c r="B358" s="6"/>
      <c r="C358" s="6"/>
      <c r="D358" s="6"/>
      <c r="E358" s="6"/>
      <c r="F358" s="6"/>
      <c r="G358" s="6"/>
      <c r="H358" s="6"/>
      <c r="I358" s="6"/>
      <c r="J358" s="6"/>
      <c r="K358" s="6"/>
    </row>
    <row r="359" spans="1:11" ht="15.6">
      <c r="A359" s="327"/>
      <c r="B359" s="6"/>
      <c r="C359" s="6"/>
      <c r="D359" s="6"/>
      <c r="E359" s="6"/>
      <c r="F359" s="6"/>
      <c r="G359" s="6"/>
      <c r="H359" s="6"/>
      <c r="I359" s="6"/>
      <c r="J359" s="6"/>
      <c r="K359" s="6"/>
    </row>
    <row r="360" spans="1:11" ht="15.6">
      <c r="A360" s="327"/>
      <c r="B360" s="6"/>
      <c r="C360" s="6"/>
      <c r="D360" s="6"/>
      <c r="E360" s="6"/>
      <c r="F360" s="6"/>
      <c r="G360" s="6"/>
      <c r="H360" s="6"/>
      <c r="I360" s="6"/>
      <c r="J360" s="6"/>
      <c r="K360" s="6"/>
    </row>
    <row r="361" spans="1:11" ht="15.6">
      <c r="A361" s="327"/>
      <c r="B361" s="6"/>
      <c r="C361" s="6"/>
      <c r="D361" s="6"/>
      <c r="E361" s="6"/>
      <c r="F361" s="6"/>
      <c r="G361" s="6"/>
      <c r="H361" s="6"/>
      <c r="I361" s="6"/>
      <c r="J361" s="6"/>
      <c r="K361" s="6"/>
    </row>
    <row r="362" spans="1:11" ht="15.6">
      <c r="A362" s="327"/>
      <c r="B362" s="6"/>
      <c r="C362" s="6"/>
      <c r="D362" s="6"/>
      <c r="E362" s="6"/>
      <c r="F362" s="6"/>
      <c r="G362" s="6"/>
      <c r="H362" s="6"/>
      <c r="I362" s="6"/>
      <c r="J362" s="6"/>
      <c r="K362" s="6"/>
    </row>
    <row r="363" spans="1:11" ht="15.6">
      <c r="A363" s="327"/>
      <c r="B363" s="6"/>
      <c r="C363" s="6"/>
      <c r="D363" s="6"/>
      <c r="E363" s="6"/>
      <c r="F363" s="6"/>
      <c r="G363" s="6"/>
      <c r="H363" s="6"/>
      <c r="I363" s="6"/>
      <c r="J363" s="6"/>
      <c r="K363" s="6"/>
    </row>
    <row r="364" spans="1:11" ht="15.6">
      <c r="A364" s="327"/>
      <c r="B364" s="6"/>
      <c r="C364" s="6"/>
      <c r="D364" s="6"/>
      <c r="E364" s="6"/>
      <c r="F364" s="6"/>
      <c r="G364" s="6"/>
      <c r="H364" s="6"/>
      <c r="I364" s="6"/>
      <c r="J364" s="6"/>
      <c r="K364" s="6"/>
    </row>
    <row r="365" spans="1:11" ht="15.6">
      <c r="A365" s="327"/>
      <c r="B365" s="6"/>
      <c r="C365" s="6"/>
      <c r="D365" s="6"/>
      <c r="E365" s="6"/>
      <c r="F365" s="6"/>
      <c r="G365" s="6"/>
      <c r="H365" s="6"/>
      <c r="I365" s="6"/>
      <c r="J365" s="6"/>
      <c r="K365" s="6"/>
    </row>
    <row r="366" spans="1:11" ht="15.6">
      <c r="A366" s="327"/>
      <c r="B366" s="6"/>
      <c r="C366" s="6"/>
      <c r="D366" s="6"/>
      <c r="E366" s="6"/>
      <c r="F366" s="6"/>
      <c r="G366" s="6"/>
      <c r="H366" s="6"/>
      <c r="I366" s="6"/>
      <c r="J366" s="6"/>
      <c r="K366" s="6"/>
    </row>
    <row r="367" spans="1:11" ht="15.6">
      <c r="A367" s="327"/>
      <c r="B367" s="6"/>
      <c r="C367" s="6"/>
      <c r="D367" s="6"/>
      <c r="E367" s="6"/>
      <c r="F367" s="6"/>
      <c r="G367" s="6"/>
      <c r="H367" s="6"/>
      <c r="I367" s="6"/>
      <c r="J367" s="6"/>
      <c r="K367" s="6"/>
    </row>
    <row r="368" spans="1:11" ht="15.6">
      <c r="A368" s="327"/>
      <c r="B368" s="6"/>
      <c r="C368" s="6"/>
      <c r="D368" s="6"/>
      <c r="E368" s="6"/>
      <c r="F368" s="6"/>
      <c r="G368" s="6"/>
      <c r="H368" s="6"/>
      <c r="I368" s="6"/>
      <c r="J368" s="6"/>
      <c r="K368" s="6"/>
    </row>
    <row r="369" spans="1:11" ht="15.6">
      <c r="A369" s="327"/>
      <c r="B369" s="6"/>
      <c r="C369" s="6"/>
      <c r="D369" s="6"/>
      <c r="E369" s="6"/>
      <c r="F369" s="6"/>
      <c r="G369" s="6"/>
      <c r="H369" s="6"/>
      <c r="I369" s="6"/>
      <c r="J369" s="6"/>
      <c r="K369" s="6"/>
    </row>
    <row r="370" spans="1:11" ht="15.6">
      <c r="A370" s="327"/>
      <c r="B370" s="6"/>
      <c r="C370" s="6"/>
      <c r="D370" s="6"/>
      <c r="E370" s="6"/>
      <c r="F370" s="6"/>
      <c r="G370" s="6"/>
      <c r="H370" s="6"/>
      <c r="I370" s="6"/>
      <c r="J370" s="6"/>
      <c r="K370" s="6"/>
    </row>
    <row r="371" spans="1:11" ht="15.6">
      <c r="A371" s="327"/>
      <c r="B371" s="6"/>
      <c r="C371" s="6"/>
      <c r="D371" s="6"/>
      <c r="E371" s="6"/>
      <c r="F371" s="6"/>
      <c r="G371" s="6"/>
      <c r="H371" s="6"/>
      <c r="I371" s="6"/>
      <c r="J371" s="6"/>
      <c r="K371" s="6"/>
    </row>
    <row r="372" spans="1:11" ht="15.6">
      <c r="A372" s="327"/>
      <c r="B372" s="6"/>
      <c r="C372" s="6"/>
      <c r="D372" s="6"/>
      <c r="E372" s="6"/>
      <c r="F372" s="6"/>
      <c r="G372" s="6"/>
      <c r="H372" s="6"/>
      <c r="I372" s="6"/>
      <c r="J372" s="6"/>
      <c r="K372" s="6"/>
    </row>
    <row r="373" spans="1:11" ht="15.6">
      <c r="A373" s="327"/>
      <c r="B373" s="6"/>
      <c r="C373" s="6"/>
      <c r="D373" s="6"/>
      <c r="E373" s="6"/>
      <c r="F373" s="6"/>
      <c r="G373" s="6"/>
      <c r="H373" s="6"/>
      <c r="I373" s="6"/>
      <c r="J373" s="6"/>
      <c r="K373" s="6"/>
    </row>
    <row r="374" spans="1:11" ht="15.6">
      <c r="A374" s="327"/>
      <c r="B374" s="6"/>
      <c r="C374" s="6"/>
      <c r="D374" s="6"/>
      <c r="E374" s="6"/>
      <c r="F374" s="6"/>
      <c r="G374" s="6"/>
      <c r="H374" s="6"/>
      <c r="I374" s="6"/>
      <c r="J374" s="6"/>
      <c r="K374" s="6"/>
    </row>
    <row r="375" spans="1:11" ht="15.6">
      <c r="A375" s="327"/>
      <c r="B375" s="6"/>
      <c r="C375" s="6"/>
      <c r="D375" s="6"/>
      <c r="E375" s="6"/>
      <c r="F375" s="6"/>
      <c r="G375" s="6"/>
      <c r="H375" s="6"/>
      <c r="I375" s="6"/>
      <c r="J375" s="6"/>
      <c r="K375" s="6"/>
    </row>
    <row r="376" spans="1:11" ht="15.6">
      <c r="A376" s="327"/>
      <c r="B376" s="6"/>
      <c r="C376" s="6"/>
      <c r="D376" s="6"/>
      <c r="E376" s="6"/>
      <c r="F376" s="6"/>
      <c r="G376" s="6"/>
      <c r="H376" s="6"/>
      <c r="I376" s="6"/>
      <c r="J376" s="6"/>
      <c r="K376" s="6"/>
    </row>
    <row r="377" spans="1:11" ht="15.6">
      <c r="A377" s="327"/>
      <c r="B377" s="6"/>
      <c r="C377" s="6"/>
      <c r="D377" s="6"/>
      <c r="E377" s="6"/>
      <c r="F377" s="6"/>
      <c r="G377" s="6"/>
      <c r="H377" s="6"/>
      <c r="I377" s="6"/>
      <c r="J377" s="6"/>
      <c r="K377" s="6"/>
    </row>
    <row r="378" spans="1:11" ht="15.6">
      <c r="A378" s="327"/>
      <c r="B378" s="6"/>
      <c r="C378" s="6"/>
      <c r="D378" s="6"/>
      <c r="E378" s="6"/>
      <c r="F378" s="6"/>
      <c r="G378" s="6"/>
      <c r="H378" s="6"/>
      <c r="I378" s="6"/>
      <c r="J378" s="6"/>
      <c r="K378" s="6"/>
    </row>
    <row r="379" spans="1:11" ht="15.6">
      <c r="A379" s="327"/>
      <c r="B379" s="6"/>
      <c r="C379" s="6"/>
      <c r="D379" s="6"/>
      <c r="E379" s="6"/>
      <c r="F379" s="6"/>
      <c r="G379" s="6"/>
      <c r="H379" s="6"/>
      <c r="I379" s="6"/>
      <c r="J379" s="6"/>
      <c r="K379" s="6"/>
    </row>
    <row r="380" spans="1:11" ht="15.6">
      <c r="A380" s="327"/>
      <c r="B380" s="6"/>
      <c r="C380" s="6"/>
      <c r="D380" s="6"/>
      <c r="E380" s="6"/>
      <c r="F380" s="6"/>
      <c r="G380" s="6"/>
      <c r="H380" s="6"/>
      <c r="I380" s="6"/>
      <c r="J380" s="6"/>
      <c r="K380" s="6"/>
    </row>
    <row r="381" spans="1:11" ht="15.6">
      <c r="A381" s="327"/>
      <c r="B381" s="6"/>
      <c r="C381" s="6"/>
      <c r="D381" s="6"/>
      <c r="E381" s="6"/>
      <c r="F381" s="6"/>
      <c r="G381" s="6"/>
      <c r="H381" s="6"/>
      <c r="I381" s="6"/>
      <c r="J381" s="6"/>
      <c r="K381" s="6"/>
    </row>
    <row r="382" spans="1:11" ht="15.6">
      <c r="A382" s="327"/>
      <c r="B382" s="6"/>
      <c r="C382" s="6"/>
      <c r="D382" s="6"/>
      <c r="E382" s="6"/>
      <c r="F382" s="6"/>
      <c r="G382" s="6"/>
      <c r="H382" s="6"/>
      <c r="I382" s="6"/>
      <c r="J382" s="6"/>
      <c r="K382" s="6"/>
    </row>
    <row r="383" spans="1:11" ht="15.6">
      <c r="A383" s="327"/>
      <c r="B383" s="6"/>
      <c r="C383" s="6"/>
      <c r="D383" s="6"/>
      <c r="E383" s="6"/>
      <c r="F383" s="6"/>
      <c r="G383" s="6"/>
      <c r="H383" s="6"/>
      <c r="I383" s="6"/>
      <c r="J383" s="6"/>
      <c r="K383" s="6"/>
    </row>
    <row r="384" spans="1:11" ht="15.6">
      <c r="A384" s="327"/>
      <c r="B384" s="6"/>
      <c r="C384" s="6"/>
      <c r="D384" s="6"/>
      <c r="E384" s="6"/>
      <c r="F384" s="6"/>
      <c r="G384" s="6"/>
      <c r="H384" s="6"/>
      <c r="I384" s="6"/>
      <c r="J384" s="6"/>
      <c r="K384" s="6"/>
    </row>
    <row r="385" spans="1:11" ht="15.6">
      <c r="A385" s="327"/>
      <c r="B385" s="6"/>
      <c r="C385" s="6"/>
      <c r="D385" s="6"/>
      <c r="E385" s="6"/>
      <c r="F385" s="6"/>
      <c r="G385" s="6"/>
      <c r="H385" s="6"/>
      <c r="I385" s="6"/>
      <c r="J385" s="6"/>
      <c r="K385" s="6"/>
    </row>
    <row r="386" spans="1:11" ht="15.6">
      <c r="A386" s="327"/>
      <c r="B386" s="6"/>
      <c r="C386" s="6"/>
      <c r="D386" s="6"/>
      <c r="E386" s="6"/>
      <c r="F386" s="6"/>
      <c r="G386" s="6"/>
      <c r="H386" s="6"/>
      <c r="I386" s="6"/>
      <c r="J386" s="6"/>
      <c r="K386" s="6"/>
    </row>
    <row r="387" spans="1:11" ht="15.6">
      <c r="A387" s="327"/>
      <c r="B387" s="6"/>
      <c r="C387" s="6"/>
      <c r="D387" s="6"/>
      <c r="E387" s="6"/>
      <c r="F387" s="6"/>
      <c r="G387" s="6"/>
      <c r="H387" s="6"/>
      <c r="I387" s="6"/>
      <c r="J387" s="6"/>
      <c r="K387" s="6"/>
    </row>
    <row r="388" spans="1:11" ht="15.6">
      <c r="A388" s="327"/>
      <c r="B388" s="6"/>
      <c r="C388" s="6"/>
      <c r="D388" s="6"/>
      <c r="E388" s="6"/>
      <c r="F388" s="6"/>
      <c r="G388" s="6"/>
      <c r="H388" s="6"/>
      <c r="I388" s="6"/>
      <c r="J388" s="6"/>
      <c r="K388" s="6"/>
    </row>
    <row r="389" spans="1:11" ht="15.6">
      <c r="A389" s="327"/>
      <c r="B389" s="6"/>
      <c r="C389" s="6"/>
      <c r="D389" s="6"/>
      <c r="E389" s="6"/>
      <c r="F389" s="6"/>
      <c r="G389" s="6"/>
      <c r="H389" s="6"/>
      <c r="I389" s="6"/>
      <c r="J389" s="6"/>
      <c r="K389" s="6"/>
    </row>
    <row r="390" spans="1:11" ht="15.6">
      <c r="A390" s="327"/>
      <c r="B390" s="6"/>
      <c r="C390" s="6"/>
      <c r="D390" s="6"/>
      <c r="E390" s="6"/>
      <c r="F390" s="6"/>
      <c r="G390" s="6"/>
      <c r="H390" s="6"/>
      <c r="I390" s="6"/>
      <c r="J390" s="6"/>
      <c r="K390" s="6"/>
    </row>
    <row r="391" spans="1:11" ht="15.6">
      <c r="A391" s="327"/>
      <c r="B391" s="6"/>
      <c r="C391" s="6"/>
      <c r="D391" s="6"/>
      <c r="E391" s="6"/>
      <c r="F391" s="6"/>
      <c r="G391" s="6"/>
      <c r="H391" s="6"/>
      <c r="I391" s="6"/>
      <c r="J391" s="6"/>
      <c r="K391" s="6"/>
    </row>
    <row r="392" spans="1:11" ht="15.6">
      <c r="A392" s="327"/>
      <c r="B392" s="6"/>
      <c r="C392" s="6"/>
      <c r="D392" s="6"/>
      <c r="E392" s="6"/>
      <c r="F392" s="6"/>
      <c r="G392" s="6"/>
      <c r="H392" s="6"/>
      <c r="I392" s="6"/>
      <c r="J392" s="6"/>
      <c r="K392" s="6"/>
    </row>
    <row r="393" spans="1:11" ht="15.6">
      <c r="A393" s="327"/>
      <c r="B393" s="6"/>
      <c r="C393" s="6"/>
      <c r="D393" s="6"/>
      <c r="E393" s="6"/>
      <c r="F393" s="6"/>
      <c r="G393" s="6"/>
      <c r="H393" s="6"/>
      <c r="I393" s="6"/>
      <c r="J393" s="6"/>
      <c r="K393" s="6"/>
    </row>
    <row r="394" spans="1:11" ht="15.6">
      <c r="A394" s="327"/>
      <c r="B394" s="6"/>
      <c r="C394" s="6"/>
      <c r="D394" s="6"/>
      <c r="E394" s="6"/>
      <c r="F394" s="6"/>
      <c r="G394" s="6"/>
      <c r="H394" s="6"/>
      <c r="I394" s="6"/>
      <c r="J394" s="6"/>
      <c r="K394" s="6"/>
    </row>
    <row r="395" spans="1:11" ht="15.6">
      <c r="A395" s="327"/>
      <c r="B395" s="6"/>
      <c r="C395" s="6"/>
      <c r="D395" s="6"/>
      <c r="E395" s="6"/>
      <c r="F395" s="6"/>
      <c r="G395" s="6"/>
      <c r="H395" s="6"/>
      <c r="I395" s="6"/>
      <c r="J395" s="6"/>
      <c r="K395" s="6"/>
    </row>
    <row r="396" spans="1:11" ht="15.6">
      <c r="A396" s="327"/>
      <c r="B396" s="6"/>
      <c r="C396" s="6"/>
      <c r="D396" s="6"/>
      <c r="E396" s="6"/>
      <c r="F396" s="6"/>
      <c r="G396" s="6"/>
      <c r="H396" s="6"/>
      <c r="I396" s="6"/>
      <c r="J396" s="6"/>
      <c r="K396" s="6"/>
    </row>
    <row r="397" spans="1:11" ht="15.6">
      <c r="A397" s="327"/>
      <c r="B397" s="6"/>
      <c r="C397" s="6"/>
      <c r="D397" s="6"/>
      <c r="E397" s="6"/>
      <c r="F397" s="6"/>
      <c r="G397" s="6"/>
      <c r="H397" s="6"/>
      <c r="I397" s="6"/>
      <c r="J397" s="6"/>
      <c r="K397" s="6"/>
    </row>
    <row r="398" spans="1:11" ht="15.6">
      <c r="A398" s="327"/>
      <c r="B398" s="6"/>
      <c r="C398" s="6"/>
      <c r="D398" s="6"/>
      <c r="E398" s="6"/>
      <c r="F398" s="6"/>
      <c r="G398" s="6"/>
      <c r="H398" s="6"/>
      <c r="I398" s="6"/>
      <c r="J398" s="6"/>
      <c r="K398" s="6"/>
    </row>
    <row r="399" spans="1:11" ht="15.6">
      <c r="A399" s="327"/>
      <c r="B399" s="6"/>
      <c r="C399" s="6"/>
      <c r="D399" s="6"/>
      <c r="E399" s="6"/>
      <c r="F399" s="6"/>
      <c r="G399" s="6"/>
      <c r="H399" s="6"/>
      <c r="I399" s="6"/>
      <c r="J399" s="6"/>
      <c r="K399" s="6"/>
    </row>
    <row r="400" spans="1:11" ht="15.6">
      <c r="A400" s="327"/>
      <c r="B400" s="6"/>
      <c r="C400" s="6"/>
      <c r="D400" s="6"/>
      <c r="E400" s="6"/>
      <c r="F400" s="6"/>
      <c r="G400" s="6"/>
      <c r="H400" s="6"/>
      <c r="I400" s="6"/>
      <c r="J400" s="6"/>
      <c r="K400" s="6"/>
    </row>
    <row r="401" spans="1:11" ht="15.6">
      <c r="A401" s="327"/>
      <c r="B401" s="6"/>
      <c r="C401" s="6"/>
      <c r="D401" s="6"/>
      <c r="E401" s="6"/>
      <c r="F401" s="6"/>
      <c r="G401" s="6"/>
      <c r="H401" s="6"/>
      <c r="I401" s="6"/>
      <c r="J401" s="6"/>
      <c r="K401" s="6"/>
    </row>
    <row r="402" spans="1:11" ht="15.6">
      <c r="A402" s="327"/>
      <c r="B402" s="6"/>
      <c r="C402" s="6"/>
      <c r="D402" s="6"/>
      <c r="E402" s="6"/>
      <c r="F402" s="6"/>
      <c r="G402" s="6"/>
      <c r="H402" s="6"/>
      <c r="I402" s="6"/>
      <c r="J402" s="6"/>
      <c r="K402" s="6"/>
    </row>
    <row r="403" spans="1:11" ht="15.6">
      <c r="A403" s="327"/>
      <c r="B403" s="6"/>
      <c r="C403" s="6"/>
      <c r="D403" s="6"/>
      <c r="E403" s="6"/>
      <c r="F403" s="6"/>
      <c r="G403" s="6"/>
      <c r="H403" s="6"/>
      <c r="I403" s="6"/>
      <c r="J403" s="6"/>
      <c r="K403" s="6"/>
    </row>
    <row r="404" spans="1:11" ht="15.6">
      <c r="A404" s="327"/>
      <c r="B404" s="6"/>
      <c r="C404" s="6"/>
      <c r="D404" s="6"/>
      <c r="E404" s="6"/>
      <c r="F404" s="6"/>
      <c r="G404" s="6"/>
      <c r="H404" s="6"/>
      <c r="I404" s="6"/>
      <c r="J404" s="6"/>
      <c r="K404" s="6"/>
    </row>
    <row r="405" spans="1:11" ht="15.6">
      <c r="A405" s="327"/>
      <c r="B405" s="6"/>
      <c r="C405" s="6"/>
      <c r="D405" s="6"/>
      <c r="E405" s="6"/>
      <c r="F405" s="6"/>
      <c r="G405" s="6"/>
      <c r="H405" s="6"/>
      <c r="I405" s="6"/>
      <c r="J405" s="6"/>
      <c r="K405" s="6"/>
    </row>
    <row r="406" spans="1:11" ht="15.6">
      <c r="A406" s="327"/>
      <c r="B406" s="6"/>
      <c r="C406" s="6"/>
      <c r="D406" s="6"/>
      <c r="E406" s="6"/>
      <c r="F406" s="6"/>
      <c r="G406" s="6"/>
      <c r="H406" s="6"/>
      <c r="I406" s="6"/>
      <c r="J406" s="6"/>
      <c r="K406" s="6"/>
    </row>
    <row r="407" spans="1:11" ht="15.6">
      <c r="A407" s="327"/>
      <c r="B407" s="6"/>
      <c r="C407" s="6"/>
      <c r="D407" s="6"/>
      <c r="E407" s="6"/>
      <c r="F407" s="6"/>
      <c r="G407" s="6"/>
      <c r="H407" s="6"/>
      <c r="I407" s="6"/>
      <c r="J407" s="6"/>
      <c r="K407" s="6"/>
    </row>
    <row r="408" spans="1:11" ht="15.6">
      <c r="A408" s="327"/>
      <c r="B408" s="6"/>
      <c r="C408" s="6"/>
      <c r="D408" s="6"/>
      <c r="E408" s="6"/>
      <c r="F408" s="6"/>
      <c r="G408" s="6"/>
      <c r="H408" s="6"/>
      <c r="I408" s="6"/>
      <c r="J408" s="6"/>
      <c r="K408" s="6"/>
    </row>
    <row r="409" spans="1:11" ht="15.6">
      <c r="A409" s="327"/>
      <c r="B409" s="6"/>
      <c r="C409" s="6"/>
      <c r="D409" s="6"/>
      <c r="E409" s="6"/>
      <c r="F409" s="6"/>
      <c r="G409" s="6"/>
      <c r="H409" s="6"/>
      <c r="I409" s="6"/>
      <c r="J409" s="6"/>
      <c r="K409" s="6"/>
    </row>
    <row r="410" spans="1:11" ht="15.6">
      <c r="A410" s="327"/>
      <c r="B410" s="6"/>
      <c r="C410" s="6"/>
      <c r="D410" s="6"/>
      <c r="E410" s="6"/>
      <c r="F410" s="6"/>
      <c r="G410" s="6"/>
      <c r="H410" s="6"/>
      <c r="I410" s="6"/>
      <c r="J410" s="6"/>
      <c r="K410" s="6"/>
    </row>
    <row r="411" spans="1:11" ht="15.6">
      <c r="A411" s="327"/>
      <c r="B411" s="6"/>
      <c r="C411" s="6"/>
      <c r="D411" s="6"/>
      <c r="E411" s="6"/>
      <c r="F411" s="6"/>
      <c r="G411" s="6"/>
      <c r="H411" s="6"/>
      <c r="I411" s="6"/>
      <c r="J411" s="6"/>
      <c r="K411" s="6"/>
    </row>
    <row r="412" spans="1:11" ht="15.6">
      <c r="A412" s="327"/>
      <c r="B412" s="6"/>
      <c r="C412" s="6"/>
      <c r="D412" s="6"/>
      <c r="E412" s="6"/>
      <c r="F412" s="6"/>
      <c r="G412" s="6"/>
      <c r="H412" s="6"/>
      <c r="I412" s="6"/>
      <c r="J412" s="6"/>
      <c r="K412" s="6"/>
    </row>
    <row r="413" spans="1:11" ht="15.6">
      <c r="A413" s="327"/>
      <c r="B413" s="6"/>
      <c r="C413" s="6"/>
      <c r="D413" s="6"/>
      <c r="E413" s="6"/>
      <c r="F413" s="6"/>
      <c r="G413" s="6"/>
      <c r="H413" s="6"/>
      <c r="I413" s="6"/>
      <c r="J413" s="6"/>
      <c r="K413" s="6"/>
    </row>
    <row r="414" spans="1:11" ht="15.6">
      <c r="A414" s="327"/>
      <c r="B414" s="6"/>
      <c r="C414" s="6"/>
      <c r="D414" s="6"/>
      <c r="E414" s="6"/>
      <c r="F414" s="6"/>
      <c r="G414" s="6"/>
      <c r="H414" s="6"/>
      <c r="I414" s="6"/>
      <c r="J414" s="6"/>
      <c r="K414" s="6"/>
    </row>
    <row r="415" spans="1:11" ht="15.6">
      <c r="A415" s="327"/>
      <c r="B415" s="6"/>
      <c r="C415" s="6"/>
      <c r="D415" s="6"/>
      <c r="E415" s="6"/>
      <c r="F415" s="6"/>
      <c r="G415" s="6"/>
      <c r="H415" s="6"/>
      <c r="I415" s="6"/>
      <c r="J415" s="6"/>
      <c r="K415" s="6"/>
    </row>
    <row r="416" spans="1:11" ht="15.6">
      <c r="A416" s="327"/>
      <c r="B416" s="6"/>
      <c r="C416" s="6"/>
      <c r="D416" s="6"/>
      <c r="E416" s="6"/>
      <c r="F416" s="6"/>
      <c r="G416" s="6"/>
      <c r="H416" s="6"/>
      <c r="I416" s="6"/>
      <c r="J416" s="6"/>
      <c r="K416" s="6"/>
    </row>
    <row r="417" spans="1:11" ht="15.6">
      <c r="A417" s="327"/>
      <c r="B417" s="6"/>
      <c r="C417" s="6"/>
      <c r="D417" s="6"/>
      <c r="E417" s="6"/>
      <c r="F417" s="6"/>
      <c r="G417" s="6"/>
      <c r="H417" s="6"/>
      <c r="I417" s="6"/>
      <c r="J417" s="6"/>
      <c r="K417" s="6"/>
    </row>
    <row r="418" spans="1:11" ht="15.6">
      <c r="A418" s="327"/>
      <c r="B418" s="6"/>
      <c r="C418" s="6"/>
      <c r="D418" s="6"/>
      <c r="E418" s="6"/>
      <c r="F418" s="6"/>
      <c r="G418" s="6"/>
      <c r="H418" s="6"/>
      <c r="I418" s="6"/>
      <c r="J418" s="6"/>
      <c r="K418" s="6"/>
    </row>
    <row r="419" spans="1:11" ht="15.6">
      <c r="A419" s="327"/>
      <c r="B419" s="6"/>
      <c r="C419" s="6"/>
      <c r="D419" s="6"/>
      <c r="E419" s="6"/>
      <c r="F419" s="6"/>
      <c r="G419" s="6"/>
      <c r="H419" s="6"/>
      <c r="I419" s="6"/>
      <c r="J419" s="6"/>
      <c r="K419" s="6"/>
    </row>
    <row r="420" spans="1:11" ht="15.6">
      <c r="A420" s="327"/>
      <c r="B420" s="6"/>
      <c r="C420" s="6"/>
      <c r="D420" s="6"/>
      <c r="E420" s="6"/>
      <c r="F420" s="6"/>
      <c r="G420" s="6"/>
      <c r="H420" s="6"/>
      <c r="I420" s="6"/>
      <c r="J420" s="6"/>
      <c r="K420" s="6"/>
    </row>
    <row r="421" spans="1:11" ht="15.6">
      <c r="A421" s="327"/>
      <c r="B421" s="6"/>
      <c r="C421" s="6"/>
      <c r="D421" s="6"/>
      <c r="E421" s="6"/>
      <c r="F421" s="6"/>
      <c r="G421" s="6"/>
      <c r="H421" s="6"/>
      <c r="I421" s="6"/>
      <c r="J421" s="6"/>
      <c r="K421" s="6"/>
    </row>
    <row r="422" spans="1:11" ht="15.6">
      <c r="A422" s="327"/>
      <c r="B422" s="6"/>
      <c r="C422" s="6"/>
      <c r="D422" s="6"/>
      <c r="E422" s="6"/>
      <c r="F422" s="6"/>
      <c r="G422" s="6"/>
      <c r="H422" s="6"/>
      <c r="I422" s="6"/>
      <c r="J422" s="6"/>
      <c r="K422" s="6"/>
    </row>
    <row r="423" spans="1:11" ht="15.6">
      <c r="A423" s="327"/>
      <c r="B423" s="6"/>
      <c r="C423" s="6"/>
      <c r="D423" s="6"/>
      <c r="E423" s="6"/>
      <c r="F423" s="6"/>
      <c r="G423" s="6"/>
      <c r="H423" s="6"/>
      <c r="I423" s="6"/>
      <c r="J423" s="6"/>
      <c r="K423" s="6"/>
    </row>
    <row r="424" spans="1:11" ht="15.6">
      <c r="A424" s="327"/>
      <c r="B424" s="6"/>
      <c r="C424" s="6"/>
      <c r="D424" s="6"/>
      <c r="E424" s="6"/>
      <c r="F424" s="6"/>
      <c r="G424" s="6"/>
      <c r="H424" s="6"/>
      <c r="I424" s="6"/>
      <c r="J424" s="6"/>
      <c r="K424" s="6"/>
    </row>
    <row r="425" spans="1:11" ht="15.6">
      <c r="A425" s="327"/>
      <c r="B425" s="6"/>
      <c r="C425" s="6"/>
      <c r="D425" s="6"/>
      <c r="E425" s="6"/>
      <c r="F425" s="6"/>
      <c r="G425" s="6"/>
      <c r="H425" s="6"/>
      <c r="I425" s="6"/>
      <c r="J425" s="6"/>
      <c r="K425" s="6"/>
    </row>
    <row r="426" spans="1:11" ht="15.6">
      <c r="A426" s="327"/>
      <c r="B426" s="6"/>
      <c r="C426" s="6"/>
      <c r="D426" s="6"/>
      <c r="E426" s="6"/>
      <c r="F426" s="6"/>
      <c r="G426" s="6"/>
      <c r="H426" s="6"/>
      <c r="I426" s="6"/>
      <c r="J426" s="6"/>
      <c r="K426" s="6"/>
    </row>
    <row r="427" spans="1:11" ht="15.6">
      <c r="A427" s="327"/>
      <c r="B427" s="6"/>
      <c r="C427" s="6"/>
      <c r="D427" s="6"/>
      <c r="E427" s="6"/>
      <c r="F427" s="6"/>
      <c r="G427" s="6"/>
      <c r="H427" s="6"/>
      <c r="I427" s="6"/>
      <c r="J427" s="6"/>
      <c r="K427" s="6"/>
    </row>
    <row r="428" spans="1:11" ht="15.6">
      <c r="A428" s="327"/>
      <c r="B428" s="6"/>
      <c r="C428" s="6"/>
      <c r="D428" s="6"/>
      <c r="E428" s="6"/>
      <c r="F428" s="6"/>
      <c r="G428" s="6"/>
      <c r="H428" s="6"/>
      <c r="I428" s="6"/>
      <c r="J428" s="6"/>
      <c r="K428" s="6"/>
    </row>
    <row r="429" spans="1:11" ht="15.6">
      <c r="A429" s="327"/>
      <c r="B429" s="6"/>
      <c r="C429" s="6"/>
      <c r="D429" s="6"/>
      <c r="E429" s="6"/>
      <c r="F429" s="6"/>
      <c r="G429" s="6"/>
      <c r="H429" s="6"/>
      <c r="I429" s="6"/>
      <c r="J429" s="6"/>
      <c r="K429" s="6"/>
    </row>
    <row r="430" spans="1:11" ht="15.6">
      <c r="A430" s="327"/>
      <c r="B430" s="6"/>
      <c r="C430" s="6"/>
      <c r="D430" s="6"/>
      <c r="E430" s="6"/>
      <c r="F430" s="6"/>
      <c r="G430" s="6"/>
      <c r="H430" s="6"/>
      <c r="I430" s="6"/>
      <c r="J430" s="6"/>
      <c r="K430" s="6"/>
    </row>
    <row r="431" spans="1:11" ht="15.6">
      <c r="A431" s="327"/>
      <c r="B431" s="6"/>
      <c r="C431" s="6"/>
      <c r="D431" s="6"/>
      <c r="E431" s="6"/>
      <c r="F431" s="6"/>
      <c r="G431" s="6"/>
      <c r="H431" s="6"/>
      <c r="I431" s="6"/>
      <c r="J431" s="6"/>
      <c r="K431" s="6"/>
    </row>
    <row r="432" spans="1:11" ht="15.6">
      <c r="A432" s="327"/>
      <c r="B432" s="6"/>
      <c r="C432" s="6"/>
      <c r="D432" s="6"/>
      <c r="E432" s="6"/>
      <c r="F432" s="6"/>
      <c r="G432" s="6"/>
      <c r="H432" s="6"/>
      <c r="I432" s="6"/>
      <c r="J432" s="6"/>
      <c r="K432" s="6"/>
    </row>
    <row r="433" spans="1:11" ht="15.6">
      <c r="A433" s="327"/>
      <c r="B433" s="6"/>
      <c r="C433" s="6"/>
      <c r="D433" s="6"/>
      <c r="E433" s="6"/>
      <c r="F433" s="6"/>
      <c r="G433" s="6"/>
      <c r="H433" s="6"/>
      <c r="I433" s="6"/>
      <c r="J433" s="6"/>
      <c r="K433" s="6"/>
    </row>
    <row r="434" spans="1:11" ht="15.6">
      <c r="A434" s="327"/>
      <c r="B434" s="6"/>
      <c r="C434" s="6"/>
      <c r="D434" s="6"/>
      <c r="E434" s="6"/>
      <c r="F434" s="6"/>
      <c r="G434" s="6"/>
      <c r="H434" s="6"/>
      <c r="I434" s="6"/>
      <c r="J434" s="6"/>
      <c r="K434" s="6"/>
    </row>
    <row r="435" spans="1:11" ht="15.6">
      <c r="A435" s="327"/>
      <c r="B435" s="6"/>
      <c r="C435" s="6"/>
      <c r="D435" s="6"/>
      <c r="E435" s="6"/>
      <c r="F435" s="6"/>
      <c r="G435" s="6"/>
      <c r="H435" s="6"/>
      <c r="I435" s="6"/>
      <c r="J435" s="6"/>
      <c r="K435" s="6"/>
    </row>
    <row r="436" spans="1:11" ht="15.6">
      <c r="A436" s="327"/>
      <c r="B436" s="6"/>
      <c r="C436" s="6"/>
      <c r="D436" s="6"/>
      <c r="E436" s="6"/>
      <c r="F436" s="6"/>
      <c r="G436" s="6"/>
      <c r="H436" s="6"/>
      <c r="I436" s="6"/>
      <c r="J436" s="6"/>
      <c r="K436" s="6"/>
    </row>
    <row r="437" spans="1:11" ht="15.6">
      <c r="A437" s="327"/>
      <c r="B437" s="6"/>
      <c r="C437" s="6"/>
      <c r="D437" s="6"/>
      <c r="E437" s="6"/>
      <c r="F437" s="6"/>
      <c r="G437" s="6"/>
      <c r="H437" s="6"/>
      <c r="I437" s="6"/>
      <c r="J437" s="6"/>
      <c r="K437" s="6"/>
    </row>
    <row r="438" spans="1:11" ht="15.6">
      <c r="A438" s="327"/>
      <c r="B438" s="6"/>
      <c r="C438" s="6"/>
      <c r="D438" s="6"/>
      <c r="E438" s="6"/>
      <c r="F438" s="6"/>
      <c r="G438" s="6"/>
      <c r="H438" s="6"/>
      <c r="I438" s="6"/>
      <c r="J438" s="6"/>
      <c r="K438" s="6"/>
    </row>
    <row r="439" spans="1:11" ht="15.6">
      <c r="A439" s="327"/>
      <c r="B439" s="6"/>
      <c r="C439" s="6"/>
      <c r="D439" s="6"/>
      <c r="E439" s="6"/>
      <c r="F439" s="6"/>
      <c r="G439" s="6"/>
      <c r="H439" s="6"/>
      <c r="I439" s="6"/>
      <c r="J439" s="6"/>
      <c r="K439" s="6"/>
    </row>
    <row r="440" spans="1:11" ht="15.6">
      <c r="A440" s="327"/>
      <c r="B440" s="6"/>
      <c r="C440" s="6"/>
      <c r="D440" s="6"/>
      <c r="E440" s="6"/>
      <c r="F440" s="6"/>
      <c r="G440" s="6"/>
      <c r="H440" s="6"/>
      <c r="I440" s="6"/>
      <c r="J440" s="6"/>
      <c r="K440" s="6"/>
    </row>
    <row r="441" spans="1:11" ht="15.6">
      <c r="A441" s="327"/>
      <c r="B441" s="6"/>
      <c r="C441" s="6"/>
      <c r="D441" s="6"/>
      <c r="E441" s="6"/>
      <c r="F441" s="6"/>
      <c r="G441" s="6"/>
      <c r="H441" s="6"/>
      <c r="I441" s="6"/>
      <c r="J441" s="6"/>
      <c r="K441" s="6"/>
    </row>
    <row r="442" spans="1:11" ht="15.6">
      <c r="A442" s="327"/>
      <c r="B442" s="6"/>
      <c r="C442" s="6"/>
      <c r="D442" s="6"/>
      <c r="E442" s="6"/>
      <c r="F442" s="6"/>
      <c r="G442" s="6"/>
      <c r="H442" s="6"/>
      <c r="I442" s="6"/>
      <c r="J442" s="6"/>
      <c r="K442" s="6"/>
    </row>
    <row r="443" spans="1:11" ht="15.6">
      <c r="A443" s="327"/>
      <c r="B443" s="6"/>
      <c r="C443" s="6"/>
      <c r="D443" s="6"/>
      <c r="E443" s="6"/>
      <c r="F443" s="6"/>
      <c r="G443" s="6"/>
      <c r="H443" s="6"/>
      <c r="I443" s="6"/>
      <c r="J443" s="6"/>
      <c r="K443" s="6"/>
    </row>
    <row r="444" spans="1:11" ht="15.6">
      <c r="A444" s="327"/>
      <c r="B444" s="6"/>
      <c r="C444" s="6"/>
      <c r="D444" s="6"/>
      <c r="E444" s="6"/>
      <c r="F444" s="6"/>
      <c r="G444" s="6"/>
      <c r="H444" s="6"/>
      <c r="I444" s="6"/>
      <c r="J444" s="6"/>
      <c r="K444" s="6"/>
    </row>
    <row r="445" spans="1:11" ht="15.6">
      <c r="A445" s="327"/>
      <c r="B445" s="6"/>
      <c r="C445" s="6"/>
      <c r="D445" s="6"/>
      <c r="E445" s="6"/>
      <c r="F445" s="6"/>
      <c r="G445" s="6"/>
      <c r="H445" s="6"/>
      <c r="I445" s="6"/>
      <c r="J445" s="6"/>
      <c r="K445" s="6"/>
    </row>
    <row r="446" spans="1:11" ht="15.6">
      <c r="A446" s="327"/>
      <c r="B446" s="6"/>
      <c r="C446" s="6"/>
      <c r="D446" s="6"/>
      <c r="E446" s="6"/>
      <c r="F446" s="6"/>
      <c r="G446" s="6"/>
      <c r="H446" s="6"/>
      <c r="I446" s="6"/>
      <c r="J446" s="6"/>
      <c r="K446" s="6"/>
    </row>
    <row r="447" spans="1:11" ht="15.6">
      <c r="A447" s="327"/>
      <c r="B447" s="6"/>
      <c r="C447" s="6"/>
      <c r="D447" s="6"/>
      <c r="E447" s="6"/>
      <c r="F447" s="6"/>
      <c r="G447" s="6"/>
      <c r="H447" s="6"/>
      <c r="I447" s="6"/>
      <c r="J447" s="6"/>
      <c r="K447" s="6"/>
    </row>
    <row r="448" spans="1:11" ht="15.6">
      <c r="A448" s="327"/>
      <c r="B448" s="6"/>
      <c r="C448" s="6"/>
      <c r="D448" s="6"/>
      <c r="E448" s="6"/>
      <c r="F448" s="6"/>
      <c r="G448" s="6"/>
      <c r="H448" s="6"/>
      <c r="I448" s="6"/>
      <c r="J448" s="6"/>
      <c r="K448" s="6"/>
    </row>
    <row r="449" spans="1:11" ht="15.6">
      <c r="A449" s="327"/>
      <c r="B449" s="6"/>
      <c r="C449" s="6"/>
      <c r="D449" s="6"/>
      <c r="E449" s="6"/>
      <c r="F449" s="6"/>
      <c r="G449" s="6"/>
      <c r="H449" s="6"/>
      <c r="I449" s="6"/>
      <c r="J449" s="6"/>
      <c r="K449" s="6"/>
    </row>
    <row r="450" spans="1:11" ht="15.6">
      <c r="A450" s="327"/>
      <c r="B450" s="6"/>
      <c r="C450" s="6"/>
      <c r="D450" s="6"/>
      <c r="E450" s="6"/>
      <c r="F450" s="6"/>
      <c r="G450" s="6"/>
      <c r="H450" s="6"/>
      <c r="I450" s="6"/>
      <c r="J450" s="6"/>
      <c r="K450" s="6"/>
    </row>
    <row r="451" spans="1:11" ht="15.6">
      <c r="A451" s="327"/>
      <c r="B451" s="6"/>
      <c r="C451" s="6"/>
      <c r="D451" s="6"/>
      <c r="E451" s="6"/>
      <c r="F451" s="6"/>
      <c r="G451" s="6"/>
      <c r="H451" s="6"/>
      <c r="I451" s="6"/>
      <c r="J451" s="6"/>
      <c r="K451" s="6"/>
    </row>
    <row r="452" spans="1:11" ht="15.6">
      <c r="A452" s="327"/>
      <c r="B452" s="6"/>
      <c r="C452" s="6"/>
      <c r="D452" s="6"/>
      <c r="E452" s="6"/>
      <c r="F452" s="6"/>
      <c r="G452" s="6"/>
      <c r="H452" s="6"/>
      <c r="I452" s="6"/>
      <c r="J452" s="6"/>
      <c r="K452" s="6"/>
    </row>
    <row r="453" spans="1:11" ht="15.6">
      <c r="A453" s="327"/>
      <c r="B453" s="6"/>
      <c r="C453" s="6"/>
      <c r="D453" s="6"/>
      <c r="E453" s="6"/>
      <c r="F453" s="6"/>
      <c r="G453" s="6"/>
      <c r="H453" s="6"/>
      <c r="I453" s="6"/>
      <c r="J453" s="6"/>
      <c r="K453" s="6"/>
    </row>
    <row r="454" spans="1:11" ht="15.6">
      <c r="A454" s="327"/>
      <c r="B454" s="6"/>
      <c r="C454" s="6"/>
      <c r="D454" s="6"/>
      <c r="E454" s="6"/>
      <c r="F454" s="6"/>
      <c r="G454" s="6"/>
      <c r="H454" s="6"/>
      <c r="I454" s="6"/>
      <c r="J454" s="6"/>
      <c r="K454" s="6"/>
    </row>
    <row r="455" spans="1:11" ht="15.6">
      <c r="A455" s="327"/>
      <c r="B455" s="6"/>
      <c r="C455" s="6"/>
      <c r="D455" s="6"/>
      <c r="E455" s="6"/>
      <c r="F455" s="6"/>
      <c r="G455" s="6"/>
      <c r="H455" s="6"/>
      <c r="I455" s="6"/>
      <c r="J455" s="6"/>
      <c r="K455" s="6"/>
    </row>
    <row r="456" spans="1:11" ht="15.6">
      <c r="A456" s="327"/>
      <c r="B456" s="6"/>
      <c r="C456" s="6"/>
      <c r="D456" s="6"/>
      <c r="E456" s="6"/>
      <c r="F456" s="6"/>
      <c r="G456" s="6"/>
      <c r="H456" s="6"/>
      <c r="I456" s="6"/>
      <c r="J456" s="6"/>
      <c r="K456" s="6"/>
    </row>
    <row r="457" spans="1:11" ht="15.6">
      <c r="A457" s="327"/>
      <c r="B457" s="6"/>
      <c r="C457" s="6"/>
      <c r="D457" s="6"/>
      <c r="E457" s="6"/>
      <c r="F457" s="6"/>
      <c r="G457" s="6"/>
      <c r="H457" s="6"/>
      <c r="I457" s="6"/>
      <c r="J457" s="6"/>
      <c r="K457" s="6"/>
    </row>
    <row r="458" spans="1:11" ht="15.6">
      <c r="A458" s="327"/>
      <c r="B458" s="6"/>
      <c r="C458" s="6"/>
      <c r="D458" s="6"/>
      <c r="E458" s="6"/>
      <c r="F458" s="6"/>
      <c r="G458" s="6"/>
      <c r="H458" s="6"/>
      <c r="I458" s="6"/>
      <c r="J458" s="6"/>
      <c r="K458" s="6"/>
    </row>
    <row r="459" spans="1:11" ht="15.6">
      <c r="A459" s="327"/>
      <c r="B459" s="6"/>
      <c r="C459" s="6"/>
      <c r="D459" s="6"/>
      <c r="E459" s="6"/>
      <c r="F459" s="6"/>
      <c r="G459" s="6"/>
      <c r="H459" s="6"/>
      <c r="I459" s="6"/>
      <c r="J459" s="6"/>
      <c r="K459" s="6"/>
    </row>
    <row r="460" spans="1:11" ht="15.6">
      <c r="A460" s="327"/>
      <c r="B460" s="6"/>
      <c r="C460" s="6"/>
      <c r="D460" s="6"/>
      <c r="E460" s="6"/>
      <c r="F460" s="6"/>
      <c r="G460" s="6"/>
      <c r="H460" s="6"/>
      <c r="I460" s="6"/>
      <c r="J460" s="6"/>
      <c r="K460" s="6"/>
    </row>
    <row r="461" spans="1:11" ht="15.6">
      <c r="A461" s="327"/>
      <c r="B461" s="6"/>
      <c r="C461" s="6"/>
      <c r="D461" s="6"/>
      <c r="E461" s="6"/>
      <c r="F461" s="6"/>
      <c r="G461" s="6"/>
      <c r="H461" s="6"/>
      <c r="I461" s="6"/>
      <c r="J461" s="6"/>
      <c r="K461" s="6"/>
    </row>
    <row r="462" spans="1:11" ht="15.6">
      <c r="A462" s="327"/>
      <c r="B462" s="6"/>
      <c r="C462" s="6"/>
      <c r="D462" s="6"/>
      <c r="E462" s="6"/>
      <c r="F462" s="6"/>
      <c r="G462" s="6"/>
      <c r="H462" s="6"/>
      <c r="I462" s="6"/>
      <c r="J462" s="6"/>
      <c r="K462" s="6"/>
    </row>
    <row r="463" spans="1:11" ht="15.6">
      <c r="A463" s="327"/>
      <c r="B463" s="6"/>
      <c r="C463" s="6"/>
      <c r="D463" s="6"/>
      <c r="E463" s="6"/>
      <c r="F463" s="6"/>
      <c r="G463" s="6"/>
      <c r="H463" s="6"/>
      <c r="I463" s="6"/>
      <c r="J463" s="6"/>
      <c r="K463" s="6"/>
    </row>
    <row r="464" spans="1:11" ht="15.6">
      <c r="A464" s="327"/>
      <c r="B464" s="6"/>
      <c r="C464" s="6"/>
      <c r="D464" s="6"/>
      <c r="E464" s="6"/>
      <c r="F464" s="6"/>
      <c r="G464" s="6"/>
      <c r="H464" s="6"/>
      <c r="I464" s="6"/>
      <c r="J464" s="6"/>
      <c r="K464" s="6"/>
    </row>
    <row r="465" spans="1:11" ht="15.6">
      <c r="A465" s="327"/>
      <c r="B465" s="6"/>
      <c r="C465" s="6"/>
      <c r="D465" s="6"/>
      <c r="E465" s="6"/>
      <c r="F465" s="6"/>
      <c r="G465" s="6"/>
      <c r="H465" s="6"/>
      <c r="I465" s="6"/>
      <c r="J465" s="6"/>
      <c r="K465" s="6"/>
    </row>
    <row r="466" spans="1:11" ht="15.6">
      <c r="A466" s="327"/>
      <c r="B466" s="6"/>
      <c r="C466" s="6"/>
      <c r="D466" s="6"/>
      <c r="E466" s="6"/>
      <c r="F466" s="6"/>
      <c r="G466" s="6"/>
      <c r="H466" s="6"/>
      <c r="I466" s="6"/>
      <c r="J466" s="6"/>
      <c r="K466" s="6"/>
    </row>
    <row r="467" spans="1:11" ht="15.6">
      <c r="A467" s="327"/>
      <c r="B467" s="6"/>
      <c r="C467" s="6"/>
      <c r="D467" s="6"/>
      <c r="E467" s="6"/>
      <c r="F467" s="6"/>
      <c r="G467" s="6"/>
      <c r="H467" s="6"/>
      <c r="I467" s="6"/>
      <c r="J467" s="6"/>
      <c r="K467" s="6"/>
    </row>
    <row r="468" spans="1:11" ht="15.6">
      <c r="A468" s="327"/>
      <c r="B468" s="6"/>
      <c r="C468" s="6"/>
      <c r="D468" s="6"/>
      <c r="E468" s="6"/>
      <c r="F468" s="6"/>
      <c r="G468" s="6"/>
      <c r="H468" s="6"/>
      <c r="I468" s="6"/>
      <c r="J468" s="6"/>
      <c r="K468" s="6"/>
    </row>
    <row r="469" spans="1:11" ht="15.6">
      <c r="A469" s="327"/>
      <c r="B469" s="6"/>
      <c r="C469" s="6"/>
      <c r="D469" s="6"/>
      <c r="E469" s="6"/>
      <c r="F469" s="6"/>
      <c r="G469" s="6"/>
      <c r="H469" s="6"/>
      <c r="I469" s="6"/>
      <c r="J469" s="6"/>
      <c r="K469" s="6"/>
    </row>
    <row r="470" spans="1:11" ht="15.6">
      <c r="A470" s="327"/>
      <c r="B470" s="6"/>
      <c r="C470" s="6"/>
      <c r="D470" s="6"/>
      <c r="E470" s="6"/>
      <c r="F470" s="6"/>
      <c r="G470" s="6"/>
      <c r="H470" s="6"/>
      <c r="I470" s="6"/>
      <c r="J470" s="6"/>
      <c r="K470" s="6"/>
    </row>
    <row r="471" spans="1:11" ht="15.6">
      <c r="A471" s="327"/>
      <c r="B471" s="6"/>
      <c r="C471" s="6"/>
      <c r="D471" s="6"/>
      <c r="E471" s="6"/>
      <c r="F471" s="6"/>
      <c r="G471" s="6"/>
      <c r="H471" s="6"/>
      <c r="I471" s="6"/>
      <c r="J471" s="6"/>
      <c r="K471" s="6"/>
    </row>
    <row r="472" spans="1:11" ht="15.6">
      <c r="A472" s="327"/>
      <c r="B472" s="6"/>
      <c r="C472" s="6"/>
      <c r="D472" s="6"/>
      <c r="E472" s="6"/>
      <c r="F472" s="6"/>
      <c r="G472" s="6"/>
      <c r="H472" s="6"/>
      <c r="I472" s="6"/>
      <c r="J472" s="6"/>
      <c r="K472" s="6"/>
    </row>
    <row r="473" spans="1:11" ht="15.6">
      <c r="A473" s="327"/>
      <c r="B473" s="6"/>
      <c r="C473" s="6"/>
      <c r="D473" s="6"/>
      <c r="E473" s="6"/>
      <c r="F473" s="6"/>
      <c r="G473" s="6"/>
      <c r="H473" s="6"/>
      <c r="I473" s="6"/>
      <c r="J473" s="6"/>
      <c r="K473" s="6"/>
    </row>
    <row r="474" spans="1:11" ht="15.6">
      <c r="A474" s="327"/>
      <c r="B474" s="6"/>
      <c r="C474" s="6"/>
      <c r="D474" s="6"/>
      <c r="E474" s="6"/>
      <c r="F474" s="6"/>
      <c r="G474" s="6"/>
      <c r="H474" s="6"/>
      <c r="I474" s="6"/>
      <c r="J474" s="6"/>
      <c r="K474" s="6"/>
    </row>
    <row r="475" spans="1:11" ht="15.6">
      <c r="A475" s="327"/>
      <c r="B475" s="6"/>
      <c r="C475" s="6"/>
      <c r="D475" s="6"/>
      <c r="E475" s="6"/>
      <c r="F475" s="6"/>
      <c r="G475" s="6"/>
      <c r="H475" s="6"/>
      <c r="I475" s="6"/>
      <c r="J475" s="6"/>
      <c r="K475" s="6"/>
    </row>
    <row r="476" spans="1:11" ht="15.6">
      <c r="A476" s="327"/>
      <c r="B476" s="6"/>
      <c r="C476" s="6"/>
      <c r="D476" s="6"/>
      <c r="E476" s="6"/>
      <c r="F476" s="6"/>
      <c r="G476" s="6"/>
      <c r="H476" s="6"/>
      <c r="I476" s="6"/>
      <c r="J476" s="6"/>
      <c r="K476" s="6"/>
    </row>
    <row r="477" spans="1:11" ht="15.6">
      <c r="A477" s="327"/>
      <c r="B477" s="6"/>
      <c r="C477" s="6"/>
      <c r="D477" s="6"/>
      <c r="E477" s="6"/>
      <c r="F477" s="6"/>
      <c r="G477" s="6"/>
      <c r="H477" s="6"/>
      <c r="I477" s="6"/>
      <c r="J477" s="6"/>
      <c r="K477" s="6"/>
    </row>
    <row r="478" spans="1:11" ht="15.6">
      <c r="A478" s="327"/>
      <c r="B478" s="6"/>
      <c r="C478" s="6"/>
      <c r="D478" s="6"/>
      <c r="E478" s="6"/>
      <c r="F478" s="6"/>
      <c r="G478" s="6"/>
      <c r="H478" s="6"/>
      <c r="I478" s="6"/>
      <c r="J478" s="6"/>
      <c r="K478" s="6"/>
    </row>
    <row r="479" spans="1:11" ht="15.6">
      <c r="A479" s="327"/>
      <c r="B479" s="6"/>
      <c r="C479" s="6"/>
      <c r="D479" s="6"/>
      <c r="E479" s="6"/>
      <c r="F479" s="6"/>
      <c r="G479" s="6"/>
      <c r="H479" s="6"/>
      <c r="I479" s="6"/>
      <c r="J479" s="6"/>
      <c r="K479" s="6"/>
    </row>
    <row r="480" spans="1:11" ht="15.6">
      <c r="A480" s="327"/>
      <c r="B480" s="6"/>
      <c r="C480" s="6"/>
      <c r="D480" s="6"/>
      <c r="E480" s="6"/>
      <c r="F480" s="6"/>
      <c r="G480" s="6"/>
      <c r="H480" s="6"/>
      <c r="I480" s="6"/>
      <c r="J480" s="6"/>
      <c r="K480" s="6"/>
    </row>
    <row r="481" spans="1:11" ht="15.6">
      <c r="A481" s="327"/>
      <c r="B481" s="6"/>
      <c r="C481" s="6"/>
      <c r="D481" s="6"/>
      <c r="E481" s="6"/>
      <c r="F481" s="6"/>
      <c r="G481" s="6"/>
      <c r="H481" s="6"/>
      <c r="I481" s="6"/>
      <c r="J481" s="6"/>
      <c r="K481" s="6"/>
    </row>
    <row r="482" spans="1:11" ht="15.6">
      <c r="A482" s="327"/>
      <c r="B482" s="6"/>
      <c r="C482" s="6"/>
      <c r="D482" s="6"/>
      <c r="E482" s="6"/>
      <c r="F482" s="6"/>
      <c r="G482" s="6"/>
      <c r="H482" s="6"/>
      <c r="I482" s="6"/>
      <c r="J482" s="6"/>
      <c r="K482" s="6"/>
    </row>
    <row r="483" spans="1:11" ht="15.6">
      <c r="A483" s="327"/>
      <c r="B483" s="6"/>
      <c r="C483" s="6"/>
      <c r="D483" s="6"/>
      <c r="E483" s="6"/>
      <c r="F483" s="6"/>
      <c r="G483" s="6"/>
      <c r="H483" s="6"/>
      <c r="I483" s="6"/>
      <c r="J483" s="6"/>
      <c r="K483" s="6"/>
    </row>
    <row r="484" spans="1:11" ht="15.6">
      <c r="A484" s="327"/>
      <c r="B484" s="6"/>
      <c r="C484" s="6"/>
      <c r="D484" s="6"/>
      <c r="E484" s="6"/>
      <c r="F484" s="6"/>
      <c r="G484" s="6"/>
      <c r="H484" s="6"/>
      <c r="I484" s="6"/>
      <c r="J484" s="6"/>
      <c r="K484" s="6"/>
    </row>
    <row r="485" spans="1:11" ht="15.6">
      <c r="A485" s="327"/>
      <c r="B485" s="6"/>
      <c r="C485" s="6"/>
      <c r="D485" s="6"/>
      <c r="E485" s="6"/>
      <c r="F485" s="6"/>
      <c r="G485" s="6"/>
      <c r="H485" s="6"/>
      <c r="I485" s="6"/>
      <c r="J485" s="6"/>
      <c r="K485" s="6"/>
    </row>
    <row r="486" spans="1:11" ht="15.6">
      <c r="A486" s="327"/>
      <c r="B486" s="6"/>
      <c r="C486" s="6"/>
      <c r="D486" s="6"/>
      <c r="E486" s="6"/>
      <c r="F486" s="6"/>
      <c r="G486" s="6"/>
      <c r="H486" s="6"/>
      <c r="I486" s="6"/>
      <c r="J486" s="6"/>
      <c r="K486" s="6"/>
    </row>
    <row r="487" spans="1:11" ht="15.6">
      <c r="A487" s="327"/>
      <c r="B487" s="6"/>
      <c r="C487" s="6"/>
      <c r="D487" s="6"/>
      <c r="E487" s="6"/>
      <c r="F487" s="6"/>
      <c r="G487" s="6"/>
      <c r="H487" s="6"/>
      <c r="I487" s="6"/>
      <c r="J487" s="6"/>
      <c r="K487" s="6"/>
    </row>
    <row r="488" spans="1:11" ht="15.6">
      <c r="A488" s="327"/>
      <c r="B488" s="6"/>
      <c r="C488" s="6"/>
      <c r="D488" s="6"/>
      <c r="E488" s="6"/>
      <c r="F488" s="6"/>
      <c r="G488" s="6"/>
      <c r="H488" s="6"/>
      <c r="I488" s="6"/>
      <c r="J488" s="6"/>
      <c r="K488" s="6"/>
    </row>
    <row r="489" spans="1:11" ht="15.6">
      <c r="A489" s="327"/>
      <c r="B489" s="6"/>
      <c r="C489" s="6"/>
      <c r="D489" s="6"/>
      <c r="E489" s="6"/>
      <c r="F489" s="6"/>
      <c r="G489" s="6"/>
      <c r="H489" s="6"/>
      <c r="I489" s="6"/>
      <c r="J489" s="6"/>
      <c r="K489" s="6"/>
    </row>
    <row r="490" spans="1:11" ht="15.6">
      <c r="A490" s="327"/>
      <c r="B490" s="6"/>
      <c r="C490" s="6"/>
      <c r="D490" s="6"/>
      <c r="E490" s="6"/>
      <c r="F490" s="6"/>
      <c r="G490" s="6"/>
      <c r="H490" s="6"/>
      <c r="I490" s="6"/>
      <c r="J490" s="6"/>
      <c r="K490" s="6"/>
    </row>
    <row r="491" spans="1:11" ht="15.6">
      <c r="A491" s="327"/>
      <c r="B491" s="6"/>
      <c r="C491" s="6"/>
      <c r="D491" s="6"/>
      <c r="E491" s="6"/>
      <c r="F491" s="6"/>
      <c r="G491" s="6"/>
      <c r="H491" s="6"/>
      <c r="I491" s="6"/>
      <c r="J491" s="6"/>
      <c r="K491" s="6"/>
    </row>
    <row r="492" spans="1:11" ht="15.6">
      <c r="A492" s="327"/>
      <c r="B492" s="6"/>
      <c r="C492" s="6"/>
      <c r="D492" s="6"/>
      <c r="E492" s="6"/>
      <c r="F492" s="6"/>
      <c r="G492" s="6"/>
      <c r="H492" s="6"/>
      <c r="I492" s="6"/>
      <c r="J492" s="6"/>
      <c r="K492" s="6"/>
    </row>
    <row r="493" spans="1:11" ht="15.6">
      <c r="A493" s="327"/>
      <c r="B493" s="6"/>
      <c r="C493" s="6"/>
      <c r="D493" s="6"/>
      <c r="E493" s="6"/>
      <c r="F493" s="6"/>
      <c r="G493" s="6"/>
      <c r="H493" s="6"/>
      <c r="I493" s="6"/>
      <c r="J493" s="6"/>
      <c r="K493" s="6"/>
    </row>
    <row r="494" spans="1:11" ht="15.6">
      <c r="A494" s="327"/>
      <c r="B494" s="6"/>
      <c r="C494" s="6"/>
      <c r="D494" s="6"/>
      <c r="E494" s="6"/>
      <c r="F494" s="6"/>
      <c r="G494" s="6"/>
      <c r="H494" s="6"/>
      <c r="I494" s="6"/>
      <c r="J494" s="6"/>
      <c r="K494" s="6"/>
    </row>
    <row r="495" spans="1:11" ht="15.6">
      <c r="A495" s="327"/>
      <c r="B495" s="6"/>
      <c r="C495" s="6"/>
      <c r="D495" s="6"/>
      <c r="E495" s="6"/>
      <c r="F495" s="6"/>
      <c r="G495" s="6"/>
      <c r="H495" s="6"/>
      <c r="I495" s="6"/>
      <c r="J495" s="6"/>
      <c r="K495" s="6"/>
    </row>
    <row r="496" spans="1:11" ht="15.6">
      <c r="A496" s="327"/>
      <c r="B496" s="6"/>
      <c r="C496" s="6"/>
      <c r="D496" s="6"/>
      <c r="E496" s="6"/>
      <c r="F496" s="6"/>
      <c r="G496" s="6"/>
      <c r="H496" s="6"/>
      <c r="I496" s="6"/>
      <c r="J496" s="6"/>
      <c r="K496" s="6"/>
    </row>
    <row r="497" spans="1:11" ht="15.6">
      <c r="A497" s="327"/>
      <c r="B497" s="6"/>
      <c r="C497" s="6"/>
      <c r="D497" s="6"/>
      <c r="E497" s="6"/>
      <c r="F497" s="6"/>
      <c r="G497" s="6"/>
      <c r="H497" s="6"/>
      <c r="I497" s="6"/>
      <c r="J497" s="6"/>
      <c r="K497" s="6"/>
    </row>
    <row r="498" spans="1:11" ht="15.6">
      <c r="A498" s="327"/>
      <c r="B498" s="6"/>
      <c r="C498" s="6"/>
      <c r="D498" s="6"/>
      <c r="E498" s="6"/>
      <c r="F498" s="6"/>
      <c r="G498" s="6"/>
      <c r="H498" s="6"/>
      <c r="I498" s="6"/>
      <c r="J498" s="6"/>
      <c r="K498" s="6"/>
    </row>
    <row r="499" spans="1:11" ht="15.6">
      <c r="A499" s="327"/>
      <c r="B499" s="6"/>
      <c r="C499" s="6"/>
      <c r="D499" s="6"/>
      <c r="E499" s="6"/>
      <c r="F499" s="6"/>
      <c r="G499" s="6"/>
      <c r="H499" s="6"/>
      <c r="I499" s="6"/>
      <c r="J499" s="6"/>
      <c r="K499" s="6"/>
    </row>
    <row r="500" spans="1:11" ht="15.6">
      <c r="A500" s="327"/>
      <c r="B500" s="6"/>
      <c r="C500" s="6"/>
      <c r="D500" s="6"/>
      <c r="E500" s="6"/>
      <c r="F500" s="6"/>
      <c r="G500" s="6"/>
      <c r="H500" s="6"/>
      <c r="I500" s="6"/>
      <c r="J500" s="6"/>
      <c r="K500" s="6"/>
    </row>
    <row r="501" spans="1:11" ht="15.6">
      <c r="A501" s="327"/>
      <c r="B501" s="6"/>
      <c r="C501" s="6"/>
      <c r="D501" s="6"/>
      <c r="E501" s="6"/>
      <c r="F501" s="6"/>
      <c r="G501" s="6"/>
      <c r="H501" s="6"/>
      <c r="I501" s="6"/>
      <c r="J501" s="6"/>
      <c r="K501" s="6"/>
    </row>
    <row r="502" spans="1:11" ht="15.6">
      <c r="A502" s="327"/>
      <c r="B502" s="6"/>
      <c r="C502" s="6"/>
      <c r="D502" s="6"/>
      <c r="E502" s="6"/>
      <c r="F502" s="6"/>
      <c r="G502" s="6"/>
      <c r="H502" s="6"/>
      <c r="I502" s="6"/>
      <c r="J502" s="6"/>
      <c r="K502" s="6"/>
    </row>
    <row r="503" spans="1:11" ht="15.6">
      <c r="A503" s="327"/>
      <c r="B503" s="6"/>
      <c r="C503" s="6"/>
      <c r="D503" s="6"/>
      <c r="E503" s="6"/>
      <c r="F503" s="6"/>
      <c r="G503" s="6"/>
      <c r="H503" s="6"/>
      <c r="I503" s="6"/>
      <c r="J503" s="6"/>
      <c r="K503" s="6"/>
    </row>
    <row r="504" spans="1:11" ht="15.6">
      <c r="A504" s="327"/>
      <c r="B504" s="6"/>
      <c r="C504" s="6"/>
      <c r="D504" s="6"/>
      <c r="E504" s="6"/>
      <c r="F504" s="6"/>
      <c r="G504" s="6"/>
      <c r="H504" s="6"/>
      <c r="I504" s="6"/>
      <c r="J504" s="6"/>
      <c r="K504" s="6"/>
    </row>
    <row r="505" spans="1:11" ht="15.6">
      <c r="A505" s="327"/>
      <c r="B505" s="6"/>
      <c r="C505" s="6"/>
      <c r="D505" s="6"/>
      <c r="E505" s="6"/>
      <c r="F505" s="6"/>
      <c r="G505" s="6"/>
      <c r="H505" s="6"/>
      <c r="I505" s="6"/>
      <c r="J505" s="6"/>
      <c r="K505" s="6"/>
    </row>
    <row r="506" spans="1:11" ht="15.6">
      <c r="A506" s="327"/>
      <c r="B506" s="6"/>
      <c r="C506" s="6"/>
      <c r="D506" s="6"/>
      <c r="E506" s="6"/>
      <c r="F506" s="6"/>
      <c r="G506" s="6"/>
      <c r="H506" s="6"/>
      <c r="I506" s="6"/>
      <c r="J506" s="6"/>
      <c r="K506" s="6"/>
    </row>
    <row r="507" spans="1:11" ht="15.6">
      <c r="A507" s="327"/>
      <c r="B507" s="6"/>
      <c r="C507" s="6"/>
      <c r="D507" s="6"/>
      <c r="E507" s="6"/>
      <c r="F507" s="6"/>
      <c r="G507" s="6"/>
      <c r="H507" s="6"/>
      <c r="I507" s="6"/>
      <c r="J507" s="6"/>
      <c r="K507" s="6"/>
    </row>
    <row r="508" spans="1:11" ht="15.6">
      <c r="A508" s="327"/>
      <c r="B508" s="6"/>
      <c r="C508" s="6"/>
      <c r="D508" s="6"/>
      <c r="E508" s="6"/>
      <c r="F508" s="6"/>
      <c r="G508" s="6"/>
      <c r="H508" s="6"/>
      <c r="I508" s="6"/>
      <c r="J508" s="6"/>
      <c r="K508" s="6"/>
    </row>
    <row r="509" spans="1:11" ht="15.6">
      <c r="A509" s="327"/>
      <c r="B509" s="6"/>
      <c r="C509" s="6"/>
      <c r="D509" s="6"/>
      <c r="E509" s="6"/>
      <c r="F509" s="6"/>
      <c r="G509" s="6"/>
      <c r="H509" s="6"/>
      <c r="I509" s="6"/>
      <c r="J509" s="6"/>
      <c r="K509" s="6"/>
    </row>
    <row r="510" spans="1:11" ht="15.6">
      <c r="A510" s="327"/>
      <c r="B510" s="6"/>
      <c r="C510" s="6"/>
      <c r="D510" s="6"/>
      <c r="E510" s="6"/>
      <c r="F510" s="6"/>
      <c r="G510" s="6"/>
      <c r="H510" s="6"/>
      <c r="I510" s="6"/>
      <c r="J510" s="6"/>
      <c r="K510" s="6"/>
    </row>
    <row r="511" spans="1:11" ht="15.6">
      <c r="A511" s="327"/>
      <c r="B511" s="6"/>
      <c r="C511" s="6"/>
      <c r="D511" s="6"/>
      <c r="E511" s="6"/>
      <c r="F511" s="6"/>
      <c r="G511" s="6"/>
      <c r="H511" s="6"/>
      <c r="I511" s="6"/>
      <c r="J511" s="6"/>
      <c r="K511" s="6"/>
    </row>
    <row r="512" spans="1:11" ht="15.6">
      <c r="A512" s="327"/>
      <c r="B512" s="6"/>
      <c r="C512" s="6"/>
      <c r="D512" s="6"/>
      <c r="E512" s="6"/>
      <c r="F512" s="6"/>
      <c r="G512" s="6"/>
      <c r="H512" s="6"/>
      <c r="I512" s="6"/>
      <c r="J512" s="6"/>
      <c r="K512" s="6"/>
    </row>
    <row r="513" spans="1:11" ht="15.6">
      <c r="A513" s="327"/>
      <c r="B513" s="6"/>
      <c r="C513" s="6"/>
      <c r="D513" s="6"/>
      <c r="E513" s="6"/>
      <c r="F513" s="6"/>
      <c r="G513" s="6"/>
      <c r="H513" s="6"/>
      <c r="I513" s="6"/>
      <c r="J513" s="6"/>
      <c r="K513" s="6"/>
    </row>
    <row r="514" spans="1:11" ht="15.6">
      <c r="A514" s="327"/>
      <c r="B514" s="6"/>
      <c r="C514" s="6"/>
      <c r="D514" s="6"/>
      <c r="E514" s="6"/>
      <c r="F514" s="6"/>
      <c r="G514" s="6"/>
      <c r="H514" s="6"/>
      <c r="I514" s="6"/>
      <c r="J514" s="6"/>
      <c r="K514" s="6"/>
    </row>
    <row r="515" spans="1:11" ht="15.6">
      <c r="A515" s="327"/>
      <c r="B515" s="6"/>
      <c r="C515" s="6"/>
      <c r="D515" s="6"/>
      <c r="E515" s="6"/>
      <c r="F515" s="6"/>
      <c r="G515" s="6"/>
      <c r="H515" s="6"/>
      <c r="I515" s="6"/>
      <c r="J515" s="6"/>
      <c r="K515" s="6"/>
    </row>
    <row r="516" spans="1:11" ht="15.6">
      <c r="A516" s="327"/>
      <c r="B516" s="6"/>
      <c r="C516" s="6"/>
      <c r="D516" s="6"/>
      <c r="E516" s="6"/>
      <c r="F516" s="6"/>
      <c r="G516" s="6"/>
      <c r="H516" s="6"/>
      <c r="I516" s="6"/>
      <c r="J516" s="6"/>
      <c r="K516" s="6"/>
    </row>
    <row r="517" spans="1:11" ht="15.6">
      <c r="A517" s="327"/>
      <c r="B517" s="6"/>
      <c r="C517" s="6"/>
      <c r="D517" s="6"/>
      <c r="E517" s="6"/>
      <c r="F517" s="6"/>
      <c r="G517" s="6"/>
      <c r="H517" s="6"/>
      <c r="I517" s="6"/>
      <c r="J517" s="6"/>
      <c r="K517" s="6"/>
    </row>
    <row r="518" spans="1:11" ht="15.6">
      <c r="A518" s="327"/>
      <c r="B518" s="6"/>
      <c r="C518" s="6"/>
      <c r="D518" s="6"/>
      <c r="E518" s="6"/>
      <c r="F518" s="6"/>
      <c r="G518" s="6"/>
      <c r="H518" s="6"/>
      <c r="I518" s="6"/>
      <c r="J518" s="6"/>
      <c r="K518" s="6"/>
    </row>
    <row r="519" spans="1:11" ht="15.6">
      <c r="A519" s="327"/>
      <c r="B519" s="6"/>
      <c r="C519" s="6"/>
      <c r="D519" s="6"/>
      <c r="E519" s="6"/>
      <c r="F519" s="6"/>
      <c r="G519" s="6"/>
      <c r="H519" s="6"/>
      <c r="I519" s="6"/>
      <c r="J519" s="6"/>
      <c r="K519" s="6"/>
    </row>
    <row r="520" spans="1:11" ht="15.6">
      <c r="A520" s="327"/>
      <c r="B520" s="6"/>
      <c r="C520" s="6"/>
      <c r="D520" s="6"/>
      <c r="E520" s="6"/>
      <c r="F520" s="6"/>
      <c r="G520" s="6"/>
      <c r="H520" s="6"/>
      <c r="I520" s="6"/>
      <c r="J520" s="6"/>
      <c r="K520" s="6"/>
    </row>
    <row r="521" spans="1:11" ht="15.6">
      <c r="A521" s="327"/>
      <c r="B521" s="6"/>
      <c r="C521" s="6"/>
      <c r="D521" s="6"/>
      <c r="E521" s="6"/>
      <c r="F521" s="6"/>
      <c r="G521" s="6"/>
      <c r="H521" s="6"/>
      <c r="I521" s="6"/>
      <c r="J521" s="6"/>
      <c r="K521" s="6"/>
    </row>
    <row r="522" spans="1:11" ht="15.6">
      <c r="A522" s="327"/>
      <c r="B522" s="6"/>
      <c r="C522" s="6"/>
      <c r="D522" s="6"/>
      <c r="E522" s="6"/>
      <c r="F522" s="6"/>
      <c r="G522" s="6"/>
      <c r="H522" s="6"/>
      <c r="I522" s="6"/>
      <c r="J522" s="6"/>
      <c r="K522" s="6"/>
    </row>
    <row r="523" spans="1:11" ht="15.6">
      <c r="A523" s="327"/>
      <c r="B523" s="6"/>
      <c r="C523" s="6"/>
      <c r="D523" s="6"/>
      <c r="E523" s="6"/>
      <c r="F523" s="6"/>
      <c r="G523" s="6"/>
      <c r="H523" s="6"/>
      <c r="I523" s="6"/>
      <c r="J523" s="6"/>
      <c r="K523" s="6"/>
    </row>
    <row r="524" spans="1:11" ht="15.6">
      <c r="A524" s="327"/>
      <c r="B524" s="6"/>
      <c r="C524" s="6"/>
      <c r="D524" s="6"/>
      <c r="E524" s="6"/>
      <c r="F524" s="6"/>
      <c r="G524" s="6"/>
      <c r="H524" s="6"/>
      <c r="I524" s="6"/>
      <c r="J524" s="6"/>
      <c r="K524" s="6"/>
    </row>
    <row r="525" spans="1:11" ht="15.6">
      <c r="A525" s="327"/>
      <c r="B525" s="6"/>
      <c r="C525" s="6"/>
      <c r="D525" s="6"/>
      <c r="E525" s="6"/>
      <c r="F525" s="6"/>
      <c r="G525" s="6"/>
      <c r="H525" s="6"/>
      <c r="I525" s="6"/>
      <c r="J525" s="6"/>
      <c r="K525" s="6"/>
    </row>
    <row r="526" spans="1:11" ht="15.6">
      <c r="A526" s="327"/>
      <c r="B526" s="6"/>
      <c r="C526" s="6"/>
      <c r="D526" s="6"/>
      <c r="E526" s="6"/>
      <c r="F526" s="6"/>
      <c r="G526" s="6"/>
      <c r="H526" s="6"/>
      <c r="I526" s="6"/>
      <c r="J526" s="6"/>
      <c r="K526" s="6"/>
    </row>
    <row r="527" spans="1:11" ht="15.6">
      <c r="A527" s="327"/>
      <c r="B527" s="6"/>
      <c r="C527" s="6"/>
      <c r="D527" s="6"/>
      <c r="E527" s="6"/>
      <c r="F527" s="6"/>
      <c r="G527" s="6"/>
      <c r="H527" s="6"/>
      <c r="I527" s="6"/>
      <c r="J527" s="6"/>
      <c r="K527" s="6"/>
    </row>
    <row r="528" spans="1:11" ht="15.6">
      <c r="A528" s="327"/>
      <c r="B528" s="6"/>
      <c r="C528" s="6"/>
      <c r="D528" s="6"/>
      <c r="E528" s="6"/>
      <c r="F528" s="6"/>
      <c r="G528" s="6"/>
      <c r="H528" s="6"/>
      <c r="I528" s="6"/>
      <c r="J528" s="6"/>
      <c r="K528" s="6"/>
    </row>
    <row r="529" spans="1:11" ht="15.6">
      <c r="A529" s="327"/>
      <c r="B529" s="6"/>
      <c r="C529" s="6"/>
      <c r="D529" s="6"/>
      <c r="E529" s="6"/>
      <c r="F529" s="6"/>
      <c r="G529" s="6"/>
      <c r="H529" s="6"/>
      <c r="I529" s="6"/>
      <c r="J529" s="6"/>
      <c r="K529" s="6"/>
    </row>
    <row r="530" spans="1:11" ht="15.6">
      <c r="A530" s="327"/>
      <c r="B530" s="6"/>
      <c r="C530" s="6"/>
      <c r="D530" s="6"/>
      <c r="E530" s="6"/>
      <c r="F530" s="6"/>
      <c r="G530" s="6"/>
      <c r="H530" s="6"/>
      <c r="I530" s="6"/>
      <c r="J530" s="6"/>
      <c r="K530" s="6"/>
    </row>
    <row r="531" spans="1:11" ht="15.6">
      <c r="A531" s="327"/>
      <c r="B531" s="6"/>
      <c r="C531" s="6"/>
      <c r="D531" s="6"/>
      <c r="E531" s="6"/>
      <c r="F531" s="6"/>
      <c r="G531" s="6"/>
      <c r="H531" s="6"/>
      <c r="I531" s="6"/>
      <c r="J531" s="6"/>
      <c r="K531" s="6"/>
    </row>
    <row r="532" spans="1:11" ht="15.6">
      <c r="A532" s="327"/>
      <c r="B532" s="6"/>
      <c r="C532" s="6"/>
      <c r="D532" s="6"/>
      <c r="E532" s="6"/>
      <c r="F532" s="6"/>
      <c r="G532" s="6"/>
      <c r="H532" s="6"/>
      <c r="I532" s="6"/>
      <c r="J532" s="6"/>
      <c r="K532" s="6"/>
    </row>
    <row r="533" spans="1:11" ht="15.6">
      <c r="A533" s="327"/>
      <c r="B533" s="6"/>
      <c r="C533" s="6"/>
      <c r="D533" s="6"/>
      <c r="E533" s="6"/>
      <c r="F533" s="6"/>
      <c r="G533" s="6"/>
      <c r="H533" s="6"/>
      <c r="I533" s="6"/>
      <c r="J533" s="6"/>
      <c r="K533" s="6"/>
    </row>
    <row r="534" spans="1:11" ht="15.6">
      <c r="A534" s="327"/>
      <c r="B534" s="6"/>
      <c r="C534" s="6"/>
      <c r="D534" s="6"/>
      <c r="E534" s="6"/>
      <c r="F534" s="6"/>
      <c r="G534" s="6"/>
      <c r="H534" s="6"/>
      <c r="I534" s="6"/>
      <c r="J534" s="6"/>
      <c r="K534" s="6"/>
    </row>
    <row r="535" spans="1:11" ht="15.6">
      <c r="A535" s="327"/>
      <c r="B535" s="6"/>
      <c r="C535" s="6"/>
      <c r="D535" s="6"/>
      <c r="E535" s="6"/>
      <c r="F535" s="6"/>
      <c r="G535" s="6"/>
      <c r="H535" s="6"/>
      <c r="I535" s="6"/>
      <c r="J535" s="6"/>
      <c r="K535" s="6"/>
    </row>
    <row r="536" spans="1:11" ht="15.6">
      <c r="A536" s="327"/>
      <c r="B536" s="6"/>
      <c r="C536" s="6"/>
      <c r="D536" s="6"/>
      <c r="E536" s="6"/>
      <c r="F536" s="6"/>
      <c r="G536" s="6"/>
      <c r="H536" s="6"/>
      <c r="I536" s="6"/>
      <c r="J536" s="6"/>
      <c r="K536" s="6"/>
    </row>
    <row r="537" spans="1:11" ht="15.6">
      <c r="A537" s="327"/>
      <c r="B537" s="6"/>
      <c r="C537" s="6"/>
      <c r="D537" s="6"/>
      <c r="E537" s="6"/>
      <c r="F537" s="6"/>
      <c r="G537" s="6"/>
      <c r="H537" s="6"/>
      <c r="I537" s="6"/>
      <c r="J537" s="6"/>
      <c r="K537" s="6"/>
    </row>
    <row r="538" spans="1:11" ht="15.6">
      <c r="A538" s="327"/>
      <c r="B538" s="6"/>
      <c r="C538" s="6"/>
      <c r="D538" s="6"/>
      <c r="E538" s="6"/>
      <c r="F538" s="6"/>
      <c r="G538" s="6"/>
      <c r="H538" s="6"/>
      <c r="I538" s="6"/>
      <c r="J538" s="6"/>
      <c r="K538" s="6"/>
    </row>
    <row r="539" spans="1:11" ht="15.6">
      <c r="A539" s="327"/>
      <c r="B539" s="6"/>
      <c r="C539" s="6"/>
      <c r="D539" s="6"/>
      <c r="E539" s="6"/>
      <c r="F539" s="6"/>
      <c r="G539" s="6"/>
      <c r="H539" s="6"/>
      <c r="I539" s="6"/>
      <c r="J539" s="6"/>
      <c r="K539" s="6"/>
    </row>
    <row r="540" spans="1:11" ht="15.6">
      <c r="A540" s="327"/>
      <c r="B540" s="6"/>
      <c r="C540" s="6"/>
      <c r="D540" s="6"/>
      <c r="E540" s="6"/>
      <c r="F540" s="6"/>
      <c r="G540" s="6"/>
      <c r="H540" s="6"/>
      <c r="I540" s="6"/>
      <c r="J540" s="6"/>
      <c r="K540" s="6"/>
    </row>
    <row r="541" spans="1:11" ht="15.6">
      <c r="A541" s="327"/>
      <c r="B541" s="6"/>
      <c r="C541" s="6"/>
      <c r="D541" s="6"/>
      <c r="E541" s="6"/>
      <c r="F541" s="6"/>
      <c r="G541" s="6"/>
      <c r="H541" s="6"/>
      <c r="I541" s="6"/>
      <c r="J541" s="6"/>
      <c r="K541" s="6"/>
    </row>
    <row r="542" spans="1:11" ht="15.6">
      <c r="A542" s="327"/>
      <c r="B542" s="6"/>
      <c r="C542" s="6"/>
      <c r="D542" s="6"/>
      <c r="E542" s="6"/>
      <c r="F542" s="6"/>
      <c r="G542" s="6"/>
      <c r="H542" s="6"/>
      <c r="I542" s="6"/>
      <c r="J542" s="6"/>
      <c r="K542" s="6"/>
    </row>
    <row r="543" spans="1:11" ht="15.6">
      <c r="A543" s="327"/>
      <c r="B543" s="6"/>
      <c r="C543" s="6"/>
      <c r="D543" s="6"/>
      <c r="E543" s="6"/>
      <c r="F543" s="6"/>
      <c r="G543" s="6"/>
      <c r="H543" s="6"/>
      <c r="I543" s="6"/>
      <c r="J543" s="6"/>
      <c r="K543" s="6"/>
    </row>
    <row r="544" spans="1:11" ht="15.6">
      <c r="A544" s="327"/>
      <c r="B544" s="6"/>
      <c r="C544" s="6"/>
      <c r="D544" s="6"/>
      <c r="E544" s="6"/>
      <c r="F544" s="6"/>
      <c r="G544" s="6"/>
      <c r="H544" s="6"/>
      <c r="I544" s="6"/>
      <c r="J544" s="6"/>
      <c r="K544" s="6"/>
    </row>
    <row r="545" spans="1:11" ht="15.6">
      <c r="A545" s="327"/>
      <c r="B545" s="6"/>
      <c r="C545" s="6"/>
      <c r="D545" s="6"/>
      <c r="E545" s="6"/>
      <c r="F545" s="6"/>
      <c r="G545" s="6"/>
      <c r="H545" s="6"/>
      <c r="I545" s="6"/>
      <c r="J545" s="6"/>
      <c r="K545" s="6"/>
    </row>
    <row r="546" spans="1:11" ht="15.6">
      <c r="A546" s="327"/>
      <c r="B546" s="6"/>
      <c r="C546" s="6"/>
      <c r="D546" s="6"/>
      <c r="E546" s="6"/>
      <c r="F546" s="6"/>
      <c r="G546" s="6"/>
      <c r="H546" s="6"/>
      <c r="I546" s="6"/>
      <c r="J546" s="6"/>
      <c r="K546" s="6"/>
    </row>
    <row r="547" spans="1:11" ht="15.6">
      <c r="A547" s="327"/>
      <c r="B547" s="6"/>
      <c r="C547" s="6"/>
      <c r="D547" s="6"/>
      <c r="E547" s="6"/>
      <c r="F547" s="6"/>
      <c r="G547" s="6"/>
      <c r="H547" s="6"/>
      <c r="I547" s="6"/>
      <c r="J547" s="6"/>
      <c r="K547" s="6"/>
    </row>
    <row r="548" spans="1:11" ht="15.6">
      <c r="A548" s="327"/>
      <c r="B548" s="6"/>
      <c r="C548" s="6"/>
      <c r="D548" s="6"/>
      <c r="E548" s="6"/>
      <c r="F548" s="6"/>
      <c r="G548" s="6"/>
      <c r="H548" s="6"/>
      <c r="I548" s="6"/>
      <c r="J548" s="6"/>
      <c r="K548" s="6"/>
    </row>
    <row r="549" spans="1:11" ht="15.6">
      <c r="A549" s="327"/>
      <c r="B549" s="6"/>
      <c r="C549" s="6"/>
      <c r="D549" s="6"/>
      <c r="E549" s="6"/>
      <c r="F549" s="6"/>
      <c r="G549" s="6"/>
      <c r="H549" s="6"/>
      <c r="I549" s="6"/>
      <c r="J549" s="6"/>
      <c r="K549" s="6"/>
    </row>
    <row r="550" spans="1:11" ht="15.6">
      <c r="A550" s="327"/>
      <c r="B550" s="6"/>
      <c r="C550" s="6"/>
      <c r="D550" s="6"/>
      <c r="E550" s="6"/>
      <c r="F550" s="6"/>
      <c r="G550" s="6"/>
      <c r="H550" s="6"/>
      <c r="I550" s="6"/>
      <c r="J550" s="6"/>
      <c r="K550" s="6"/>
    </row>
    <row r="551" spans="1:11" ht="15.6">
      <c r="A551" s="327"/>
      <c r="B551" s="6"/>
      <c r="C551" s="6"/>
      <c r="D551" s="6"/>
      <c r="E551" s="6"/>
      <c r="F551" s="6"/>
      <c r="G551" s="6"/>
      <c r="H551" s="6"/>
      <c r="I551" s="6"/>
      <c r="J551" s="6"/>
      <c r="K551" s="6"/>
    </row>
    <row r="552" spans="1:11" ht="15.6">
      <c r="A552" s="327"/>
      <c r="B552" s="6"/>
      <c r="C552" s="6"/>
      <c r="D552" s="6"/>
      <c r="E552" s="6"/>
      <c r="F552" s="6"/>
      <c r="G552" s="6"/>
      <c r="H552" s="6"/>
      <c r="I552" s="6"/>
      <c r="J552" s="6"/>
      <c r="K552" s="6"/>
    </row>
    <row r="553" spans="1:11" ht="15.6">
      <c r="A553" s="327"/>
      <c r="B553" s="6"/>
      <c r="C553" s="6"/>
      <c r="D553" s="6"/>
      <c r="E553" s="6"/>
      <c r="F553" s="6"/>
      <c r="G553" s="6"/>
      <c r="H553" s="6"/>
      <c r="I553" s="6"/>
      <c r="J553" s="6"/>
      <c r="K553" s="6"/>
    </row>
    <row r="554" spans="1:11" ht="15.6">
      <c r="A554" s="327"/>
      <c r="B554" s="6"/>
      <c r="C554" s="6"/>
      <c r="D554" s="6"/>
      <c r="E554" s="6"/>
      <c r="F554" s="6"/>
      <c r="G554" s="6"/>
      <c r="H554" s="6"/>
      <c r="I554" s="6"/>
      <c r="J554" s="6"/>
      <c r="K554" s="6"/>
    </row>
    <row r="555" spans="1:11" ht="15.6">
      <c r="A555" s="327"/>
      <c r="B555" s="6"/>
      <c r="C555" s="6"/>
      <c r="D555" s="6"/>
      <c r="E555" s="6"/>
      <c r="F555" s="6"/>
      <c r="G555" s="6"/>
      <c r="H555" s="6"/>
      <c r="I555" s="6"/>
      <c r="J555" s="6"/>
      <c r="K555" s="6"/>
    </row>
    <row r="556" spans="1:11" ht="15.6">
      <c r="A556" s="327"/>
      <c r="B556" s="6"/>
      <c r="C556" s="6"/>
      <c r="D556" s="6"/>
      <c r="E556" s="6"/>
      <c r="F556" s="6"/>
      <c r="G556" s="6"/>
      <c r="H556" s="6"/>
      <c r="I556" s="6"/>
      <c r="J556" s="6"/>
      <c r="K556" s="6"/>
    </row>
    <row r="557" spans="1:11" ht="15.6">
      <c r="A557" s="327"/>
      <c r="B557" s="6"/>
      <c r="C557" s="6"/>
      <c r="D557" s="6"/>
      <c r="E557" s="6"/>
      <c r="F557" s="6"/>
      <c r="G557" s="6"/>
      <c r="H557" s="6"/>
      <c r="I557" s="6"/>
      <c r="J557" s="6"/>
      <c r="K557" s="6"/>
    </row>
    <row r="558" spans="1:11" ht="15.6">
      <c r="A558" s="327"/>
      <c r="B558" s="6"/>
      <c r="C558" s="6"/>
      <c r="D558" s="6"/>
      <c r="E558" s="6"/>
      <c r="F558" s="6"/>
      <c r="G558" s="6"/>
      <c r="H558" s="6"/>
      <c r="I558" s="6"/>
      <c r="J558" s="6"/>
      <c r="K558" s="6"/>
    </row>
    <row r="559" spans="1:11" ht="15.6">
      <c r="A559" s="327"/>
      <c r="B559" s="6"/>
      <c r="C559" s="6"/>
      <c r="D559" s="6"/>
      <c r="E559" s="6"/>
      <c r="F559" s="6"/>
      <c r="G559" s="6"/>
      <c r="H559" s="6"/>
      <c r="I559" s="6"/>
      <c r="J559" s="6"/>
      <c r="K559" s="6"/>
    </row>
    <row r="560" spans="1:11" ht="15.6">
      <c r="A560" s="327"/>
      <c r="B560" s="6"/>
      <c r="C560" s="6"/>
      <c r="D560" s="6"/>
      <c r="E560" s="6"/>
      <c r="F560" s="6"/>
      <c r="G560" s="6"/>
      <c r="H560" s="6"/>
      <c r="I560" s="6"/>
      <c r="J560" s="6"/>
      <c r="K560" s="6"/>
    </row>
    <row r="561" spans="1:11" ht="15.6">
      <c r="A561" s="327"/>
      <c r="B561" s="6"/>
      <c r="C561" s="6"/>
      <c r="D561" s="6"/>
      <c r="E561" s="6"/>
      <c r="F561" s="6"/>
      <c r="G561" s="6"/>
      <c r="H561" s="6"/>
      <c r="I561" s="6"/>
      <c r="J561" s="6"/>
      <c r="K561" s="6"/>
    </row>
    <row r="562" spans="1:11" ht="15.6">
      <c r="A562" s="327"/>
      <c r="B562" s="6"/>
      <c r="C562" s="6"/>
      <c r="D562" s="6"/>
      <c r="E562" s="6"/>
      <c r="F562" s="6"/>
      <c r="G562" s="6"/>
      <c r="H562" s="6"/>
      <c r="I562" s="6"/>
      <c r="J562" s="6"/>
      <c r="K562" s="6"/>
    </row>
    <row r="563" spans="1:11" ht="15.6">
      <c r="A563" s="327"/>
      <c r="B563" s="6"/>
      <c r="C563" s="6"/>
      <c r="D563" s="6"/>
      <c r="E563" s="6"/>
      <c r="F563" s="6"/>
      <c r="G563" s="6"/>
      <c r="H563" s="6"/>
      <c r="I563" s="6"/>
      <c r="J563" s="6"/>
      <c r="K563" s="6"/>
    </row>
    <row r="564" spans="1:11" ht="15.6">
      <c r="A564" s="327"/>
      <c r="B564" s="6"/>
      <c r="C564" s="6"/>
      <c r="D564" s="6"/>
      <c r="E564" s="6"/>
      <c r="F564" s="6"/>
      <c r="G564" s="6"/>
      <c r="H564" s="6"/>
      <c r="I564" s="6"/>
      <c r="J564" s="6"/>
      <c r="K564" s="6"/>
    </row>
    <row r="565" spans="1:11" ht="15.6">
      <c r="A565" s="327"/>
      <c r="B565" s="6"/>
      <c r="C565" s="6"/>
      <c r="D565" s="6"/>
      <c r="E565" s="6"/>
      <c r="F565" s="6"/>
      <c r="G565" s="6"/>
      <c r="H565" s="6"/>
      <c r="I565" s="6"/>
      <c r="J565" s="6"/>
      <c r="K565" s="6"/>
    </row>
    <row r="566" spans="1:11" ht="15.6">
      <c r="A566" s="327"/>
      <c r="B566" s="6"/>
      <c r="C566" s="6"/>
      <c r="D566" s="6"/>
      <c r="E566" s="6"/>
      <c r="F566" s="6"/>
      <c r="G566" s="6"/>
      <c r="H566" s="6"/>
      <c r="I566" s="6"/>
      <c r="J566" s="6"/>
      <c r="K566" s="6"/>
    </row>
    <row r="567" spans="1:11" ht="15.6">
      <c r="A567" s="327"/>
      <c r="B567" s="6"/>
      <c r="C567" s="6"/>
      <c r="D567" s="6"/>
      <c r="E567" s="6"/>
      <c r="F567" s="6"/>
      <c r="G567" s="6"/>
      <c r="H567" s="6"/>
      <c r="I567" s="6"/>
      <c r="J567" s="6"/>
      <c r="K567" s="6"/>
    </row>
    <row r="568" spans="1:11" ht="15.6">
      <c r="A568" s="327"/>
      <c r="B568" s="6"/>
      <c r="C568" s="6"/>
      <c r="D568" s="6"/>
      <c r="E568" s="6"/>
      <c r="F568" s="6"/>
      <c r="G568" s="6"/>
      <c r="H568" s="6"/>
      <c r="I568" s="6"/>
      <c r="J568" s="6"/>
      <c r="K568" s="6"/>
    </row>
    <row r="569" spans="1:11" ht="15.6">
      <c r="A569" s="327"/>
      <c r="B569" s="6"/>
      <c r="C569" s="6"/>
      <c r="D569" s="6"/>
      <c r="E569" s="6"/>
      <c r="F569" s="6"/>
      <c r="G569" s="6"/>
      <c r="H569" s="6"/>
      <c r="I569" s="6"/>
      <c r="J569" s="6"/>
      <c r="K569" s="6"/>
    </row>
    <row r="570" spans="1:11" ht="15.6">
      <c r="A570" s="327"/>
      <c r="B570" s="6"/>
      <c r="C570" s="6"/>
      <c r="D570" s="6"/>
      <c r="E570" s="6"/>
      <c r="F570" s="6"/>
      <c r="G570" s="6"/>
      <c r="H570" s="6"/>
      <c r="I570" s="6"/>
      <c r="J570" s="6"/>
      <c r="K570" s="6"/>
    </row>
    <row r="571" spans="1:11" ht="15.6">
      <c r="A571" s="327"/>
      <c r="B571" s="6"/>
      <c r="C571" s="6"/>
      <c r="D571" s="6"/>
      <c r="E571" s="6"/>
      <c r="F571" s="6"/>
      <c r="G571" s="6"/>
      <c r="H571" s="6"/>
      <c r="I571" s="6"/>
      <c r="J571" s="6"/>
      <c r="K571" s="6"/>
    </row>
    <row r="572" spans="1:11" ht="15.6">
      <c r="A572" s="327"/>
      <c r="B572" s="6"/>
      <c r="C572" s="6"/>
      <c r="D572" s="6"/>
      <c r="E572" s="6"/>
      <c r="F572" s="6"/>
      <c r="G572" s="6"/>
      <c r="H572" s="6"/>
      <c r="I572" s="6"/>
      <c r="J572" s="6"/>
      <c r="K572" s="6"/>
    </row>
    <row r="573" spans="1:11" ht="15.6">
      <c r="A573" s="327"/>
      <c r="B573" s="6"/>
      <c r="C573" s="6"/>
      <c r="D573" s="6"/>
      <c r="E573" s="6"/>
      <c r="F573" s="6"/>
      <c r="G573" s="6"/>
      <c r="H573" s="6"/>
      <c r="I573" s="6"/>
      <c r="J573" s="6"/>
      <c r="K573" s="6"/>
    </row>
    <row r="574" spans="1:11" ht="15.6">
      <c r="A574" s="327"/>
      <c r="B574" s="6"/>
      <c r="C574" s="6"/>
      <c r="D574" s="6"/>
      <c r="E574" s="6"/>
      <c r="F574" s="6"/>
      <c r="G574" s="6"/>
      <c r="H574" s="6"/>
      <c r="I574" s="6"/>
      <c r="J574" s="6"/>
      <c r="K574" s="6"/>
    </row>
    <row r="575" spans="1:11" ht="15.6">
      <c r="A575" s="327"/>
      <c r="B575" s="6"/>
      <c r="C575" s="6"/>
      <c r="D575" s="6"/>
      <c r="E575" s="6"/>
      <c r="F575" s="6"/>
      <c r="G575" s="6"/>
      <c r="H575" s="6"/>
      <c r="I575" s="6"/>
      <c r="J575" s="6"/>
      <c r="K575" s="6"/>
    </row>
    <row r="576" spans="1:11" ht="15.6">
      <c r="A576" s="327"/>
      <c r="B576" s="6"/>
      <c r="C576" s="6"/>
      <c r="D576" s="6"/>
      <c r="E576" s="6"/>
      <c r="F576" s="6"/>
      <c r="G576" s="6"/>
      <c r="H576" s="6"/>
      <c r="I576" s="6"/>
      <c r="J576" s="6"/>
      <c r="K576" s="6"/>
    </row>
    <row r="577" spans="1:11" ht="15.6">
      <c r="A577" s="327"/>
      <c r="B577" s="6"/>
      <c r="C577" s="6"/>
      <c r="D577" s="6"/>
      <c r="E577" s="6"/>
      <c r="F577" s="6"/>
      <c r="G577" s="6"/>
      <c r="H577" s="6"/>
      <c r="I577" s="6"/>
      <c r="J577" s="6"/>
      <c r="K577" s="6"/>
    </row>
    <row r="578" spans="1:11" ht="15.6">
      <c r="A578" s="327"/>
      <c r="B578" s="6"/>
      <c r="C578" s="6"/>
      <c r="D578" s="6"/>
      <c r="E578" s="6"/>
      <c r="F578" s="6"/>
      <c r="G578" s="6"/>
      <c r="H578" s="6"/>
      <c r="I578" s="6"/>
      <c r="J578" s="6"/>
      <c r="K578" s="6"/>
    </row>
    <row r="579" spans="1:11" ht="15.6">
      <c r="A579" s="327"/>
      <c r="B579" s="6"/>
      <c r="C579" s="6"/>
      <c r="D579" s="6"/>
      <c r="E579" s="6"/>
      <c r="F579" s="6"/>
      <c r="G579" s="6"/>
      <c r="H579" s="6"/>
      <c r="I579" s="6"/>
      <c r="J579" s="6"/>
      <c r="K579" s="6"/>
    </row>
    <row r="580" spans="1:11" ht="15.6">
      <c r="A580" s="327"/>
      <c r="B580" s="6"/>
      <c r="C580" s="6"/>
      <c r="D580" s="6"/>
      <c r="E580" s="6"/>
      <c r="F580" s="6"/>
      <c r="G580" s="6"/>
      <c r="H580" s="6"/>
      <c r="I580" s="6"/>
      <c r="J580" s="6"/>
      <c r="K580" s="6"/>
    </row>
    <row r="581" spans="1:11" ht="15.6">
      <c r="A581" s="327"/>
      <c r="B581" s="6"/>
      <c r="C581" s="6"/>
      <c r="D581" s="6"/>
      <c r="E581" s="6"/>
      <c r="F581" s="6"/>
      <c r="G581" s="6"/>
      <c r="H581" s="6"/>
      <c r="I581" s="6"/>
      <c r="J581" s="6"/>
      <c r="K581" s="6"/>
    </row>
    <row r="582" spans="1:11" ht="15.6">
      <c r="A582" s="327"/>
      <c r="B582" s="6"/>
      <c r="C582" s="6"/>
      <c r="D582" s="6"/>
      <c r="E582" s="6"/>
      <c r="F582" s="6"/>
      <c r="G582" s="6"/>
      <c r="H582" s="6"/>
      <c r="I582" s="6"/>
      <c r="J582" s="6"/>
      <c r="K582" s="6"/>
    </row>
    <row r="583" spans="1:11" ht="15.6">
      <c r="A583" s="327"/>
      <c r="B583" s="6"/>
      <c r="C583" s="6"/>
      <c r="D583" s="6"/>
      <c r="E583" s="6"/>
      <c r="F583" s="6"/>
      <c r="G583" s="6"/>
      <c r="H583" s="6"/>
      <c r="I583" s="6"/>
      <c r="J583" s="6"/>
      <c r="K583" s="6"/>
    </row>
    <row r="584" spans="1:11" ht="15.6">
      <c r="A584" s="327"/>
      <c r="B584" s="6"/>
      <c r="C584" s="6"/>
      <c r="D584" s="6"/>
      <c r="E584" s="6"/>
      <c r="F584" s="6"/>
      <c r="G584" s="6"/>
      <c r="H584" s="6"/>
      <c r="I584" s="6"/>
      <c r="J584" s="6"/>
      <c r="K584" s="6"/>
    </row>
    <row r="585" spans="1:11" ht="15.6">
      <c r="A585" s="327"/>
      <c r="B585" s="6"/>
      <c r="C585" s="6"/>
      <c r="D585" s="6"/>
      <c r="E585" s="6"/>
      <c r="F585" s="6"/>
      <c r="G585" s="6"/>
      <c r="H585" s="6"/>
      <c r="I585" s="6"/>
      <c r="J585" s="6"/>
      <c r="K585" s="6"/>
    </row>
    <row r="586" spans="1:11" ht="15.6">
      <c r="A586" s="327"/>
      <c r="B586" s="6"/>
      <c r="C586" s="6"/>
      <c r="D586" s="6"/>
      <c r="E586" s="6"/>
      <c r="F586" s="6"/>
      <c r="G586" s="6"/>
      <c r="H586" s="6"/>
      <c r="I586" s="6"/>
      <c r="J586" s="6"/>
      <c r="K586" s="6"/>
    </row>
    <row r="587" spans="1:11" ht="15.6">
      <c r="A587" s="327"/>
      <c r="B587" s="6"/>
      <c r="C587" s="6"/>
      <c r="D587" s="6"/>
      <c r="E587" s="6"/>
      <c r="F587" s="6"/>
      <c r="G587" s="6"/>
      <c r="H587" s="6"/>
      <c r="I587" s="6"/>
      <c r="J587" s="6"/>
      <c r="K587" s="6"/>
    </row>
    <row r="588" spans="1:11" ht="15.6">
      <c r="A588" s="327"/>
      <c r="B588" s="6"/>
      <c r="C588" s="6"/>
      <c r="D588" s="6"/>
      <c r="E588" s="6"/>
      <c r="F588" s="6"/>
      <c r="G588" s="6"/>
      <c r="H588" s="6"/>
      <c r="I588" s="6"/>
      <c r="J588" s="6"/>
      <c r="K588" s="6"/>
    </row>
    <row r="589" spans="1:11" ht="15.6">
      <c r="A589" s="327"/>
      <c r="B589" s="6"/>
      <c r="C589" s="6"/>
      <c r="D589" s="6"/>
      <c r="E589" s="6"/>
      <c r="F589" s="6"/>
      <c r="G589" s="6"/>
      <c r="H589" s="6"/>
      <c r="I589" s="6"/>
      <c r="J589" s="6"/>
      <c r="K589" s="6"/>
    </row>
    <row r="590" spans="1:11" ht="15.6">
      <c r="A590" s="327"/>
      <c r="B590" s="6"/>
      <c r="C590" s="6"/>
      <c r="D590" s="6"/>
      <c r="E590" s="6"/>
      <c r="F590" s="6"/>
      <c r="G590" s="6"/>
      <c r="H590" s="6"/>
      <c r="I590" s="6"/>
      <c r="J590" s="6"/>
      <c r="K590" s="6"/>
    </row>
    <row r="591" spans="1:11" ht="15.6">
      <c r="A591" s="327"/>
      <c r="B591" s="6"/>
      <c r="C591" s="6"/>
      <c r="D591" s="6"/>
      <c r="E591" s="6"/>
      <c r="F591" s="6"/>
      <c r="G591" s="6"/>
      <c r="H591" s="6"/>
      <c r="I591" s="6"/>
      <c r="J591" s="6"/>
      <c r="K591" s="6"/>
    </row>
    <row r="592" spans="1:11" ht="15.6">
      <c r="A592" s="327"/>
      <c r="B592" s="6"/>
      <c r="C592" s="6"/>
      <c r="D592" s="6"/>
      <c r="E592" s="6"/>
      <c r="F592" s="6"/>
      <c r="G592" s="6"/>
      <c r="H592" s="6"/>
      <c r="I592" s="6"/>
      <c r="J592" s="6"/>
      <c r="K592" s="6"/>
    </row>
    <row r="593" spans="1:11" ht="15.6">
      <c r="A593" s="327"/>
      <c r="B593" s="6"/>
      <c r="C593" s="6"/>
      <c r="D593" s="6"/>
      <c r="E593" s="6"/>
      <c r="F593" s="6"/>
      <c r="G593" s="6"/>
      <c r="H593" s="6"/>
      <c r="I593" s="6"/>
      <c r="J593" s="6"/>
      <c r="K593" s="6"/>
    </row>
    <row r="594" spans="1:11" ht="15.6">
      <c r="A594" s="327"/>
      <c r="B594" s="6"/>
      <c r="C594" s="6"/>
      <c r="D594" s="6"/>
      <c r="E594" s="6"/>
      <c r="F594" s="6"/>
      <c r="G594" s="6"/>
      <c r="H594" s="6"/>
      <c r="I594" s="6"/>
      <c r="J594" s="6"/>
      <c r="K594" s="6"/>
    </row>
    <row r="595" spans="1:11" ht="15.6">
      <c r="A595" s="327"/>
      <c r="B595" s="6"/>
      <c r="C595" s="6"/>
      <c r="D595" s="6"/>
      <c r="E595" s="6"/>
      <c r="F595" s="6"/>
      <c r="G595" s="6"/>
      <c r="H595" s="6"/>
      <c r="I595" s="6"/>
      <c r="J595" s="6"/>
      <c r="K595" s="6"/>
    </row>
    <row r="596" spans="1:11" ht="15.6">
      <c r="A596" s="327"/>
      <c r="B596" s="6"/>
      <c r="C596" s="6"/>
      <c r="D596" s="6"/>
      <c r="E596" s="6"/>
      <c r="F596" s="6"/>
      <c r="G596" s="6"/>
      <c r="H596" s="6"/>
      <c r="I596" s="6"/>
      <c r="J596" s="6"/>
      <c r="K596" s="6"/>
    </row>
    <row r="597" spans="1:11" ht="15.6">
      <c r="A597" s="327"/>
      <c r="B597" s="6"/>
      <c r="C597" s="6"/>
      <c r="D597" s="6"/>
      <c r="E597" s="6"/>
      <c r="F597" s="6"/>
      <c r="G597" s="6"/>
      <c r="H597" s="6"/>
      <c r="I597" s="6"/>
      <c r="J597" s="6"/>
      <c r="K597" s="6"/>
    </row>
    <row r="598" spans="1:11" ht="15.6">
      <c r="A598" s="327"/>
      <c r="B598" s="6"/>
      <c r="C598" s="6"/>
      <c r="D598" s="6"/>
      <c r="E598" s="6"/>
      <c r="F598" s="6"/>
      <c r="G598" s="6"/>
      <c r="H598" s="6"/>
      <c r="I598" s="6"/>
      <c r="J598" s="6"/>
      <c r="K598" s="6"/>
    </row>
    <row r="599" spans="1:11" ht="15.6">
      <c r="A599" s="327"/>
      <c r="B599" s="6"/>
      <c r="C599" s="6"/>
      <c r="D599" s="6"/>
      <c r="E599" s="6"/>
      <c r="F599" s="6"/>
      <c r="G599" s="6"/>
      <c r="H599" s="6"/>
      <c r="I599" s="6"/>
      <c r="J599" s="6"/>
      <c r="K599" s="6"/>
    </row>
    <row r="600" spans="1:11" ht="15.6">
      <c r="A600" s="327"/>
      <c r="B600" s="6"/>
      <c r="C600" s="6"/>
      <c r="D600" s="6"/>
      <c r="E600" s="6"/>
      <c r="F600" s="6"/>
      <c r="G600" s="6"/>
      <c r="H600" s="6"/>
      <c r="I600" s="6"/>
      <c r="J600" s="6"/>
      <c r="K600" s="6"/>
    </row>
    <row r="601" spans="1:11" ht="15.6">
      <c r="A601" s="327"/>
      <c r="B601" s="6"/>
      <c r="C601" s="6"/>
      <c r="D601" s="6"/>
      <c r="E601" s="6"/>
      <c r="F601" s="6"/>
      <c r="G601" s="6"/>
      <c r="H601" s="6"/>
      <c r="I601" s="6"/>
      <c r="J601" s="6"/>
      <c r="K601" s="6"/>
    </row>
    <row r="602" spans="1:11" ht="15.6">
      <c r="A602" s="327"/>
      <c r="B602" s="6"/>
      <c r="C602" s="6"/>
      <c r="D602" s="6"/>
      <c r="E602" s="6"/>
      <c r="F602" s="6"/>
      <c r="G602" s="6"/>
      <c r="H602" s="6"/>
      <c r="I602" s="6"/>
      <c r="J602" s="6"/>
      <c r="K602" s="6"/>
    </row>
    <row r="603" spans="1:11" ht="15.6">
      <c r="A603" s="327"/>
      <c r="B603" s="6"/>
      <c r="C603" s="6"/>
      <c r="D603" s="6"/>
      <c r="E603" s="6"/>
      <c r="F603" s="6"/>
      <c r="G603" s="6"/>
      <c r="H603" s="6"/>
      <c r="I603" s="6"/>
      <c r="J603" s="6"/>
      <c r="K603" s="6"/>
    </row>
    <row r="604" spans="1:11" ht="15.6">
      <c r="A604" s="327"/>
      <c r="B604" s="6"/>
      <c r="C604" s="6"/>
      <c r="D604" s="6"/>
      <c r="E604" s="6"/>
      <c r="F604" s="6"/>
      <c r="G604" s="6"/>
      <c r="H604" s="6"/>
      <c r="I604" s="6"/>
      <c r="J604" s="6"/>
      <c r="K604" s="6"/>
    </row>
    <row r="605" spans="1:11" ht="15.6">
      <c r="A605" s="327"/>
      <c r="B605" s="6"/>
      <c r="C605" s="6"/>
      <c r="D605" s="6"/>
      <c r="E605" s="6"/>
      <c r="F605" s="6"/>
      <c r="G605" s="6"/>
      <c r="H605" s="6"/>
      <c r="I605" s="6"/>
      <c r="J605" s="6"/>
      <c r="K605" s="6"/>
    </row>
    <row r="606" spans="1:11" ht="15.6">
      <c r="A606" s="327"/>
      <c r="B606" s="6"/>
      <c r="C606" s="6"/>
      <c r="D606" s="6"/>
      <c r="E606" s="6"/>
      <c r="F606" s="6"/>
      <c r="G606" s="6"/>
      <c r="H606" s="6"/>
      <c r="I606" s="6"/>
      <c r="J606" s="6"/>
      <c r="K606" s="6"/>
    </row>
    <row r="607" spans="1:11" ht="15.6">
      <c r="A607" s="327"/>
      <c r="B607" s="6"/>
      <c r="C607" s="6"/>
      <c r="D607" s="6"/>
      <c r="E607" s="6"/>
      <c r="F607" s="6"/>
      <c r="G607" s="6"/>
      <c r="H607" s="6"/>
      <c r="I607" s="6"/>
      <c r="J607" s="6"/>
      <c r="K607" s="6"/>
    </row>
    <row r="608" spans="1:11" ht="15.6">
      <c r="A608" s="327"/>
      <c r="B608" s="6"/>
      <c r="C608" s="6"/>
      <c r="D608" s="6"/>
      <c r="E608" s="6"/>
      <c r="F608" s="6"/>
      <c r="G608" s="6"/>
      <c r="H608" s="6"/>
      <c r="I608" s="6"/>
      <c r="J608" s="6"/>
      <c r="K608" s="6"/>
    </row>
    <row r="609" spans="1:11" ht="15.6">
      <c r="A609" s="327"/>
      <c r="B609" s="6"/>
      <c r="C609" s="6"/>
      <c r="D609" s="6"/>
      <c r="E609" s="6"/>
      <c r="F609" s="6"/>
      <c r="G609" s="6"/>
      <c r="H609" s="6"/>
      <c r="I609" s="6"/>
      <c r="J609" s="6"/>
      <c r="K609" s="6"/>
    </row>
    <row r="610" spans="1:11" ht="15.6">
      <c r="A610" s="327"/>
      <c r="B610" s="6"/>
      <c r="C610" s="6"/>
      <c r="D610" s="6"/>
      <c r="E610" s="6"/>
      <c r="F610" s="6"/>
      <c r="G610" s="6"/>
      <c r="H610" s="6"/>
      <c r="I610" s="6"/>
      <c r="J610" s="6"/>
      <c r="K610" s="6"/>
    </row>
    <row r="611" spans="1:11" ht="15.6">
      <c r="A611" s="327"/>
      <c r="B611" s="6"/>
      <c r="C611" s="6"/>
      <c r="D611" s="6"/>
      <c r="E611" s="6"/>
      <c r="F611" s="6"/>
      <c r="G611" s="6"/>
      <c r="H611" s="6"/>
      <c r="I611" s="6"/>
      <c r="J611" s="6"/>
      <c r="K611" s="6"/>
    </row>
    <row r="612" spans="1:11" ht="15.6">
      <c r="A612" s="327"/>
      <c r="B612" s="6"/>
      <c r="C612" s="6"/>
      <c r="D612" s="6"/>
      <c r="E612" s="6"/>
      <c r="F612" s="6"/>
      <c r="G612" s="6"/>
      <c r="H612" s="6"/>
      <c r="I612" s="6"/>
      <c r="J612" s="6"/>
      <c r="K612" s="6"/>
    </row>
    <row r="613" spans="1:11" ht="15.6">
      <c r="A613" s="327"/>
      <c r="B613" s="6"/>
      <c r="C613" s="6"/>
      <c r="D613" s="6"/>
      <c r="E613" s="6"/>
      <c r="F613" s="6"/>
      <c r="G613" s="6"/>
      <c r="H613" s="6"/>
      <c r="I613" s="6"/>
      <c r="J613" s="6"/>
      <c r="K613" s="6"/>
    </row>
    <row r="614" spans="1:11" ht="15.6">
      <c r="A614" s="327"/>
      <c r="B614" s="6"/>
      <c r="C614" s="6"/>
      <c r="D614" s="6"/>
      <c r="E614" s="6"/>
      <c r="F614" s="6"/>
      <c r="G614" s="6"/>
      <c r="H614" s="6"/>
      <c r="I614" s="6"/>
      <c r="J614" s="6"/>
      <c r="K614" s="6"/>
    </row>
    <row r="615" spans="1:11" ht="15.6">
      <c r="A615" s="327"/>
      <c r="B615" s="6"/>
      <c r="C615" s="6"/>
      <c r="D615" s="6"/>
      <c r="E615" s="6"/>
      <c r="F615" s="6"/>
      <c r="G615" s="6"/>
      <c r="H615" s="6"/>
      <c r="I615" s="6"/>
      <c r="J615" s="6"/>
      <c r="K615" s="6"/>
    </row>
    <row r="616" spans="1:11" ht="15.6">
      <c r="A616" s="327"/>
      <c r="B616" s="6"/>
      <c r="C616" s="6"/>
      <c r="D616" s="6"/>
      <c r="E616" s="6"/>
      <c r="F616" s="6"/>
      <c r="G616" s="6"/>
      <c r="H616" s="6"/>
      <c r="I616" s="6"/>
      <c r="J616" s="6"/>
      <c r="K616" s="6"/>
    </row>
    <row r="617" spans="1:11" ht="15.6">
      <c r="A617" s="327"/>
      <c r="B617" s="6"/>
      <c r="C617" s="6"/>
      <c r="D617" s="6"/>
      <c r="E617" s="6"/>
      <c r="F617" s="6"/>
      <c r="G617" s="6"/>
      <c r="H617" s="6"/>
      <c r="I617" s="6"/>
      <c r="J617" s="6"/>
      <c r="K617" s="6"/>
    </row>
    <row r="618" spans="1:11" ht="15.6">
      <c r="A618" s="327"/>
      <c r="B618" s="6"/>
      <c r="C618" s="6"/>
      <c r="D618" s="6"/>
      <c r="E618" s="6"/>
      <c r="F618" s="6"/>
      <c r="G618" s="6"/>
      <c r="H618" s="6"/>
      <c r="I618" s="6"/>
      <c r="J618" s="6"/>
      <c r="K618" s="6"/>
    </row>
    <row r="619" spans="1:11" ht="15.6">
      <c r="A619" s="327"/>
      <c r="B619" s="6"/>
      <c r="C619" s="6"/>
      <c r="D619" s="6"/>
      <c r="E619" s="6"/>
      <c r="F619" s="6"/>
      <c r="G619" s="6"/>
      <c r="H619" s="6"/>
      <c r="I619" s="6"/>
      <c r="J619" s="6"/>
      <c r="K619" s="6"/>
    </row>
    <row r="620" spans="1:11" ht="15.6">
      <c r="A620" s="327"/>
      <c r="B620" s="6"/>
      <c r="C620" s="6"/>
      <c r="D620" s="6"/>
      <c r="E620" s="6"/>
      <c r="F620" s="6"/>
      <c r="G620" s="6"/>
      <c r="H620" s="6"/>
      <c r="I620" s="6"/>
      <c r="J620" s="6"/>
      <c r="K620" s="6"/>
    </row>
    <row r="621" spans="1:11" ht="15.6">
      <c r="A621" s="327"/>
      <c r="B621" s="6"/>
      <c r="C621" s="6"/>
      <c r="D621" s="6"/>
      <c r="E621" s="6"/>
      <c r="F621" s="6"/>
      <c r="G621" s="6"/>
      <c r="H621" s="6"/>
      <c r="I621" s="6"/>
      <c r="J621" s="6"/>
      <c r="K621" s="6"/>
    </row>
    <row r="622" spans="1:11" ht="15.6">
      <c r="A622" s="327"/>
      <c r="B622" s="6"/>
      <c r="C622" s="6"/>
      <c r="D622" s="6"/>
      <c r="E622" s="6"/>
      <c r="F622" s="6"/>
      <c r="G622" s="6"/>
      <c r="H622" s="6"/>
      <c r="I622" s="6"/>
      <c r="J622" s="6"/>
      <c r="K622" s="6"/>
    </row>
    <row r="623" spans="1:11" ht="15.6">
      <c r="A623" s="327"/>
      <c r="B623" s="6"/>
      <c r="C623" s="6"/>
      <c r="D623" s="6"/>
      <c r="E623" s="6"/>
      <c r="F623" s="6"/>
      <c r="G623" s="6"/>
      <c r="H623" s="6"/>
      <c r="I623" s="6"/>
      <c r="J623" s="6"/>
      <c r="K623" s="6"/>
    </row>
    <row r="624" spans="1:11" ht="15.6">
      <c r="A624" s="327"/>
      <c r="B624" s="6"/>
      <c r="C624" s="6"/>
      <c r="D624" s="6"/>
      <c r="E624" s="6"/>
      <c r="F624" s="6"/>
      <c r="G624" s="6"/>
      <c r="H624" s="6"/>
      <c r="I624" s="6"/>
      <c r="J624" s="6"/>
      <c r="K624" s="6"/>
    </row>
    <row r="625" spans="1:11" ht="15.6">
      <c r="A625" s="327"/>
      <c r="B625" s="6"/>
      <c r="C625" s="6"/>
      <c r="D625" s="6"/>
      <c r="E625" s="6"/>
      <c r="F625" s="6"/>
      <c r="G625" s="6"/>
      <c r="H625" s="6"/>
      <c r="I625" s="6"/>
      <c r="J625" s="6"/>
      <c r="K625" s="6"/>
    </row>
    <row r="626" spans="1:11" ht="15.6">
      <c r="A626" s="327"/>
      <c r="B626" s="6"/>
      <c r="C626" s="6"/>
      <c r="D626" s="6"/>
      <c r="E626" s="6"/>
      <c r="F626" s="6"/>
      <c r="G626" s="6"/>
      <c r="H626" s="6"/>
      <c r="I626" s="6"/>
      <c r="J626" s="6"/>
      <c r="K626" s="6"/>
    </row>
    <row r="627" spans="1:11" ht="15.6">
      <c r="A627" s="327"/>
      <c r="B627" s="6"/>
      <c r="C627" s="6"/>
      <c r="D627" s="6"/>
      <c r="E627" s="6"/>
      <c r="F627" s="6"/>
      <c r="G627" s="6"/>
      <c r="H627" s="6"/>
      <c r="I627" s="6"/>
      <c r="J627" s="6"/>
      <c r="K627" s="6"/>
    </row>
    <row r="628" spans="1:11" ht="15.6">
      <c r="A628" s="327"/>
      <c r="B628" s="6"/>
      <c r="C628" s="6"/>
      <c r="D628" s="6"/>
      <c r="E628" s="6"/>
      <c r="F628" s="6"/>
      <c r="G628" s="6"/>
      <c r="H628" s="6"/>
      <c r="I628" s="6"/>
      <c r="J628" s="6"/>
      <c r="K628" s="6"/>
    </row>
    <row r="629" spans="1:11" ht="15.6">
      <c r="A629" s="327"/>
      <c r="B629" s="6"/>
      <c r="C629" s="6"/>
      <c r="D629" s="6"/>
      <c r="E629" s="6"/>
      <c r="F629" s="6"/>
      <c r="G629" s="6"/>
      <c r="H629" s="6"/>
      <c r="I629" s="6"/>
      <c r="J629" s="6"/>
      <c r="K629" s="6"/>
    </row>
    <row r="630" spans="1:11" ht="15.6">
      <c r="A630" s="327"/>
      <c r="B630" s="6"/>
      <c r="C630" s="6"/>
      <c r="D630" s="6"/>
      <c r="E630" s="6"/>
      <c r="F630" s="6"/>
      <c r="G630" s="6"/>
      <c r="H630" s="6"/>
      <c r="I630" s="6"/>
      <c r="J630" s="6"/>
      <c r="K630" s="6"/>
    </row>
    <row r="631" spans="1:11" ht="15.6">
      <c r="A631" s="327"/>
      <c r="B631" s="6"/>
      <c r="C631" s="6"/>
      <c r="D631" s="6"/>
      <c r="E631" s="6"/>
      <c r="F631" s="6"/>
      <c r="G631" s="6"/>
      <c r="H631" s="6"/>
      <c r="I631" s="6"/>
      <c r="J631" s="6"/>
      <c r="K631" s="6"/>
    </row>
    <row r="632" spans="1:11" ht="15.6">
      <c r="A632" s="327"/>
      <c r="B632" s="6"/>
      <c r="C632" s="6"/>
      <c r="D632" s="6"/>
      <c r="E632" s="6"/>
      <c r="F632" s="6"/>
      <c r="G632" s="6"/>
      <c r="H632" s="6"/>
      <c r="I632" s="6"/>
      <c r="J632" s="6"/>
      <c r="K632" s="6"/>
    </row>
    <row r="633" spans="1:11" ht="15.6">
      <c r="A633" s="327"/>
      <c r="B633" s="6"/>
      <c r="C633" s="6"/>
      <c r="D633" s="6"/>
      <c r="E633" s="6"/>
      <c r="F633" s="6"/>
      <c r="G633" s="6"/>
      <c r="H633" s="6"/>
      <c r="I633" s="6"/>
      <c r="J633" s="6"/>
      <c r="K633" s="6"/>
    </row>
    <row r="634" spans="1:11" ht="15.6">
      <c r="A634" s="327"/>
      <c r="B634" s="6"/>
      <c r="C634" s="6"/>
      <c r="D634" s="6"/>
      <c r="E634" s="6"/>
      <c r="F634" s="6"/>
      <c r="G634" s="6"/>
      <c r="H634" s="6"/>
      <c r="I634" s="6"/>
      <c r="J634" s="6"/>
      <c r="K634" s="6"/>
    </row>
    <row r="635" spans="1:11" ht="15.6">
      <c r="A635" s="327"/>
      <c r="B635" s="6"/>
      <c r="C635" s="6"/>
      <c r="D635" s="6"/>
      <c r="E635" s="6"/>
      <c r="F635" s="6"/>
      <c r="G635" s="6"/>
      <c r="H635" s="6"/>
      <c r="I635" s="6"/>
      <c r="J635" s="6"/>
      <c r="K635" s="6"/>
    </row>
    <row r="636" spans="1:11" ht="15.6">
      <c r="A636" s="327"/>
      <c r="B636" s="6"/>
      <c r="C636" s="6"/>
      <c r="D636" s="6"/>
      <c r="E636" s="6"/>
      <c r="F636" s="6"/>
      <c r="G636" s="6"/>
      <c r="H636" s="6"/>
      <c r="I636" s="6"/>
      <c r="J636" s="6"/>
      <c r="K636" s="6"/>
    </row>
    <row r="637" spans="1:11" ht="15.6">
      <c r="A637" s="327"/>
      <c r="B637" s="6"/>
      <c r="C637" s="6"/>
      <c r="D637" s="6"/>
      <c r="E637" s="6"/>
      <c r="F637" s="6"/>
      <c r="G637" s="6"/>
      <c r="H637" s="6"/>
      <c r="I637" s="6"/>
      <c r="J637" s="6"/>
      <c r="K637" s="6"/>
    </row>
    <row r="638" spans="1:11" ht="15.6">
      <c r="A638" s="327"/>
      <c r="B638" s="6"/>
      <c r="C638" s="6"/>
      <c r="D638" s="6"/>
      <c r="E638" s="6"/>
      <c r="F638" s="6"/>
      <c r="G638" s="6"/>
      <c r="H638" s="6"/>
      <c r="I638" s="6"/>
      <c r="J638" s="6"/>
      <c r="K638" s="6"/>
    </row>
    <row r="639" spans="1:11" ht="15.6">
      <c r="A639" s="327"/>
      <c r="B639" s="6"/>
      <c r="C639" s="6"/>
      <c r="D639" s="6"/>
      <c r="E639" s="6"/>
      <c r="F639" s="6"/>
      <c r="G639" s="6"/>
      <c r="H639" s="6"/>
      <c r="I639" s="6"/>
      <c r="J639" s="6"/>
      <c r="K639" s="6"/>
    </row>
    <row r="640" spans="1:11" ht="15.6">
      <c r="A640" s="327"/>
      <c r="B640" s="6"/>
      <c r="C640" s="6"/>
      <c r="D640" s="6"/>
      <c r="E640" s="6"/>
      <c r="F640" s="6"/>
      <c r="G640" s="6"/>
      <c r="H640" s="6"/>
      <c r="I640" s="6"/>
      <c r="J640" s="6"/>
      <c r="K640" s="6"/>
    </row>
    <row r="641" spans="1:11" ht="15.6">
      <c r="A641" s="327"/>
      <c r="B641" s="6"/>
      <c r="C641" s="6"/>
      <c r="D641" s="6"/>
      <c r="E641" s="6"/>
      <c r="F641" s="6"/>
      <c r="G641" s="6"/>
      <c r="H641" s="6"/>
      <c r="I641" s="6"/>
      <c r="J641" s="6"/>
      <c r="K641" s="6"/>
    </row>
    <row r="642" spans="1:11" ht="15.6">
      <c r="A642" s="327"/>
      <c r="B642" s="6"/>
      <c r="C642" s="6"/>
      <c r="D642" s="6"/>
      <c r="E642" s="6"/>
      <c r="F642" s="6"/>
      <c r="G642" s="6"/>
      <c r="H642" s="6"/>
      <c r="I642" s="6"/>
      <c r="J642" s="6"/>
      <c r="K642" s="6"/>
    </row>
    <row r="643" spans="1:11" ht="15.6">
      <c r="A643" s="327"/>
      <c r="B643" s="6"/>
      <c r="C643" s="6"/>
      <c r="D643" s="6"/>
      <c r="E643" s="6"/>
      <c r="F643" s="6"/>
      <c r="G643" s="6"/>
      <c r="H643" s="6"/>
      <c r="I643" s="6"/>
      <c r="J643" s="6"/>
      <c r="K643" s="6"/>
    </row>
    <row r="644" spans="1:11" ht="15.6">
      <c r="A644" s="327"/>
      <c r="B644" s="6"/>
      <c r="C644" s="6"/>
      <c r="D644" s="6"/>
      <c r="E644" s="6"/>
      <c r="F644" s="6"/>
      <c r="G644" s="6"/>
      <c r="H644" s="6"/>
      <c r="I644" s="6"/>
      <c r="J644" s="6"/>
      <c r="K644" s="6"/>
    </row>
    <row r="645" spans="1:11" ht="15.6">
      <c r="A645" s="327"/>
      <c r="B645" s="6"/>
      <c r="C645" s="6"/>
      <c r="D645" s="6"/>
      <c r="E645" s="6"/>
      <c r="F645" s="6"/>
      <c r="G645" s="6"/>
      <c r="H645" s="6"/>
      <c r="I645" s="6"/>
      <c r="J645" s="6"/>
      <c r="K645" s="6"/>
    </row>
    <row r="646" spans="1:11" ht="15.6">
      <c r="A646" s="327"/>
      <c r="B646" s="6"/>
      <c r="C646" s="6"/>
      <c r="D646" s="6"/>
      <c r="E646" s="6"/>
      <c r="F646" s="6"/>
      <c r="G646" s="6"/>
      <c r="H646" s="6"/>
      <c r="I646" s="6"/>
      <c r="J646" s="6"/>
      <c r="K646" s="6"/>
    </row>
    <row r="647" spans="1:11" ht="15.6">
      <c r="A647" s="327"/>
      <c r="B647" s="6"/>
      <c r="C647" s="6"/>
      <c r="D647" s="6"/>
      <c r="E647" s="6"/>
      <c r="F647" s="6"/>
      <c r="G647" s="6"/>
      <c r="H647" s="6"/>
      <c r="I647" s="6"/>
      <c r="J647" s="6"/>
      <c r="K647" s="6"/>
    </row>
    <row r="648" spans="1:11" ht="15.6">
      <c r="A648" s="327"/>
      <c r="B648" s="6"/>
      <c r="C648" s="6"/>
      <c r="D648" s="6"/>
      <c r="E648" s="6"/>
      <c r="F648" s="6"/>
      <c r="G648" s="6"/>
      <c r="H648" s="6"/>
      <c r="I648" s="6"/>
      <c r="J648" s="6"/>
      <c r="K648" s="6"/>
    </row>
    <row r="649" spans="1:11" ht="15.6">
      <c r="A649" s="327"/>
      <c r="B649" s="6"/>
      <c r="C649" s="6"/>
      <c r="D649" s="6"/>
      <c r="E649" s="6"/>
      <c r="F649" s="6"/>
      <c r="G649" s="6"/>
      <c r="H649" s="6"/>
      <c r="I649" s="6"/>
      <c r="J649" s="6"/>
      <c r="K649" s="6"/>
    </row>
    <row r="650" spans="1:11" ht="15.6">
      <c r="A650" s="327"/>
      <c r="B650" s="6"/>
      <c r="C650" s="6"/>
      <c r="D650" s="6"/>
      <c r="E650" s="6"/>
      <c r="F650" s="6"/>
      <c r="G650" s="6"/>
      <c r="H650" s="6"/>
      <c r="I650" s="6"/>
      <c r="J650" s="6"/>
      <c r="K650" s="6"/>
    </row>
    <row r="651" spans="1:11" ht="15.6">
      <c r="A651" s="327"/>
      <c r="B651" s="6"/>
      <c r="C651" s="6"/>
      <c r="D651" s="6"/>
      <c r="E651" s="6"/>
      <c r="F651" s="6"/>
      <c r="G651" s="6"/>
      <c r="H651" s="6"/>
      <c r="I651" s="6"/>
      <c r="J651" s="6"/>
      <c r="K651" s="6"/>
    </row>
    <row r="652" spans="1:11" ht="15.6">
      <c r="A652" s="327"/>
      <c r="B652" s="6"/>
      <c r="C652" s="6"/>
      <c r="D652" s="6"/>
      <c r="E652" s="6"/>
      <c r="F652" s="6"/>
      <c r="G652" s="6"/>
      <c r="H652" s="6"/>
      <c r="I652" s="6"/>
      <c r="J652" s="6"/>
      <c r="K652" s="6"/>
    </row>
    <row r="653" spans="1:11" ht="15.6">
      <c r="A653" s="327"/>
      <c r="B653" s="6"/>
      <c r="C653" s="6"/>
      <c r="D653" s="6"/>
      <c r="E653" s="6"/>
      <c r="F653" s="6"/>
      <c r="G653" s="6"/>
      <c r="H653" s="6"/>
      <c r="I653" s="6"/>
      <c r="J653" s="6"/>
      <c r="K653" s="6"/>
    </row>
    <row r="654" spans="1:11" ht="15.6">
      <c r="A654" s="327"/>
      <c r="B654" s="6"/>
      <c r="C654" s="6"/>
      <c r="D654" s="6"/>
      <c r="E654" s="6"/>
      <c r="F654" s="6"/>
      <c r="G654" s="6"/>
      <c r="H654" s="6"/>
      <c r="I654" s="6"/>
      <c r="J654" s="6"/>
      <c r="K654" s="6"/>
    </row>
    <row r="655" spans="1:11" ht="15.6">
      <c r="A655" s="327"/>
      <c r="B655" s="6"/>
      <c r="C655" s="6"/>
      <c r="D655" s="6"/>
      <c r="E655" s="6"/>
      <c r="F655" s="6"/>
      <c r="G655" s="6"/>
      <c r="H655" s="6"/>
      <c r="I655" s="6"/>
      <c r="J655" s="6"/>
      <c r="K655" s="6"/>
    </row>
    <row r="656" spans="1:11" ht="15.6">
      <c r="A656" s="327"/>
      <c r="B656" s="6"/>
      <c r="C656" s="6"/>
      <c r="D656" s="6"/>
      <c r="E656" s="6"/>
      <c r="F656" s="6"/>
      <c r="G656" s="6"/>
      <c r="H656" s="6"/>
      <c r="I656" s="6"/>
      <c r="J656" s="6"/>
      <c r="K656" s="6"/>
    </row>
    <row r="657" spans="1:11" ht="15.6">
      <c r="A657" s="327"/>
      <c r="B657" s="6"/>
      <c r="C657" s="6"/>
      <c r="D657" s="6"/>
      <c r="E657" s="6"/>
      <c r="F657" s="6"/>
      <c r="G657" s="6"/>
      <c r="H657" s="6"/>
      <c r="I657" s="6"/>
      <c r="J657" s="6"/>
      <c r="K657" s="6"/>
    </row>
    <row r="658" spans="1:11" ht="15.6">
      <c r="A658" s="327"/>
      <c r="B658" s="6"/>
      <c r="C658" s="6"/>
      <c r="D658" s="6"/>
      <c r="E658" s="6"/>
      <c r="F658" s="6"/>
      <c r="G658" s="6"/>
      <c r="H658" s="6"/>
      <c r="I658" s="6"/>
      <c r="J658" s="6"/>
      <c r="K658" s="6"/>
    </row>
    <row r="659" spans="1:11" ht="15.6">
      <c r="A659" s="327"/>
      <c r="B659" s="6"/>
      <c r="C659" s="6"/>
      <c r="D659" s="6"/>
      <c r="E659" s="6"/>
      <c r="F659" s="6"/>
      <c r="G659" s="6"/>
      <c r="H659" s="6"/>
      <c r="I659" s="6"/>
      <c r="J659" s="6"/>
      <c r="K659" s="6"/>
    </row>
    <row r="660" spans="1:11" ht="15.6">
      <c r="A660" s="327"/>
      <c r="B660" s="6"/>
      <c r="C660" s="6"/>
      <c r="D660" s="6"/>
      <c r="E660" s="6"/>
      <c r="F660" s="6"/>
      <c r="G660" s="6"/>
      <c r="H660" s="6"/>
      <c r="I660" s="6"/>
      <c r="J660" s="6"/>
      <c r="K660" s="6"/>
    </row>
    <row r="661" spans="1:11" ht="15.6">
      <c r="A661" s="327"/>
      <c r="B661" s="6"/>
      <c r="C661" s="6"/>
      <c r="D661" s="6"/>
      <c r="E661" s="6"/>
      <c r="F661" s="6"/>
      <c r="G661" s="6"/>
      <c r="H661" s="6"/>
      <c r="I661" s="6"/>
      <c r="J661" s="6"/>
      <c r="K661" s="6"/>
    </row>
    <row r="662" spans="1:11" ht="15.6">
      <c r="A662" s="327"/>
      <c r="B662" s="6"/>
      <c r="C662" s="6"/>
      <c r="D662" s="6"/>
      <c r="E662" s="6"/>
      <c r="F662" s="6"/>
      <c r="G662" s="6"/>
      <c r="H662" s="6"/>
      <c r="I662" s="6"/>
      <c r="J662" s="6"/>
      <c r="K662" s="6"/>
    </row>
    <row r="663" spans="1:11" ht="15.6">
      <c r="A663" s="327"/>
      <c r="B663" s="6"/>
      <c r="C663" s="6"/>
      <c r="D663" s="6"/>
      <c r="E663" s="6"/>
      <c r="F663" s="6"/>
      <c r="G663" s="6"/>
      <c r="H663" s="6"/>
      <c r="I663" s="6"/>
      <c r="J663" s="6"/>
      <c r="K663" s="6"/>
    </row>
    <row r="664" spans="1:11" ht="15.6">
      <c r="A664" s="327"/>
      <c r="B664" s="6"/>
      <c r="C664" s="6"/>
      <c r="D664" s="6"/>
      <c r="E664" s="6"/>
      <c r="F664" s="6"/>
      <c r="G664" s="6"/>
      <c r="H664" s="6"/>
      <c r="I664" s="6"/>
      <c r="J664" s="6"/>
      <c r="K664" s="6"/>
    </row>
    <row r="665" spans="1:11" ht="15.6">
      <c r="A665" s="327"/>
      <c r="B665" s="6"/>
      <c r="C665" s="6"/>
      <c r="D665" s="6"/>
      <c r="E665" s="6"/>
      <c r="F665" s="6"/>
      <c r="G665" s="6"/>
      <c r="H665" s="6"/>
      <c r="I665" s="6"/>
      <c r="J665" s="6"/>
      <c r="K665" s="6"/>
    </row>
    <row r="666" spans="1:11" ht="15.6">
      <c r="A666" s="327"/>
      <c r="B666" s="6"/>
      <c r="C666" s="6"/>
      <c r="D666" s="6"/>
      <c r="E666" s="6"/>
      <c r="F666" s="6"/>
      <c r="G666" s="6"/>
      <c r="H666" s="6"/>
      <c r="I666" s="6"/>
      <c r="J666" s="6"/>
      <c r="K666" s="6"/>
    </row>
    <row r="667" spans="1:11" ht="15.6">
      <c r="A667" s="327"/>
      <c r="B667" s="6"/>
      <c r="C667" s="6"/>
      <c r="D667" s="6"/>
      <c r="E667" s="6"/>
      <c r="F667" s="6"/>
      <c r="G667" s="6"/>
      <c r="H667" s="6"/>
      <c r="I667" s="6"/>
      <c r="J667" s="6"/>
      <c r="K667" s="6"/>
    </row>
    <row r="668" spans="1:11" ht="15.6">
      <c r="A668" s="327"/>
      <c r="B668" s="6"/>
      <c r="C668" s="6"/>
      <c r="D668" s="6"/>
      <c r="E668" s="6"/>
      <c r="F668" s="6"/>
      <c r="G668" s="6"/>
      <c r="H668" s="6"/>
      <c r="I668" s="6"/>
      <c r="J668" s="6"/>
      <c r="K668" s="6"/>
    </row>
    <row r="669" spans="1:11" ht="15.6">
      <c r="A669" s="327"/>
      <c r="B669" s="6"/>
      <c r="C669" s="6"/>
      <c r="D669" s="6"/>
      <c r="E669" s="6"/>
      <c r="F669" s="6"/>
      <c r="G669" s="6"/>
      <c r="H669" s="6"/>
      <c r="I669" s="6"/>
      <c r="J669" s="6"/>
      <c r="K669" s="6"/>
    </row>
    <row r="670" spans="1:11" ht="15.6">
      <c r="A670" s="327"/>
      <c r="B670" s="6"/>
      <c r="C670" s="6"/>
      <c r="D670" s="6"/>
      <c r="E670" s="6"/>
      <c r="F670" s="6"/>
      <c r="G670" s="6"/>
      <c r="H670" s="6"/>
      <c r="I670" s="6"/>
      <c r="J670" s="6"/>
      <c r="K670" s="6"/>
    </row>
    <row r="671" spans="1:11" ht="15.6">
      <c r="A671" s="327"/>
      <c r="B671" s="6"/>
      <c r="C671" s="6"/>
      <c r="D671" s="6"/>
      <c r="E671" s="6"/>
      <c r="F671" s="6"/>
      <c r="G671" s="6"/>
      <c r="H671" s="6"/>
      <c r="I671" s="6"/>
      <c r="J671" s="6"/>
      <c r="K671" s="6"/>
    </row>
    <row r="672" spans="1:11" ht="15.6">
      <c r="A672" s="327"/>
      <c r="B672" s="6"/>
      <c r="C672" s="6"/>
      <c r="D672" s="6"/>
      <c r="E672" s="6"/>
      <c r="F672" s="6"/>
      <c r="G672" s="6"/>
      <c r="H672" s="6"/>
      <c r="I672" s="6"/>
      <c r="J672" s="6"/>
      <c r="K672" s="6"/>
    </row>
    <row r="673" spans="1:11" ht="15.6">
      <c r="A673" s="327"/>
      <c r="B673" s="6"/>
      <c r="C673" s="6"/>
      <c r="D673" s="6"/>
      <c r="E673" s="6"/>
      <c r="F673" s="6"/>
      <c r="G673" s="6"/>
      <c r="H673" s="6"/>
      <c r="I673" s="6"/>
      <c r="J673" s="6"/>
      <c r="K673" s="6"/>
    </row>
    <row r="674" spans="1:11" ht="15.6">
      <c r="A674" s="327"/>
      <c r="B674" s="6"/>
      <c r="C674" s="6"/>
      <c r="D674" s="6"/>
      <c r="E674" s="6"/>
      <c r="F674" s="6"/>
      <c r="G674" s="6"/>
      <c r="H674" s="6"/>
      <c r="I674" s="6"/>
      <c r="J674" s="6"/>
      <c r="K674" s="6"/>
    </row>
    <row r="675" spans="1:11" ht="15.6">
      <c r="A675" s="327"/>
      <c r="B675" s="6"/>
      <c r="C675" s="6"/>
      <c r="D675" s="6"/>
      <c r="E675" s="6"/>
      <c r="F675" s="6"/>
      <c r="G675" s="6"/>
      <c r="H675" s="6"/>
      <c r="I675" s="6"/>
      <c r="J675" s="6"/>
      <c r="K675" s="6"/>
    </row>
    <row r="676" spans="1:11" ht="15.6">
      <c r="A676" s="327"/>
      <c r="B676" s="6"/>
      <c r="C676" s="6"/>
      <c r="D676" s="6"/>
      <c r="E676" s="6"/>
      <c r="F676" s="6"/>
      <c r="G676" s="6"/>
      <c r="H676" s="6"/>
      <c r="I676" s="6"/>
      <c r="J676" s="6"/>
      <c r="K676" s="6"/>
    </row>
    <row r="677" spans="1:11" ht="15.6">
      <c r="A677" s="327"/>
      <c r="B677" s="6"/>
      <c r="C677" s="6"/>
      <c r="D677" s="6"/>
      <c r="E677" s="6"/>
      <c r="F677" s="6"/>
      <c r="G677" s="6"/>
      <c r="H677" s="6"/>
      <c r="I677" s="6"/>
      <c r="J677" s="6"/>
      <c r="K677" s="6"/>
    </row>
    <row r="678" spans="1:11" ht="15.6">
      <c r="A678" s="327"/>
      <c r="B678" s="6"/>
      <c r="C678" s="6"/>
      <c r="D678" s="6"/>
      <c r="E678" s="6"/>
      <c r="F678" s="6"/>
      <c r="G678" s="6"/>
      <c r="H678" s="6"/>
      <c r="I678" s="6"/>
      <c r="J678" s="6"/>
      <c r="K678" s="6"/>
    </row>
    <row r="679" spans="1:11" ht="15.6">
      <c r="A679" s="327"/>
      <c r="B679" s="6"/>
      <c r="C679" s="6"/>
      <c r="D679" s="6"/>
      <c r="E679" s="6"/>
      <c r="F679" s="6"/>
      <c r="G679" s="6"/>
      <c r="H679" s="6"/>
      <c r="I679" s="6"/>
      <c r="J679" s="6"/>
      <c r="K679" s="6"/>
    </row>
    <row r="680" spans="1:11" ht="15.6">
      <c r="A680" s="327"/>
      <c r="B680" s="6"/>
      <c r="C680" s="6"/>
      <c r="D680" s="6"/>
      <c r="E680" s="6"/>
      <c r="F680" s="6"/>
      <c r="G680" s="6"/>
      <c r="H680" s="6"/>
      <c r="I680" s="6"/>
      <c r="J680" s="6"/>
      <c r="K680" s="6"/>
    </row>
    <row r="681" spans="1:11" ht="15.6">
      <c r="A681" s="327"/>
      <c r="B681" s="6"/>
      <c r="C681" s="6"/>
      <c r="D681" s="6"/>
      <c r="E681" s="6"/>
      <c r="F681" s="6"/>
      <c r="G681" s="6"/>
      <c r="H681" s="6"/>
      <c r="I681" s="6"/>
      <c r="J681" s="6"/>
      <c r="K681" s="6"/>
    </row>
    <row r="682" spans="1:11" ht="15.6">
      <c r="A682" s="327"/>
      <c r="B682" s="6"/>
      <c r="C682" s="6"/>
      <c r="D682" s="6"/>
      <c r="E682" s="6"/>
      <c r="F682" s="6"/>
      <c r="G682" s="6"/>
      <c r="H682" s="6"/>
      <c r="I682" s="6"/>
      <c r="J682" s="6"/>
      <c r="K682" s="6"/>
    </row>
    <row r="683" spans="1:11" ht="15.6">
      <c r="A683" s="327"/>
      <c r="B683" s="6"/>
      <c r="C683" s="6"/>
      <c r="D683" s="6"/>
      <c r="E683" s="6"/>
      <c r="F683" s="6"/>
      <c r="G683" s="6"/>
      <c r="H683" s="6"/>
      <c r="I683" s="6"/>
      <c r="J683" s="6"/>
      <c r="K683" s="6"/>
    </row>
    <row r="684" spans="1:11" ht="15.6">
      <c r="A684" s="327"/>
      <c r="B684" s="6"/>
      <c r="C684" s="6"/>
      <c r="D684" s="6"/>
      <c r="E684" s="6"/>
      <c r="F684" s="6"/>
      <c r="G684" s="6"/>
      <c r="H684" s="6"/>
      <c r="I684" s="6"/>
      <c r="J684" s="6"/>
      <c r="K684" s="6"/>
    </row>
    <row r="685" spans="1:11" ht="15.6">
      <c r="A685" s="327"/>
      <c r="B685" s="6"/>
      <c r="C685" s="6"/>
      <c r="D685" s="6"/>
      <c r="E685" s="6"/>
      <c r="F685" s="6"/>
      <c r="G685" s="6"/>
      <c r="H685" s="6"/>
      <c r="I685" s="6"/>
      <c r="J685" s="6"/>
      <c r="K685" s="6"/>
    </row>
    <row r="686" spans="1:11" ht="15.6">
      <c r="A686" s="327"/>
      <c r="B686" s="6"/>
      <c r="C686" s="6"/>
      <c r="D686" s="6"/>
      <c r="E686" s="6"/>
      <c r="F686" s="6"/>
      <c r="G686" s="6"/>
      <c r="H686" s="6"/>
      <c r="I686" s="6"/>
      <c r="J686" s="6"/>
      <c r="K686" s="6"/>
    </row>
    <row r="687" spans="1:11" ht="15.6">
      <c r="A687" s="327"/>
      <c r="B687" s="6"/>
      <c r="C687" s="6"/>
      <c r="D687" s="6"/>
      <c r="E687" s="6"/>
      <c r="F687" s="6"/>
      <c r="G687" s="6"/>
      <c r="H687" s="6"/>
      <c r="I687" s="6"/>
      <c r="J687" s="6"/>
      <c r="K687" s="6"/>
    </row>
    <row r="688" spans="1:11" ht="15.6">
      <c r="A688" s="327"/>
      <c r="B688" s="6"/>
      <c r="C688" s="6"/>
      <c r="D688" s="6"/>
      <c r="E688" s="6"/>
      <c r="F688" s="6"/>
      <c r="G688" s="6"/>
      <c r="H688" s="6"/>
      <c r="I688" s="6"/>
      <c r="J688" s="6"/>
      <c r="K688" s="6"/>
    </row>
    <row r="689" spans="1:11" ht="15.6">
      <c r="A689" s="327"/>
      <c r="B689" s="6"/>
      <c r="C689" s="6"/>
      <c r="D689" s="6"/>
      <c r="E689" s="6"/>
      <c r="F689" s="6"/>
      <c r="G689" s="6"/>
      <c r="H689" s="6"/>
      <c r="I689" s="6"/>
      <c r="J689" s="6"/>
      <c r="K689" s="6"/>
    </row>
    <row r="690" spans="1:11" ht="15.6">
      <c r="A690" s="327"/>
      <c r="B690" s="6"/>
      <c r="C690" s="6"/>
      <c r="D690" s="6"/>
      <c r="E690" s="6"/>
      <c r="F690" s="6"/>
      <c r="G690" s="6"/>
      <c r="H690" s="6"/>
      <c r="I690" s="6"/>
      <c r="J690" s="6"/>
      <c r="K690" s="6"/>
    </row>
    <row r="691" spans="1:11" ht="15.6">
      <c r="A691" s="327"/>
      <c r="B691" s="6"/>
      <c r="C691" s="6"/>
      <c r="D691" s="6"/>
      <c r="E691" s="6"/>
      <c r="F691" s="6"/>
      <c r="G691" s="6"/>
      <c r="H691" s="6"/>
      <c r="I691" s="6"/>
      <c r="J691" s="6"/>
      <c r="K691" s="6"/>
    </row>
    <row r="692" spans="1:11" ht="15.6">
      <c r="A692" s="327"/>
      <c r="B692" s="6"/>
      <c r="C692" s="6"/>
      <c r="D692" s="6"/>
      <c r="E692" s="6"/>
      <c r="F692" s="6"/>
      <c r="G692" s="6"/>
      <c r="H692" s="6"/>
      <c r="I692" s="6"/>
      <c r="J692" s="6"/>
      <c r="K692" s="6"/>
    </row>
    <row r="693" spans="1:11" ht="15.6">
      <c r="A693" s="327"/>
      <c r="B693" s="6"/>
      <c r="C693" s="6"/>
      <c r="D693" s="6"/>
      <c r="E693" s="6"/>
      <c r="F693" s="6"/>
      <c r="G693" s="6"/>
      <c r="H693" s="6"/>
      <c r="I693" s="6"/>
      <c r="J693" s="6"/>
      <c r="K693" s="6"/>
    </row>
    <row r="694" spans="1:11" ht="15.6">
      <c r="A694" s="327"/>
      <c r="B694" s="6"/>
      <c r="C694" s="6"/>
      <c r="D694" s="6"/>
      <c r="E694" s="6"/>
      <c r="F694" s="6"/>
      <c r="G694" s="6"/>
      <c r="H694" s="6"/>
      <c r="I694" s="6"/>
      <c r="J694" s="6"/>
      <c r="K694" s="6"/>
    </row>
    <row r="695" spans="1:11" ht="15.6">
      <c r="A695" s="327"/>
      <c r="B695" s="6"/>
      <c r="C695" s="6"/>
      <c r="D695" s="6"/>
      <c r="E695" s="6"/>
      <c r="F695" s="6"/>
      <c r="G695" s="6"/>
      <c r="H695" s="6"/>
      <c r="I695" s="6"/>
      <c r="J695" s="6"/>
      <c r="K695" s="6"/>
    </row>
    <row r="696" spans="1:11" ht="15.6">
      <c r="A696" s="327"/>
      <c r="B696" s="6"/>
      <c r="C696" s="6"/>
      <c r="D696" s="6"/>
      <c r="E696" s="6"/>
      <c r="F696" s="6"/>
      <c r="G696" s="6"/>
      <c r="H696" s="6"/>
      <c r="I696" s="6"/>
      <c r="J696" s="6"/>
      <c r="K696" s="6"/>
    </row>
    <row r="697" spans="1:11" ht="15.6">
      <c r="A697" s="327"/>
      <c r="B697" s="6"/>
      <c r="C697" s="6"/>
      <c r="D697" s="6"/>
      <c r="E697" s="6"/>
      <c r="F697" s="6"/>
      <c r="G697" s="6"/>
      <c r="H697" s="6"/>
      <c r="I697" s="6"/>
      <c r="J697" s="6"/>
      <c r="K697" s="6"/>
    </row>
    <row r="698" spans="1:11" ht="15.6">
      <c r="A698" s="327"/>
      <c r="B698" s="6"/>
      <c r="C698" s="6"/>
      <c r="D698" s="6"/>
      <c r="E698" s="6"/>
      <c r="F698" s="6"/>
      <c r="G698" s="6"/>
      <c r="H698" s="6"/>
      <c r="I698" s="6"/>
      <c r="J698" s="6"/>
      <c r="K698" s="6"/>
    </row>
    <row r="699" spans="1:11" ht="15.6">
      <c r="A699" s="327"/>
      <c r="B699" s="6"/>
      <c r="C699" s="6"/>
      <c r="D699" s="6"/>
      <c r="E699" s="6"/>
      <c r="F699" s="6"/>
      <c r="G699" s="6"/>
      <c r="H699" s="6"/>
      <c r="I699" s="6"/>
      <c r="J699" s="6"/>
      <c r="K699" s="6"/>
    </row>
    <row r="700" spans="1:11" ht="15.6">
      <c r="A700" s="327"/>
      <c r="B700" s="6"/>
      <c r="C700" s="6"/>
      <c r="D700" s="6"/>
      <c r="E700" s="6"/>
      <c r="F700" s="6"/>
      <c r="G700" s="6"/>
      <c r="H700" s="6"/>
      <c r="I700" s="6"/>
      <c r="J700" s="6"/>
      <c r="K700" s="6"/>
    </row>
    <row r="701" spans="1:11" ht="15.6">
      <c r="A701" s="327"/>
      <c r="B701" s="6"/>
      <c r="C701" s="6"/>
      <c r="D701" s="6"/>
      <c r="E701" s="6"/>
      <c r="F701" s="6"/>
      <c r="G701" s="6"/>
      <c r="H701" s="6"/>
      <c r="I701" s="6"/>
      <c r="J701" s="6"/>
      <c r="K701" s="6"/>
    </row>
    <row r="702" spans="1:11" ht="15.6">
      <c r="A702" s="327"/>
      <c r="B702" s="6"/>
      <c r="C702" s="6"/>
      <c r="D702" s="6"/>
      <c r="E702" s="6"/>
      <c r="F702" s="6"/>
      <c r="G702" s="6"/>
      <c r="H702" s="6"/>
      <c r="I702" s="6"/>
      <c r="J702" s="6"/>
      <c r="K702" s="6"/>
    </row>
    <row r="703" spans="1:11" ht="15.6">
      <c r="A703" s="327"/>
      <c r="B703" s="6"/>
      <c r="C703" s="6"/>
      <c r="D703" s="6"/>
      <c r="E703" s="6"/>
      <c r="F703" s="6"/>
      <c r="G703" s="6"/>
      <c r="H703" s="6"/>
      <c r="I703" s="6"/>
      <c r="J703" s="6"/>
      <c r="K703" s="6"/>
    </row>
    <row r="704" spans="1:11" ht="15.6">
      <c r="A704" s="327"/>
      <c r="B704" s="6"/>
      <c r="C704" s="6"/>
      <c r="D704" s="6"/>
      <c r="E704" s="6"/>
      <c r="F704" s="6"/>
      <c r="G704" s="6"/>
      <c r="H704" s="6"/>
      <c r="I704" s="6"/>
      <c r="J704" s="6"/>
      <c r="K704" s="6"/>
    </row>
    <row r="705" spans="1:11" ht="15.6">
      <c r="A705" s="327"/>
      <c r="B705" s="6"/>
      <c r="C705" s="6"/>
      <c r="D705" s="6"/>
      <c r="E705" s="6"/>
      <c r="F705" s="6"/>
      <c r="G705" s="6"/>
      <c r="H705" s="6"/>
      <c r="I705" s="6"/>
      <c r="J705" s="6"/>
      <c r="K705" s="6"/>
    </row>
    <row r="706" spans="1:11" ht="15.6">
      <c r="A706" s="327"/>
      <c r="B706" s="6"/>
      <c r="C706" s="6"/>
      <c r="D706" s="6"/>
      <c r="E706" s="6"/>
      <c r="F706" s="6"/>
      <c r="G706" s="6"/>
      <c r="H706" s="6"/>
      <c r="I706" s="6"/>
      <c r="J706" s="6"/>
      <c r="K706" s="6"/>
    </row>
    <row r="707" spans="1:11" ht="15.6">
      <c r="A707" s="327"/>
      <c r="B707" s="6"/>
      <c r="C707" s="6"/>
      <c r="D707" s="6"/>
      <c r="E707" s="6"/>
      <c r="F707" s="6"/>
      <c r="G707" s="6"/>
      <c r="H707" s="6"/>
      <c r="I707" s="6"/>
      <c r="J707" s="6"/>
      <c r="K707" s="6"/>
    </row>
    <row r="708" spans="1:11" ht="15.6">
      <c r="A708" s="327"/>
      <c r="B708" s="6"/>
      <c r="C708" s="6"/>
      <c r="D708" s="6"/>
      <c r="E708" s="6"/>
      <c r="F708" s="6"/>
      <c r="G708" s="6"/>
      <c r="H708" s="6"/>
      <c r="I708" s="6"/>
      <c r="J708" s="6"/>
      <c r="K708" s="6"/>
    </row>
    <row r="709" spans="1:11" ht="15.6">
      <c r="A709" s="327"/>
      <c r="B709" s="6"/>
      <c r="C709" s="6"/>
      <c r="D709" s="6"/>
      <c r="E709" s="6"/>
      <c r="F709" s="6"/>
      <c r="G709" s="6"/>
      <c r="H709" s="6"/>
      <c r="I709" s="6"/>
      <c r="J709" s="6"/>
      <c r="K709" s="6"/>
    </row>
    <row r="710" spans="1:11" ht="15.6">
      <c r="A710" s="327"/>
      <c r="B710" s="6"/>
      <c r="C710" s="6"/>
      <c r="D710" s="6"/>
      <c r="E710" s="6"/>
      <c r="F710" s="6"/>
      <c r="G710" s="6"/>
      <c r="H710" s="6"/>
      <c r="I710" s="6"/>
      <c r="J710" s="6"/>
      <c r="K710" s="6"/>
    </row>
    <row r="711" spans="1:11" ht="15.6">
      <c r="A711" s="327"/>
      <c r="B711" s="6"/>
      <c r="C711" s="6"/>
      <c r="D711" s="6"/>
      <c r="E711" s="6"/>
      <c r="F711" s="6"/>
      <c r="G711" s="6"/>
      <c r="H711" s="6"/>
      <c r="I711" s="6"/>
      <c r="J711" s="6"/>
      <c r="K711" s="6"/>
    </row>
    <row r="712" spans="1:11" ht="15.6">
      <c r="A712" s="327"/>
      <c r="B712" s="6"/>
      <c r="C712" s="6"/>
      <c r="D712" s="6"/>
      <c r="E712" s="6"/>
      <c r="F712" s="6"/>
      <c r="G712" s="6"/>
      <c r="H712" s="6"/>
      <c r="I712" s="6"/>
      <c r="J712" s="6"/>
      <c r="K712" s="6"/>
    </row>
    <row r="713" spans="1:11" ht="15.6">
      <c r="A713" s="327"/>
      <c r="B713" s="6"/>
      <c r="C713" s="6"/>
      <c r="D713" s="6"/>
      <c r="E713" s="6"/>
      <c r="F713" s="6"/>
      <c r="G713" s="6"/>
      <c r="H713" s="6"/>
      <c r="I713" s="6"/>
      <c r="J713" s="6"/>
      <c r="K713" s="6"/>
    </row>
    <row r="714" spans="1:11" ht="15.6">
      <c r="A714" s="327"/>
      <c r="B714" s="6"/>
      <c r="C714" s="6"/>
      <c r="D714" s="6"/>
      <c r="E714" s="6"/>
      <c r="F714" s="6"/>
      <c r="G714" s="6"/>
      <c r="H714" s="6"/>
      <c r="I714" s="6"/>
      <c r="J714" s="6"/>
      <c r="K714" s="6"/>
    </row>
    <row r="715" spans="1:11" ht="15.6">
      <c r="A715" s="327"/>
      <c r="B715" s="6"/>
      <c r="C715" s="6"/>
      <c r="D715" s="6"/>
      <c r="E715" s="6"/>
      <c r="F715" s="6"/>
      <c r="G715" s="6"/>
      <c r="H715" s="6"/>
      <c r="I715" s="6"/>
      <c r="J715" s="6"/>
      <c r="K715" s="6"/>
    </row>
    <row r="716" spans="1:11" ht="15.6">
      <c r="A716" s="327"/>
      <c r="B716" s="6"/>
      <c r="C716" s="6"/>
      <c r="D716" s="6"/>
      <c r="E716" s="6"/>
      <c r="F716" s="6"/>
      <c r="G716" s="6"/>
      <c r="H716" s="6"/>
      <c r="I716" s="6"/>
      <c r="J716" s="6"/>
      <c r="K716" s="6"/>
    </row>
    <row r="717" spans="1:11" ht="15.6">
      <c r="A717" s="327"/>
      <c r="B717" s="6"/>
      <c r="C717" s="6"/>
      <c r="D717" s="6"/>
      <c r="E717" s="6"/>
      <c r="F717" s="6"/>
      <c r="G717" s="6"/>
      <c r="H717" s="6"/>
      <c r="I717" s="6"/>
      <c r="J717" s="6"/>
      <c r="K717" s="6"/>
    </row>
    <row r="718" spans="1:11" ht="15.6">
      <c r="A718" s="327"/>
      <c r="B718" s="6"/>
      <c r="C718" s="6"/>
      <c r="D718" s="6"/>
      <c r="E718" s="6"/>
      <c r="F718" s="6"/>
      <c r="G718" s="6"/>
      <c r="H718" s="6"/>
      <c r="I718" s="6"/>
      <c r="J718" s="6"/>
      <c r="K718" s="6"/>
    </row>
    <row r="719" spans="1:11" ht="15.6">
      <c r="A719" s="327"/>
      <c r="B719" s="6"/>
      <c r="C719" s="6"/>
      <c r="D719" s="6"/>
      <c r="E719" s="6"/>
      <c r="F719" s="6"/>
      <c r="G719" s="6"/>
      <c r="H719" s="6"/>
      <c r="I719" s="6"/>
      <c r="J719" s="6"/>
      <c r="K719" s="6"/>
    </row>
    <row r="720" spans="1:11" ht="15.6">
      <c r="A720" s="327"/>
      <c r="B720" s="6"/>
      <c r="C720" s="6"/>
      <c r="D720" s="6"/>
      <c r="E720" s="6"/>
      <c r="F720" s="6"/>
      <c r="G720" s="6"/>
      <c r="H720" s="6"/>
      <c r="I720" s="6"/>
      <c r="J720" s="6"/>
      <c r="K720" s="6"/>
    </row>
    <row r="721" spans="1:11" ht="15.6">
      <c r="A721" s="327"/>
      <c r="B721" s="6"/>
      <c r="C721" s="6"/>
      <c r="D721" s="6"/>
      <c r="E721" s="6"/>
      <c r="F721" s="6"/>
      <c r="G721" s="6"/>
      <c r="H721" s="6"/>
      <c r="I721" s="6"/>
      <c r="J721" s="6"/>
      <c r="K721" s="6"/>
    </row>
    <row r="722" spans="1:11" ht="15.6">
      <c r="A722" s="327"/>
      <c r="B722" s="6"/>
      <c r="C722" s="6"/>
      <c r="D722" s="6"/>
      <c r="E722" s="6"/>
      <c r="F722" s="6"/>
      <c r="G722" s="6"/>
      <c r="H722" s="6"/>
      <c r="I722" s="6"/>
      <c r="J722" s="6"/>
      <c r="K722" s="6"/>
    </row>
    <row r="723" spans="1:11" ht="15.6">
      <c r="A723" s="327"/>
      <c r="B723" s="6"/>
      <c r="C723" s="6"/>
      <c r="D723" s="6"/>
      <c r="E723" s="6"/>
      <c r="F723" s="6"/>
      <c r="G723" s="6"/>
      <c r="H723" s="6"/>
      <c r="I723" s="6"/>
      <c r="J723" s="6"/>
      <c r="K723" s="6"/>
    </row>
    <row r="724" spans="1:11" ht="15.6">
      <c r="A724" s="327"/>
      <c r="B724" s="6"/>
      <c r="C724" s="6"/>
      <c r="D724" s="6"/>
      <c r="E724" s="6"/>
      <c r="F724" s="6"/>
      <c r="G724" s="6"/>
      <c r="H724" s="6"/>
      <c r="I724" s="6"/>
      <c r="J724" s="6"/>
      <c r="K724" s="6"/>
    </row>
    <row r="725" spans="1:11" ht="15.6">
      <c r="A725" s="327"/>
      <c r="B725" s="6"/>
      <c r="C725" s="6"/>
      <c r="D725" s="6"/>
      <c r="E725" s="6"/>
      <c r="F725" s="6"/>
      <c r="G725" s="6"/>
      <c r="H725" s="6"/>
      <c r="I725" s="6"/>
      <c r="J725" s="6"/>
      <c r="K725" s="6"/>
    </row>
    <row r="726" spans="1:11" ht="15.6">
      <c r="A726" s="327"/>
      <c r="B726" s="6"/>
      <c r="C726" s="6"/>
      <c r="D726" s="6"/>
      <c r="E726" s="6"/>
      <c r="F726" s="6"/>
      <c r="G726" s="6"/>
      <c r="H726" s="6"/>
      <c r="I726" s="6"/>
      <c r="J726" s="6"/>
      <c r="K726" s="6"/>
    </row>
    <row r="727" spans="1:11" ht="15.6">
      <c r="A727" s="327"/>
      <c r="B727" s="6"/>
      <c r="C727" s="6"/>
      <c r="D727" s="6"/>
      <c r="E727" s="6"/>
      <c r="F727" s="6"/>
      <c r="G727" s="6"/>
      <c r="H727" s="6"/>
      <c r="I727" s="6"/>
      <c r="J727" s="6"/>
      <c r="K727" s="6"/>
    </row>
    <row r="728" spans="1:11" ht="15.6">
      <c r="A728" s="327"/>
      <c r="B728" s="6"/>
      <c r="C728" s="6"/>
      <c r="D728" s="6"/>
      <c r="E728" s="6"/>
      <c r="F728" s="6"/>
      <c r="G728" s="6"/>
      <c r="H728" s="6"/>
      <c r="I728" s="6"/>
      <c r="J728" s="6"/>
      <c r="K728" s="6"/>
    </row>
    <row r="729" spans="1:11" ht="15.6">
      <c r="A729" s="327"/>
      <c r="B729" s="6"/>
      <c r="C729" s="6"/>
      <c r="D729" s="6"/>
      <c r="E729" s="6"/>
      <c r="F729" s="6"/>
      <c r="G729" s="6"/>
      <c r="H729" s="6"/>
      <c r="I729" s="6"/>
      <c r="J729" s="6"/>
      <c r="K729" s="6"/>
    </row>
    <row r="730" spans="1:11" ht="15.6">
      <c r="A730" s="327"/>
      <c r="B730" s="6"/>
      <c r="C730" s="6"/>
      <c r="D730" s="6"/>
      <c r="E730" s="6"/>
      <c r="F730" s="6"/>
      <c r="G730" s="6"/>
      <c r="H730" s="6"/>
      <c r="I730" s="6"/>
      <c r="J730" s="6"/>
      <c r="K730" s="6"/>
    </row>
    <row r="731" spans="1:11" ht="15.6">
      <c r="A731" s="327"/>
      <c r="B731" s="6"/>
      <c r="C731" s="6"/>
      <c r="D731" s="6"/>
      <c r="E731" s="6"/>
      <c r="F731" s="6"/>
      <c r="G731" s="6"/>
      <c r="H731" s="6"/>
      <c r="I731" s="6"/>
      <c r="J731" s="6"/>
      <c r="K731" s="6"/>
    </row>
    <row r="732" spans="1:11" ht="15.6">
      <c r="A732" s="327"/>
      <c r="B732" s="6"/>
      <c r="C732" s="6"/>
      <c r="D732" s="6"/>
      <c r="E732" s="6"/>
      <c r="F732" s="6"/>
      <c r="G732" s="6"/>
      <c r="H732" s="6"/>
      <c r="I732" s="6"/>
      <c r="J732" s="6"/>
      <c r="K732" s="6"/>
    </row>
    <row r="733" spans="1:11" ht="15.6">
      <c r="A733" s="327"/>
      <c r="B733" s="6"/>
      <c r="C733" s="6"/>
      <c r="D733" s="6"/>
      <c r="E733" s="6"/>
      <c r="F733" s="6"/>
      <c r="G733" s="6"/>
      <c r="H733" s="6"/>
      <c r="I733" s="6"/>
      <c r="J733" s="6"/>
      <c r="K733" s="6"/>
    </row>
    <row r="734" spans="1:11" ht="15.6">
      <c r="A734" s="327"/>
      <c r="B734" s="6"/>
      <c r="C734" s="6"/>
      <c r="D734" s="6"/>
      <c r="E734" s="6"/>
      <c r="F734" s="6"/>
      <c r="G734" s="6"/>
      <c r="H734" s="6"/>
      <c r="I734" s="6"/>
      <c r="J734" s="6"/>
      <c r="K734" s="6"/>
    </row>
    <row r="735" spans="1:11" ht="15.6">
      <c r="A735" s="327"/>
      <c r="B735" s="6"/>
      <c r="C735" s="6"/>
      <c r="D735" s="6"/>
      <c r="E735" s="6"/>
      <c r="F735" s="6"/>
      <c r="G735" s="6"/>
      <c r="H735" s="6"/>
      <c r="I735" s="6"/>
      <c r="J735" s="6"/>
      <c r="K735" s="6"/>
    </row>
    <row r="736" spans="1:11" ht="15.6">
      <c r="A736" s="327"/>
      <c r="B736" s="6"/>
      <c r="C736" s="6"/>
      <c r="D736" s="6"/>
      <c r="E736" s="6"/>
      <c r="F736" s="6"/>
      <c r="G736" s="6"/>
      <c r="H736" s="6"/>
      <c r="I736" s="6"/>
      <c r="J736" s="6"/>
      <c r="K736" s="6"/>
    </row>
    <row r="737" spans="1:11" ht="15.6">
      <c r="A737" s="327"/>
      <c r="B737" s="6"/>
      <c r="C737" s="6"/>
      <c r="D737" s="6"/>
      <c r="E737" s="6"/>
      <c r="F737" s="6"/>
      <c r="G737" s="6"/>
      <c r="H737" s="6"/>
      <c r="I737" s="6"/>
      <c r="J737" s="6"/>
      <c r="K737" s="6"/>
    </row>
    <row r="738" spans="1:11" ht="15.6">
      <c r="A738" s="327"/>
      <c r="B738" s="6"/>
      <c r="C738" s="6"/>
      <c r="D738" s="6"/>
      <c r="E738" s="6"/>
      <c r="F738" s="6"/>
      <c r="G738" s="6"/>
      <c r="H738" s="6"/>
      <c r="I738" s="6"/>
      <c r="J738" s="6"/>
      <c r="K738" s="6"/>
    </row>
    <row r="739" spans="1:11" ht="15.6">
      <c r="A739" s="327"/>
      <c r="B739" s="6"/>
      <c r="C739" s="6"/>
      <c r="D739" s="6"/>
      <c r="E739" s="6"/>
      <c r="F739" s="6"/>
      <c r="G739" s="6"/>
      <c r="H739" s="6"/>
      <c r="I739" s="6"/>
      <c r="J739" s="6"/>
      <c r="K739" s="6"/>
    </row>
    <row r="740" spans="1:11" ht="15.6">
      <c r="A740" s="327"/>
      <c r="B740" s="6"/>
      <c r="C740" s="6"/>
      <c r="D740" s="6"/>
      <c r="E740" s="6"/>
      <c r="F740" s="6"/>
      <c r="G740" s="6"/>
      <c r="H740" s="6"/>
      <c r="I740" s="6"/>
      <c r="J740" s="6"/>
      <c r="K740" s="6"/>
    </row>
    <row r="741" spans="1:11" ht="15.6">
      <c r="A741" s="327"/>
      <c r="B741" s="6"/>
      <c r="C741" s="6"/>
      <c r="D741" s="6"/>
      <c r="E741" s="6"/>
      <c r="F741" s="6"/>
      <c r="G741" s="6"/>
      <c r="H741" s="6"/>
      <c r="I741" s="6"/>
      <c r="J741" s="6"/>
      <c r="K741" s="6"/>
    </row>
    <row r="742" spans="1:11" ht="15.6">
      <c r="A742" s="327"/>
      <c r="B742" s="6"/>
      <c r="C742" s="6"/>
      <c r="D742" s="6"/>
      <c r="E742" s="6"/>
      <c r="F742" s="6"/>
      <c r="G742" s="6"/>
      <c r="H742" s="6"/>
      <c r="I742" s="6"/>
      <c r="J742" s="6"/>
      <c r="K742" s="6"/>
    </row>
    <row r="743" spans="1:11" ht="15.6">
      <c r="A743" s="327"/>
      <c r="B743" s="6"/>
      <c r="C743" s="6"/>
      <c r="D743" s="6"/>
      <c r="E743" s="6"/>
      <c r="F743" s="6"/>
      <c r="G743" s="6"/>
      <c r="H743" s="6"/>
      <c r="I743" s="6"/>
      <c r="J743" s="6"/>
      <c r="K743" s="6"/>
    </row>
    <row r="744" spans="1:11" ht="15.6">
      <c r="A744" s="327"/>
      <c r="B744" s="6"/>
      <c r="C744" s="6"/>
      <c r="D744" s="6"/>
      <c r="E744" s="6"/>
      <c r="F744" s="6"/>
      <c r="G744" s="6"/>
      <c r="H744" s="6"/>
      <c r="I744" s="6"/>
      <c r="J744" s="6"/>
      <c r="K744" s="6"/>
    </row>
    <row r="745" spans="1:11" ht="15.6">
      <c r="A745" s="327"/>
      <c r="B745" s="6"/>
      <c r="C745" s="6"/>
      <c r="D745" s="6"/>
      <c r="E745" s="6"/>
      <c r="F745" s="6"/>
      <c r="G745" s="6"/>
      <c r="H745" s="6"/>
      <c r="I745" s="6"/>
      <c r="J745" s="6"/>
      <c r="K745" s="6"/>
    </row>
    <row r="746" spans="1:11" ht="15.6">
      <c r="A746" s="327"/>
      <c r="B746" s="6"/>
      <c r="C746" s="6"/>
      <c r="D746" s="6"/>
      <c r="E746" s="6"/>
      <c r="F746" s="6"/>
      <c r="G746" s="6"/>
      <c r="H746" s="6"/>
      <c r="I746" s="6"/>
      <c r="J746" s="6"/>
      <c r="K746" s="6"/>
    </row>
    <row r="747" spans="1:11" ht="15.6">
      <c r="A747" s="327"/>
      <c r="B747" s="6"/>
      <c r="C747" s="6"/>
      <c r="D747" s="6"/>
      <c r="E747" s="6"/>
      <c r="F747" s="6"/>
      <c r="G747" s="6"/>
      <c r="H747" s="6"/>
      <c r="I747" s="6"/>
      <c r="J747" s="6"/>
      <c r="K747" s="6"/>
    </row>
    <row r="748" spans="1:11" ht="15.6">
      <c r="A748" s="327"/>
      <c r="B748" s="6"/>
      <c r="C748" s="6"/>
      <c r="D748" s="6"/>
      <c r="E748" s="6"/>
      <c r="F748" s="6"/>
      <c r="G748" s="6"/>
      <c r="H748" s="6"/>
      <c r="I748" s="6"/>
      <c r="J748" s="6"/>
      <c r="K748" s="6"/>
    </row>
    <row r="749" spans="1:11" ht="15.6">
      <c r="A749" s="327"/>
      <c r="B749" s="6"/>
      <c r="C749" s="6"/>
      <c r="D749" s="6"/>
      <c r="E749" s="6"/>
      <c r="F749" s="6"/>
      <c r="G749" s="6"/>
      <c r="H749" s="6"/>
      <c r="I749" s="6"/>
      <c r="J749" s="6"/>
      <c r="K749" s="6"/>
    </row>
    <row r="750" spans="1:11" ht="15.6">
      <c r="A750" s="327"/>
      <c r="B750" s="6"/>
      <c r="C750" s="6"/>
      <c r="D750" s="6"/>
      <c r="E750" s="6"/>
      <c r="F750" s="6"/>
      <c r="G750" s="6"/>
      <c r="H750" s="6"/>
      <c r="I750" s="6"/>
      <c r="J750" s="6"/>
      <c r="K750" s="6"/>
    </row>
    <row r="751" spans="1:11" ht="15.6">
      <c r="A751" s="327"/>
      <c r="B751" s="6"/>
      <c r="C751" s="6"/>
      <c r="D751" s="6"/>
      <c r="E751" s="6"/>
      <c r="F751" s="6"/>
      <c r="G751" s="6"/>
      <c r="H751" s="6"/>
      <c r="I751" s="6"/>
      <c r="J751" s="6"/>
      <c r="K751" s="6"/>
    </row>
    <row r="752" spans="1:11" ht="15.6">
      <c r="A752" s="327"/>
      <c r="B752" s="6"/>
      <c r="C752" s="6"/>
      <c r="D752" s="6"/>
      <c r="E752" s="6"/>
      <c r="F752" s="6"/>
      <c r="G752" s="6"/>
      <c r="H752" s="6"/>
      <c r="I752" s="6"/>
      <c r="J752" s="6"/>
      <c r="K752" s="6"/>
    </row>
    <row r="753" spans="1:11" ht="15.6">
      <c r="A753" s="327"/>
      <c r="B753" s="6"/>
      <c r="C753" s="6"/>
      <c r="D753" s="6"/>
      <c r="E753" s="6"/>
      <c r="F753" s="6"/>
      <c r="G753" s="6"/>
      <c r="H753" s="6"/>
      <c r="I753" s="6"/>
      <c r="J753" s="6"/>
      <c r="K753" s="6"/>
    </row>
    <row r="754" spans="1:11" ht="15.6">
      <c r="A754" s="327"/>
      <c r="B754" s="6"/>
      <c r="C754" s="6"/>
      <c r="D754" s="6"/>
      <c r="E754" s="6"/>
      <c r="F754" s="6"/>
      <c r="G754" s="6"/>
      <c r="H754" s="6"/>
      <c r="I754" s="6"/>
      <c r="J754" s="6"/>
      <c r="K754" s="6"/>
    </row>
    <row r="755" spans="1:11" ht="15.6">
      <c r="A755" s="327"/>
      <c r="B755" s="6"/>
      <c r="C755" s="6"/>
      <c r="D755" s="6"/>
      <c r="E755" s="6"/>
      <c r="F755" s="6"/>
      <c r="G755" s="6"/>
      <c r="H755" s="6"/>
      <c r="I755" s="6"/>
      <c r="J755" s="6"/>
      <c r="K755" s="6"/>
    </row>
    <row r="756" spans="1:11" ht="15.6">
      <c r="A756" s="327"/>
      <c r="B756" s="6"/>
      <c r="C756" s="6"/>
      <c r="D756" s="6"/>
      <c r="E756" s="6"/>
      <c r="F756" s="6"/>
      <c r="G756" s="6"/>
      <c r="H756" s="6"/>
      <c r="I756" s="6"/>
      <c r="J756" s="6"/>
      <c r="K756" s="6"/>
    </row>
    <row r="757" spans="1:11" ht="15.6">
      <c r="A757" s="327"/>
      <c r="B757" s="6"/>
      <c r="C757" s="6"/>
      <c r="D757" s="6"/>
      <c r="E757" s="6"/>
      <c r="F757" s="6"/>
      <c r="G757" s="6"/>
      <c r="H757" s="6"/>
      <c r="I757" s="6"/>
      <c r="J757" s="6"/>
      <c r="K757" s="6"/>
    </row>
    <row r="758" spans="1:11" ht="15.6">
      <c r="A758" s="327"/>
      <c r="B758" s="6"/>
      <c r="C758" s="6"/>
      <c r="D758" s="6"/>
      <c r="E758" s="6"/>
      <c r="F758" s="6"/>
      <c r="G758" s="6"/>
      <c r="H758" s="6"/>
      <c r="I758" s="6"/>
      <c r="J758" s="6"/>
      <c r="K758" s="6"/>
    </row>
    <row r="759" spans="1:11" ht="15.6">
      <c r="A759" s="327"/>
      <c r="B759" s="6"/>
      <c r="C759" s="6"/>
      <c r="D759" s="6"/>
      <c r="E759" s="6"/>
      <c r="F759" s="6"/>
      <c r="G759" s="6"/>
      <c r="H759" s="6"/>
      <c r="I759" s="6"/>
      <c r="J759" s="6"/>
      <c r="K759" s="6"/>
    </row>
    <row r="760" spans="1:11" ht="15.6">
      <c r="A760" s="327"/>
      <c r="B760" s="6"/>
      <c r="C760" s="6"/>
      <c r="D760" s="6"/>
      <c r="E760" s="6"/>
      <c r="F760" s="6"/>
      <c r="G760" s="6"/>
      <c r="H760" s="6"/>
      <c r="I760" s="6"/>
      <c r="J760" s="6"/>
      <c r="K760" s="6"/>
    </row>
    <row r="761" spans="1:11" ht="15.6">
      <c r="A761" s="327"/>
      <c r="B761" s="6"/>
      <c r="C761" s="6"/>
      <c r="D761" s="6"/>
      <c r="E761" s="6"/>
      <c r="F761" s="6"/>
      <c r="G761" s="6"/>
      <c r="H761" s="6"/>
      <c r="I761" s="6"/>
      <c r="J761" s="6"/>
      <c r="K761" s="6"/>
    </row>
    <row r="762" spans="1:11" ht="15.6">
      <c r="A762" s="327"/>
      <c r="B762" s="6"/>
      <c r="C762" s="6"/>
      <c r="D762" s="6"/>
      <c r="E762" s="6"/>
      <c r="F762" s="6"/>
      <c r="G762" s="6"/>
      <c r="H762" s="6"/>
      <c r="I762" s="6"/>
      <c r="J762" s="6"/>
      <c r="K762" s="6"/>
    </row>
    <row r="763" spans="1:11" ht="15.6">
      <c r="A763" s="327"/>
      <c r="B763" s="6"/>
      <c r="C763" s="6"/>
      <c r="D763" s="6"/>
      <c r="E763" s="6"/>
      <c r="F763" s="6"/>
      <c r="G763" s="6"/>
      <c r="H763" s="6"/>
      <c r="I763" s="6"/>
      <c r="J763" s="6"/>
      <c r="K763" s="6"/>
    </row>
    <row r="764" spans="1:11" ht="15.6">
      <c r="A764" s="327"/>
      <c r="B764" s="6"/>
      <c r="C764" s="6"/>
      <c r="D764" s="6"/>
      <c r="E764" s="6"/>
      <c r="F764" s="6"/>
      <c r="G764" s="6"/>
      <c r="H764" s="6"/>
      <c r="I764" s="6"/>
      <c r="J764" s="6"/>
      <c r="K764" s="6"/>
    </row>
    <row r="765" spans="1:11" ht="15.6">
      <c r="A765" s="327"/>
      <c r="B765" s="6"/>
      <c r="C765" s="6"/>
      <c r="D765" s="6"/>
      <c r="E765" s="6"/>
      <c r="F765" s="6"/>
      <c r="G765" s="6"/>
      <c r="H765" s="6"/>
      <c r="I765" s="6"/>
      <c r="J765" s="6"/>
      <c r="K765" s="6"/>
    </row>
    <row r="766" spans="1:11" ht="15.6">
      <c r="A766" s="327"/>
      <c r="B766" s="6"/>
      <c r="C766" s="6"/>
      <c r="D766" s="6"/>
      <c r="E766" s="6"/>
      <c r="F766" s="6"/>
      <c r="G766" s="6"/>
      <c r="H766" s="6"/>
      <c r="I766" s="6"/>
      <c r="J766" s="6"/>
      <c r="K766" s="6"/>
    </row>
    <row r="767" spans="1:11" ht="15.6">
      <c r="A767" s="327"/>
      <c r="B767" s="6"/>
      <c r="C767" s="6"/>
      <c r="D767" s="6"/>
      <c r="E767" s="6"/>
      <c r="F767" s="6"/>
      <c r="G767" s="6"/>
      <c r="H767" s="6"/>
      <c r="I767" s="6"/>
      <c r="J767" s="6"/>
      <c r="K767" s="6"/>
    </row>
    <row r="768" spans="1:11" ht="15.6">
      <c r="A768" s="327"/>
      <c r="B768" s="6"/>
      <c r="C768" s="6"/>
      <c r="D768" s="6"/>
      <c r="E768" s="6"/>
      <c r="F768" s="6"/>
      <c r="G768" s="6"/>
      <c r="H768" s="6"/>
      <c r="I768" s="6"/>
      <c r="J768" s="6"/>
      <c r="K768" s="6"/>
    </row>
    <row r="769" spans="1:11" ht="15.6">
      <c r="A769" s="327"/>
      <c r="B769" s="6"/>
      <c r="C769" s="6"/>
      <c r="D769" s="6"/>
      <c r="E769" s="6"/>
      <c r="F769" s="6"/>
      <c r="G769" s="6"/>
      <c r="H769" s="6"/>
      <c r="I769" s="6"/>
      <c r="J769" s="6"/>
      <c r="K769" s="6"/>
    </row>
    <row r="770" spans="1:11" ht="15.6">
      <c r="A770" s="327"/>
      <c r="B770" s="6"/>
      <c r="C770" s="6"/>
      <c r="D770" s="6"/>
      <c r="E770" s="6"/>
      <c r="F770" s="6"/>
      <c r="G770" s="6"/>
      <c r="H770" s="6"/>
      <c r="I770" s="6"/>
      <c r="J770" s="6"/>
      <c r="K770" s="6"/>
    </row>
    <row r="771" spans="1:11" ht="15.6">
      <c r="A771" s="327"/>
      <c r="B771" s="6"/>
      <c r="C771" s="6"/>
      <c r="D771" s="6"/>
      <c r="E771" s="6"/>
      <c r="F771" s="6"/>
      <c r="G771" s="6"/>
      <c r="H771" s="6"/>
      <c r="I771" s="6"/>
      <c r="J771" s="6"/>
      <c r="K771" s="6"/>
    </row>
    <row r="772" spans="1:11" ht="15.6">
      <c r="A772" s="327"/>
      <c r="B772" s="6"/>
      <c r="C772" s="6"/>
      <c r="D772" s="6"/>
      <c r="E772" s="6"/>
      <c r="F772" s="6"/>
      <c r="G772" s="6"/>
      <c r="H772" s="6"/>
      <c r="I772" s="6"/>
      <c r="J772" s="6"/>
      <c r="K772" s="6"/>
    </row>
    <row r="773" spans="1:11" ht="15.6">
      <c r="A773" s="327"/>
      <c r="B773" s="6"/>
      <c r="C773" s="6"/>
      <c r="D773" s="6"/>
      <c r="E773" s="6"/>
      <c r="F773" s="6"/>
      <c r="G773" s="6"/>
      <c r="H773" s="6"/>
      <c r="I773" s="6"/>
      <c r="J773" s="6"/>
      <c r="K773" s="6"/>
    </row>
    <row r="774" spans="1:11" ht="15.6">
      <c r="A774" s="327"/>
      <c r="B774" s="6"/>
      <c r="C774" s="6"/>
      <c r="D774" s="6"/>
      <c r="E774" s="6"/>
      <c r="F774" s="6"/>
      <c r="G774" s="6"/>
      <c r="H774" s="6"/>
      <c r="I774" s="6"/>
      <c r="J774" s="6"/>
      <c r="K774" s="6"/>
    </row>
    <row r="775" spans="1:11" ht="15.6">
      <c r="A775" s="327"/>
      <c r="B775" s="6"/>
      <c r="C775" s="6"/>
      <c r="D775" s="6"/>
      <c r="E775" s="6"/>
      <c r="F775" s="6"/>
      <c r="G775" s="6"/>
      <c r="H775" s="6"/>
      <c r="I775" s="6"/>
      <c r="J775" s="6"/>
      <c r="K775" s="6"/>
    </row>
    <row r="776" spans="1:11" ht="15.6">
      <c r="A776" s="327"/>
      <c r="B776" s="6"/>
      <c r="C776" s="6"/>
      <c r="D776" s="6"/>
      <c r="E776" s="6"/>
      <c r="F776" s="6"/>
      <c r="G776" s="6"/>
      <c r="H776" s="6"/>
      <c r="I776" s="6"/>
      <c r="J776" s="6"/>
      <c r="K776" s="6"/>
    </row>
    <row r="777" spans="1:11" ht="15.6">
      <c r="A777" s="327"/>
      <c r="B777" s="6"/>
      <c r="C777" s="6"/>
      <c r="D777" s="6"/>
      <c r="E777" s="6"/>
      <c r="F777" s="6"/>
      <c r="G777" s="6"/>
      <c r="H777" s="6"/>
      <c r="I777" s="6"/>
      <c r="J777" s="6"/>
      <c r="K777" s="6"/>
    </row>
    <row r="778" spans="1:11" ht="15.6">
      <c r="A778" s="327"/>
      <c r="B778" s="6"/>
      <c r="C778" s="6"/>
      <c r="D778" s="6"/>
      <c r="E778" s="6"/>
      <c r="F778" s="6"/>
      <c r="G778" s="6"/>
      <c r="H778" s="6"/>
      <c r="I778" s="6"/>
      <c r="J778" s="6"/>
      <c r="K778" s="6"/>
    </row>
    <row r="779" spans="1:11" ht="15.6">
      <c r="A779" s="327"/>
      <c r="B779" s="6"/>
      <c r="C779" s="6"/>
      <c r="D779" s="6"/>
      <c r="E779" s="6"/>
      <c r="F779" s="6"/>
      <c r="G779" s="6"/>
      <c r="H779" s="6"/>
      <c r="I779" s="6"/>
      <c r="J779" s="6"/>
      <c r="K779" s="6"/>
    </row>
    <row r="780" spans="1:11" ht="15.6">
      <c r="A780" s="327"/>
      <c r="B780" s="6"/>
      <c r="C780" s="6"/>
      <c r="D780" s="6"/>
      <c r="E780" s="6"/>
      <c r="F780" s="6"/>
      <c r="G780" s="6"/>
      <c r="H780" s="6"/>
      <c r="I780" s="6"/>
      <c r="J780" s="6"/>
      <c r="K780" s="6"/>
    </row>
    <row r="781" spans="1:11" ht="15.6">
      <c r="A781" s="327"/>
      <c r="B781" s="6"/>
      <c r="C781" s="6"/>
      <c r="D781" s="6"/>
      <c r="E781" s="6"/>
      <c r="F781" s="6"/>
      <c r="G781" s="6"/>
      <c r="H781" s="6"/>
      <c r="I781" s="6"/>
      <c r="J781" s="6"/>
      <c r="K781" s="6"/>
    </row>
    <row r="782" spans="1:11" ht="15.6">
      <c r="A782" s="327"/>
      <c r="B782" s="6"/>
      <c r="C782" s="6"/>
      <c r="D782" s="6"/>
      <c r="E782" s="6"/>
      <c r="F782" s="6"/>
      <c r="G782" s="6"/>
      <c r="H782" s="6"/>
      <c r="I782" s="6"/>
      <c r="J782" s="6"/>
      <c r="K782" s="6"/>
    </row>
    <row r="783" spans="1:11" ht="15.6">
      <c r="A783" s="327"/>
      <c r="B783" s="6"/>
      <c r="C783" s="6"/>
      <c r="D783" s="6"/>
      <c r="E783" s="6"/>
      <c r="F783" s="6"/>
      <c r="G783" s="6"/>
      <c r="H783" s="6"/>
      <c r="I783" s="6"/>
      <c r="J783" s="6"/>
      <c r="K783" s="6"/>
    </row>
    <row r="784" spans="1:11" ht="15.6">
      <c r="A784" s="327"/>
      <c r="B784" s="6"/>
      <c r="C784" s="6"/>
      <c r="D784" s="6"/>
      <c r="E784" s="6"/>
      <c r="F784" s="6"/>
      <c r="G784" s="6"/>
      <c r="H784" s="6"/>
      <c r="I784" s="6"/>
      <c r="J784" s="6"/>
      <c r="K784" s="6"/>
    </row>
    <row r="785" spans="1:11" ht="15.6">
      <c r="A785" s="327"/>
      <c r="B785" s="6"/>
      <c r="C785" s="6"/>
      <c r="D785" s="6"/>
      <c r="E785" s="6"/>
      <c r="F785" s="6"/>
      <c r="G785" s="6"/>
      <c r="H785" s="6"/>
      <c r="I785" s="6"/>
      <c r="J785" s="6"/>
      <c r="K785" s="6"/>
    </row>
    <row r="786" spans="1:11" ht="15.6">
      <c r="A786" s="327"/>
      <c r="B786" s="6"/>
      <c r="C786" s="6"/>
      <c r="D786" s="6"/>
      <c r="E786" s="6"/>
      <c r="F786" s="6"/>
      <c r="G786" s="6"/>
      <c r="H786" s="6"/>
      <c r="I786" s="6"/>
      <c r="J786" s="6"/>
      <c r="K786" s="6"/>
    </row>
    <row r="787" spans="1:11" ht="15.6">
      <c r="A787" s="327"/>
      <c r="B787" s="6"/>
      <c r="C787" s="6"/>
      <c r="D787" s="6"/>
      <c r="E787" s="6"/>
      <c r="F787" s="6"/>
      <c r="G787" s="6"/>
      <c r="H787" s="6"/>
      <c r="I787" s="6"/>
      <c r="J787" s="6"/>
      <c r="K787" s="6"/>
    </row>
    <row r="788" spans="1:11" ht="15.6">
      <c r="A788" s="327"/>
      <c r="B788" s="6"/>
      <c r="C788" s="6"/>
      <c r="D788" s="6"/>
      <c r="E788" s="6"/>
      <c r="F788" s="6"/>
      <c r="G788" s="6"/>
      <c r="H788" s="6"/>
      <c r="I788" s="6"/>
      <c r="J788" s="6"/>
      <c r="K788" s="6"/>
    </row>
    <row r="789" spans="1:11" ht="15.6">
      <c r="A789" s="327"/>
      <c r="B789" s="6"/>
      <c r="C789" s="6"/>
      <c r="D789" s="6"/>
      <c r="E789" s="6"/>
      <c r="F789" s="6"/>
      <c r="G789" s="6"/>
      <c r="H789" s="6"/>
      <c r="I789" s="6"/>
      <c r="J789" s="6"/>
      <c r="K789" s="6"/>
    </row>
    <row r="790" spans="1:11" ht="15.6">
      <c r="A790" s="327"/>
      <c r="B790" s="6"/>
      <c r="C790" s="6"/>
      <c r="D790" s="6"/>
      <c r="E790" s="6"/>
      <c r="F790" s="6"/>
      <c r="G790" s="6"/>
      <c r="H790" s="6"/>
      <c r="I790" s="6"/>
      <c r="J790" s="6"/>
      <c r="K790" s="6"/>
    </row>
    <row r="791" spans="1:11" ht="15.6">
      <c r="A791" s="327"/>
      <c r="B791" s="6"/>
      <c r="C791" s="6"/>
      <c r="D791" s="6"/>
      <c r="E791" s="6"/>
      <c r="F791" s="6"/>
      <c r="G791" s="6"/>
      <c r="H791" s="6"/>
      <c r="I791" s="6"/>
      <c r="J791" s="6"/>
      <c r="K791" s="6"/>
    </row>
    <row r="792" spans="1:11" ht="15.6">
      <c r="A792" s="327"/>
      <c r="B792" s="6"/>
      <c r="C792" s="6"/>
      <c r="D792" s="6"/>
      <c r="E792" s="6"/>
      <c r="F792" s="6"/>
      <c r="G792" s="6"/>
      <c r="H792" s="6"/>
      <c r="I792" s="6"/>
      <c r="J792" s="6"/>
      <c r="K792" s="6"/>
    </row>
    <row r="793" spans="1:11" ht="15.6">
      <c r="A793" s="327"/>
      <c r="B793" s="6"/>
      <c r="C793" s="6"/>
      <c r="D793" s="6"/>
      <c r="E793" s="6"/>
      <c r="F793" s="6"/>
      <c r="G793" s="6"/>
      <c r="H793" s="6"/>
      <c r="I793" s="6"/>
      <c r="J793" s="6"/>
      <c r="K793" s="6"/>
    </row>
    <row r="794" spans="1:11" ht="15.6">
      <c r="A794" s="327"/>
      <c r="B794" s="6"/>
      <c r="C794" s="6"/>
      <c r="D794" s="6"/>
      <c r="E794" s="6"/>
      <c r="F794" s="6"/>
      <c r="G794" s="6"/>
      <c r="H794" s="6"/>
      <c r="I794" s="6"/>
      <c r="J794" s="6"/>
      <c r="K794" s="6"/>
    </row>
    <row r="795" spans="1:11" ht="15.6">
      <c r="A795" s="327"/>
      <c r="B795" s="6"/>
      <c r="C795" s="6"/>
      <c r="D795" s="6"/>
      <c r="E795" s="6"/>
      <c r="F795" s="6"/>
      <c r="G795" s="6"/>
      <c r="H795" s="6"/>
      <c r="I795" s="6"/>
      <c r="J795" s="6"/>
      <c r="K795" s="6"/>
    </row>
    <row r="796" spans="1:11" ht="15.6">
      <c r="A796" s="327"/>
      <c r="B796" s="6"/>
      <c r="C796" s="6"/>
      <c r="D796" s="6"/>
      <c r="E796" s="6"/>
      <c r="F796" s="6"/>
      <c r="G796" s="6"/>
      <c r="H796" s="6"/>
      <c r="I796" s="6"/>
      <c r="J796" s="6"/>
      <c r="K796" s="6"/>
    </row>
    <row r="797" spans="1:11" ht="15.6">
      <c r="A797" s="327"/>
      <c r="B797" s="6"/>
      <c r="C797" s="6"/>
      <c r="D797" s="6"/>
      <c r="E797" s="6"/>
      <c r="F797" s="6"/>
      <c r="G797" s="6"/>
      <c r="H797" s="6"/>
      <c r="I797" s="6"/>
      <c r="J797" s="6"/>
      <c r="K797" s="6"/>
    </row>
    <row r="798" spans="1:11" ht="15.6">
      <c r="A798" s="327"/>
      <c r="B798" s="6"/>
      <c r="C798" s="6"/>
      <c r="D798" s="6"/>
      <c r="E798" s="6"/>
      <c r="F798" s="6"/>
      <c r="G798" s="6"/>
      <c r="H798" s="6"/>
      <c r="I798" s="6"/>
      <c r="J798" s="6"/>
      <c r="K798" s="6"/>
    </row>
    <row r="799" spans="1:11" ht="15.6">
      <c r="A799" s="327"/>
      <c r="B799" s="6"/>
      <c r="C799" s="6"/>
      <c r="D799" s="6"/>
      <c r="E799" s="6"/>
      <c r="F799" s="6"/>
      <c r="G799" s="6"/>
      <c r="H799" s="6"/>
      <c r="I799" s="6"/>
      <c r="J799" s="6"/>
      <c r="K799" s="6"/>
    </row>
    <row r="800" spans="1:11" ht="15.6">
      <c r="A800" s="327"/>
      <c r="B800" s="6"/>
      <c r="C800" s="6"/>
      <c r="D800" s="6"/>
      <c r="E800" s="6"/>
      <c r="F800" s="6"/>
      <c r="G800" s="6"/>
      <c r="H800" s="6"/>
      <c r="I800" s="6"/>
      <c r="J800" s="6"/>
      <c r="K800" s="6"/>
    </row>
    <row r="801" spans="1:11" ht="15.6">
      <c r="A801" s="327"/>
      <c r="B801" s="6"/>
      <c r="C801" s="6"/>
      <c r="D801" s="6"/>
      <c r="E801" s="6"/>
      <c r="F801" s="6"/>
      <c r="G801" s="6"/>
      <c r="H801" s="6"/>
      <c r="I801" s="6"/>
      <c r="J801" s="6"/>
      <c r="K801" s="6"/>
    </row>
    <row r="802" spans="1:11" ht="15.6">
      <c r="A802" s="327"/>
      <c r="B802" s="6"/>
      <c r="C802" s="6"/>
      <c r="D802" s="6"/>
      <c r="E802" s="6"/>
      <c r="F802" s="6"/>
      <c r="G802" s="6"/>
      <c r="H802" s="6"/>
      <c r="I802" s="6"/>
      <c r="J802" s="6"/>
      <c r="K802" s="6"/>
    </row>
    <row r="803" spans="1:11" ht="15.6">
      <c r="A803" s="327"/>
      <c r="B803" s="6"/>
      <c r="C803" s="6"/>
      <c r="D803" s="6"/>
      <c r="E803" s="6"/>
      <c r="F803" s="6"/>
      <c r="G803" s="6"/>
      <c r="H803" s="6"/>
      <c r="I803" s="6"/>
      <c r="J803" s="6"/>
      <c r="K803" s="6"/>
    </row>
    <row r="804" spans="1:11" ht="15.6">
      <c r="A804" s="327"/>
      <c r="B804" s="6"/>
      <c r="C804" s="6"/>
      <c r="D804" s="6"/>
      <c r="E804" s="6"/>
      <c r="F804" s="6"/>
      <c r="G804" s="6"/>
      <c r="H804" s="6"/>
      <c r="I804" s="6"/>
      <c r="J804" s="6"/>
      <c r="K804" s="6"/>
    </row>
    <row r="805" spans="1:11" ht="15.6">
      <c r="A805" s="327"/>
      <c r="B805" s="6"/>
      <c r="C805" s="6"/>
      <c r="D805" s="6"/>
      <c r="E805" s="6"/>
      <c r="F805" s="6"/>
      <c r="G805" s="6"/>
      <c r="H805" s="6"/>
      <c r="I805" s="6"/>
      <c r="J805" s="6"/>
      <c r="K805" s="6"/>
    </row>
    <row r="806" spans="1:11" ht="15.6">
      <c r="A806" s="327"/>
      <c r="B806" s="6"/>
      <c r="C806" s="6"/>
      <c r="D806" s="6"/>
      <c r="E806" s="6"/>
      <c r="F806" s="6"/>
      <c r="G806" s="6"/>
      <c r="H806" s="6"/>
      <c r="I806" s="6"/>
      <c r="J806" s="6"/>
      <c r="K806" s="6"/>
    </row>
    <row r="807" spans="1:11" ht="15.6">
      <c r="A807" s="327"/>
      <c r="B807" s="6"/>
      <c r="C807" s="6"/>
      <c r="D807" s="6"/>
      <c r="E807" s="6"/>
      <c r="F807" s="6"/>
      <c r="G807" s="6"/>
      <c r="H807" s="6"/>
      <c r="I807" s="6"/>
      <c r="J807" s="6"/>
      <c r="K807" s="6"/>
    </row>
    <row r="808" spans="1:11" ht="15.6">
      <c r="A808" s="327"/>
      <c r="B808" s="6"/>
      <c r="C808" s="6"/>
      <c r="D808" s="6"/>
      <c r="E808" s="6"/>
      <c r="F808" s="6"/>
      <c r="G808" s="6"/>
      <c r="H808" s="6"/>
      <c r="I808" s="6"/>
      <c r="J808" s="6"/>
      <c r="K808" s="6"/>
    </row>
    <row r="809" spans="1:11" ht="15.6">
      <c r="A809" s="327"/>
      <c r="B809" s="6"/>
      <c r="C809" s="6"/>
      <c r="D809" s="6"/>
      <c r="E809" s="6"/>
      <c r="F809" s="6"/>
      <c r="G809" s="6"/>
      <c r="H809" s="6"/>
      <c r="I809" s="6"/>
      <c r="J809" s="6"/>
      <c r="K809" s="6"/>
    </row>
    <row r="810" spans="1:11" ht="15.6">
      <c r="A810" s="327"/>
      <c r="B810" s="6"/>
      <c r="C810" s="6"/>
      <c r="D810" s="6"/>
      <c r="E810" s="6"/>
      <c r="F810" s="6"/>
      <c r="G810" s="6"/>
      <c r="H810" s="6"/>
      <c r="I810" s="6"/>
      <c r="J810" s="6"/>
      <c r="K810" s="6"/>
    </row>
    <row r="811" spans="1:11" ht="15.6">
      <c r="A811" s="327"/>
      <c r="B811" s="6"/>
      <c r="C811" s="6"/>
      <c r="D811" s="6"/>
      <c r="E811" s="6"/>
      <c r="F811" s="6"/>
      <c r="G811" s="6"/>
      <c r="H811" s="6"/>
      <c r="I811" s="6"/>
      <c r="J811" s="6"/>
      <c r="K811" s="6"/>
    </row>
    <row r="812" spans="1:11" ht="15.6">
      <c r="A812" s="327"/>
      <c r="B812" s="6"/>
      <c r="C812" s="6"/>
      <c r="D812" s="6"/>
      <c r="E812" s="6"/>
      <c r="F812" s="6"/>
      <c r="G812" s="6"/>
      <c r="H812" s="6"/>
      <c r="I812" s="6"/>
      <c r="J812" s="6"/>
      <c r="K812" s="6"/>
    </row>
    <row r="813" spans="1:11" ht="15.6">
      <c r="A813" s="327"/>
      <c r="B813" s="6"/>
      <c r="C813" s="6"/>
      <c r="D813" s="6"/>
      <c r="E813" s="6"/>
      <c r="F813" s="6"/>
      <c r="G813" s="6"/>
      <c r="H813" s="6"/>
      <c r="I813" s="6"/>
      <c r="J813" s="6"/>
      <c r="K813" s="6"/>
    </row>
    <row r="814" spans="1:11" ht="15.6">
      <c r="A814" s="327"/>
      <c r="B814" s="6"/>
      <c r="C814" s="6"/>
      <c r="D814" s="6"/>
      <c r="E814" s="6"/>
      <c r="F814" s="6"/>
      <c r="G814" s="6"/>
      <c r="H814" s="6"/>
      <c r="I814" s="6"/>
      <c r="J814" s="6"/>
      <c r="K814" s="6"/>
    </row>
    <row r="815" spans="1:11" ht="15.6">
      <c r="A815" s="327"/>
      <c r="B815" s="6"/>
      <c r="C815" s="6"/>
      <c r="D815" s="6"/>
      <c r="E815" s="6"/>
      <c r="F815" s="6"/>
      <c r="G815" s="6"/>
      <c r="H815" s="6"/>
      <c r="I815" s="6"/>
      <c r="J815" s="6"/>
      <c r="K815" s="6"/>
    </row>
    <row r="816" spans="1:11" ht="15.6">
      <c r="A816" s="327"/>
      <c r="B816" s="6"/>
      <c r="C816" s="6"/>
      <c r="D816" s="6"/>
      <c r="E816" s="6"/>
      <c r="F816" s="6"/>
      <c r="G816" s="6"/>
      <c r="H816" s="6"/>
      <c r="I816" s="6"/>
      <c r="J816" s="6"/>
      <c r="K816" s="6"/>
    </row>
    <row r="817" spans="1:11" ht="15.6">
      <c r="A817" s="327"/>
      <c r="B817" s="6"/>
      <c r="C817" s="6"/>
      <c r="D817" s="6"/>
      <c r="E817" s="6"/>
      <c r="F817" s="6"/>
      <c r="G817" s="6"/>
      <c r="H817" s="6"/>
      <c r="I817" s="6"/>
      <c r="J817" s="6"/>
      <c r="K817" s="6"/>
    </row>
    <row r="818" spans="1:11" ht="15.6">
      <c r="A818" s="327"/>
      <c r="B818" s="6"/>
      <c r="C818" s="6"/>
      <c r="D818" s="6"/>
      <c r="E818" s="6"/>
      <c r="F818" s="6"/>
      <c r="G818" s="6"/>
      <c r="H818" s="6"/>
      <c r="I818" s="6"/>
      <c r="J818" s="6"/>
      <c r="K818" s="6"/>
    </row>
    <row r="819" spans="1:11" ht="15.6">
      <c r="A819" s="327"/>
      <c r="B819" s="6"/>
      <c r="C819" s="6"/>
      <c r="D819" s="6"/>
      <c r="E819" s="6"/>
      <c r="F819" s="6"/>
      <c r="G819" s="6"/>
      <c r="H819" s="6"/>
      <c r="I819" s="6"/>
      <c r="J819" s="6"/>
      <c r="K819" s="6"/>
    </row>
    <row r="820" spans="1:11" ht="15.6">
      <c r="A820" s="327"/>
      <c r="B820" s="6"/>
      <c r="C820" s="6"/>
      <c r="D820" s="6"/>
      <c r="E820" s="6"/>
      <c r="F820" s="6"/>
      <c r="G820" s="6"/>
      <c r="H820" s="6"/>
      <c r="I820" s="6"/>
      <c r="J820" s="6"/>
      <c r="K820" s="6"/>
    </row>
    <row r="821" spans="1:11" ht="15.6">
      <c r="A821" s="327"/>
      <c r="B821" s="6"/>
      <c r="C821" s="6"/>
      <c r="D821" s="6"/>
      <c r="E821" s="6"/>
      <c r="F821" s="6"/>
      <c r="G821" s="6"/>
      <c r="H821" s="6"/>
      <c r="I821" s="6"/>
      <c r="J821" s="6"/>
      <c r="K821" s="6"/>
    </row>
    <row r="822" spans="1:11" ht="15.6">
      <c r="A822" s="327"/>
      <c r="B822" s="6"/>
      <c r="C822" s="6"/>
      <c r="D822" s="6"/>
      <c r="E822" s="6"/>
      <c r="F822" s="6"/>
      <c r="G822" s="6"/>
      <c r="H822" s="6"/>
      <c r="I822" s="6"/>
      <c r="J822" s="6"/>
      <c r="K822" s="6"/>
    </row>
    <row r="823" spans="1:11" ht="15.6">
      <c r="A823" s="327"/>
      <c r="B823" s="6"/>
      <c r="C823" s="6"/>
      <c r="D823" s="6"/>
      <c r="E823" s="6"/>
      <c r="F823" s="6"/>
      <c r="G823" s="6"/>
      <c r="H823" s="6"/>
      <c r="I823" s="6"/>
      <c r="J823" s="6"/>
      <c r="K823" s="6"/>
    </row>
    <row r="824" spans="1:11" ht="15.6">
      <c r="A824" s="327"/>
      <c r="B824" s="6"/>
      <c r="C824" s="6"/>
      <c r="D824" s="6"/>
      <c r="E824" s="6"/>
      <c r="F824" s="6"/>
      <c r="G824" s="6"/>
      <c r="H824" s="6"/>
      <c r="I824" s="6"/>
      <c r="J824" s="6"/>
      <c r="K824" s="6"/>
    </row>
    <row r="825" spans="1:11" ht="15.6">
      <c r="A825" s="327"/>
      <c r="B825" s="6"/>
      <c r="C825" s="6"/>
      <c r="D825" s="6"/>
      <c r="E825" s="6"/>
      <c r="F825" s="6"/>
      <c r="G825" s="6"/>
      <c r="H825" s="6"/>
      <c r="I825" s="6"/>
      <c r="J825" s="6"/>
      <c r="K825" s="6"/>
    </row>
    <row r="826" spans="1:11" ht="15.6">
      <c r="A826" s="327"/>
      <c r="B826" s="6"/>
      <c r="C826" s="6"/>
      <c r="D826" s="6"/>
      <c r="E826" s="6"/>
      <c r="F826" s="6"/>
      <c r="G826" s="6"/>
      <c r="H826" s="6"/>
      <c r="I826" s="6"/>
      <c r="J826" s="6"/>
      <c r="K826" s="6"/>
    </row>
    <row r="827" spans="1:11" ht="15.6">
      <c r="A827" s="327"/>
      <c r="B827" s="6"/>
      <c r="C827" s="6"/>
      <c r="D827" s="6"/>
      <c r="E827" s="6"/>
      <c r="F827" s="6"/>
      <c r="G827" s="6"/>
      <c r="H827" s="6"/>
      <c r="I827" s="6"/>
      <c r="J827" s="6"/>
      <c r="K827" s="6"/>
    </row>
    <row r="828" spans="1:11" ht="15.6">
      <c r="A828" s="327"/>
      <c r="B828" s="6"/>
      <c r="C828" s="6"/>
      <c r="D828" s="6"/>
      <c r="E828" s="6"/>
      <c r="F828" s="6"/>
      <c r="G828" s="6"/>
      <c r="H828" s="6"/>
      <c r="I828" s="6"/>
      <c r="J828" s="6"/>
      <c r="K828" s="6"/>
    </row>
    <row r="829" spans="1:11" ht="15.6">
      <c r="A829" s="327"/>
      <c r="B829" s="6"/>
      <c r="C829" s="6"/>
      <c r="D829" s="6"/>
      <c r="E829" s="6"/>
      <c r="F829" s="6"/>
      <c r="G829" s="6"/>
      <c r="H829" s="6"/>
      <c r="I829" s="6"/>
      <c r="J829" s="6"/>
      <c r="K829" s="6"/>
    </row>
    <row r="830" spans="1:11" ht="15.6">
      <c r="A830" s="327"/>
      <c r="B830" s="6"/>
      <c r="C830" s="6"/>
      <c r="D830" s="6"/>
      <c r="E830" s="6"/>
      <c r="F830" s="6"/>
      <c r="G830" s="6"/>
      <c r="H830" s="6"/>
      <c r="I830" s="6"/>
      <c r="J830" s="6"/>
      <c r="K830" s="6"/>
    </row>
    <row r="831" spans="1:11" ht="15.6">
      <c r="A831" s="327"/>
      <c r="B831" s="6"/>
      <c r="C831" s="6"/>
      <c r="D831" s="6"/>
      <c r="E831" s="6"/>
      <c r="F831" s="6"/>
      <c r="G831" s="6"/>
      <c r="H831" s="6"/>
      <c r="I831" s="6"/>
      <c r="J831" s="6"/>
      <c r="K831" s="6"/>
    </row>
    <row r="832" spans="1:11" ht="15.6">
      <c r="A832" s="327"/>
      <c r="B832" s="6"/>
      <c r="C832" s="6"/>
      <c r="D832" s="6"/>
      <c r="E832" s="6"/>
      <c r="F832" s="6"/>
      <c r="G832" s="6"/>
      <c r="H832" s="6"/>
      <c r="I832" s="6"/>
      <c r="J832" s="6"/>
      <c r="K832" s="6"/>
    </row>
    <row r="833" spans="1:11" ht="15.6">
      <c r="A833" s="327"/>
      <c r="B833" s="6"/>
      <c r="C833" s="6"/>
      <c r="D833" s="6"/>
      <c r="E833" s="6"/>
      <c r="F833" s="6"/>
      <c r="G833" s="6"/>
      <c r="H833" s="6"/>
      <c r="I833" s="6"/>
      <c r="J833" s="6"/>
      <c r="K833" s="6"/>
    </row>
    <row r="834" spans="1:11" ht="15.6">
      <c r="A834" s="327"/>
      <c r="B834" s="6"/>
      <c r="C834" s="6"/>
      <c r="D834" s="6"/>
      <c r="E834" s="6"/>
      <c r="F834" s="6"/>
      <c r="G834" s="6"/>
      <c r="H834" s="6"/>
      <c r="I834" s="6"/>
      <c r="J834" s="6"/>
      <c r="K834" s="6"/>
    </row>
    <row r="835" spans="1:11" ht="15.6">
      <c r="A835" s="327"/>
      <c r="B835" s="6"/>
      <c r="C835" s="6"/>
      <c r="D835" s="6"/>
      <c r="E835" s="6"/>
      <c r="F835" s="6"/>
      <c r="G835" s="6"/>
      <c r="H835" s="6"/>
      <c r="I835" s="6"/>
      <c r="J835" s="6"/>
      <c r="K835" s="6"/>
    </row>
    <row r="836" spans="1:11" ht="15.6">
      <c r="A836" s="327"/>
      <c r="B836" s="6"/>
      <c r="C836" s="6"/>
      <c r="D836" s="6"/>
      <c r="E836" s="6"/>
      <c r="F836" s="6"/>
      <c r="G836" s="6"/>
      <c r="H836" s="6"/>
      <c r="I836" s="6"/>
      <c r="J836" s="6"/>
      <c r="K836" s="6"/>
    </row>
    <row r="837" spans="1:11" ht="15.6">
      <c r="A837" s="327"/>
      <c r="B837" s="6"/>
      <c r="C837" s="6"/>
      <c r="D837" s="6"/>
      <c r="E837" s="6"/>
      <c r="F837" s="6"/>
      <c r="G837" s="6"/>
      <c r="H837" s="6"/>
      <c r="I837" s="6"/>
      <c r="J837" s="6"/>
      <c r="K837" s="6"/>
    </row>
    <row r="838" spans="1:11" ht="15.6">
      <c r="A838" s="327"/>
      <c r="B838" s="6"/>
      <c r="C838" s="6"/>
      <c r="D838" s="6"/>
      <c r="E838" s="6"/>
      <c r="F838" s="6"/>
      <c r="G838" s="6"/>
      <c r="H838" s="6"/>
      <c r="I838" s="6"/>
      <c r="J838" s="6"/>
      <c r="K838" s="6"/>
    </row>
    <row r="839" spans="1:11" ht="15.6">
      <c r="A839" s="327"/>
      <c r="B839" s="6"/>
      <c r="C839" s="6"/>
      <c r="D839" s="6"/>
      <c r="E839" s="6"/>
      <c r="F839" s="6"/>
      <c r="G839" s="6"/>
      <c r="H839" s="6"/>
      <c r="I839" s="6"/>
      <c r="J839" s="6"/>
      <c r="K839" s="6"/>
    </row>
    <row r="840" spans="1:11" ht="15.6">
      <c r="A840" s="327"/>
      <c r="B840" s="6"/>
      <c r="C840" s="6"/>
      <c r="D840" s="6"/>
      <c r="E840" s="6"/>
      <c r="F840" s="6"/>
      <c r="G840" s="6"/>
      <c r="H840" s="6"/>
      <c r="I840" s="6"/>
      <c r="J840" s="6"/>
      <c r="K840" s="6"/>
    </row>
    <row r="841" spans="1:11" ht="15.6">
      <c r="A841" s="327"/>
      <c r="B841" s="6"/>
      <c r="C841" s="6"/>
      <c r="D841" s="6"/>
      <c r="E841" s="6"/>
      <c r="F841" s="6"/>
      <c r="G841" s="6"/>
      <c r="H841" s="6"/>
      <c r="I841" s="6"/>
      <c r="J841" s="6"/>
      <c r="K841" s="6"/>
    </row>
    <row r="842" spans="1:11" ht="15.6">
      <c r="A842" s="327"/>
      <c r="B842" s="6"/>
      <c r="C842" s="6"/>
      <c r="D842" s="6"/>
      <c r="E842" s="6"/>
      <c r="F842" s="6"/>
      <c r="G842" s="6"/>
      <c r="H842" s="6"/>
      <c r="I842" s="6"/>
      <c r="J842" s="6"/>
      <c r="K842" s="6"/>
    </row>
    <row r="843" spans="1:11" ht="15.6">
      <c r="A843" s="327"/>
      <c r="B843" s="6"/>
      <c r="C843" s="6"/>
      <c r="D843" s="6"/>
      <c r="E843" s="6"/>
      <c r="F843" s="6"/>
      <c r="G843" s="6"/>
      <c r="H843" s="6"/>
      <c r="I843" s="6"/>
      <c r="J843" s="6"/>
      <c r="K843" s="6"/>
    </row>
    <row r="844" spans="1:11" ht="15.6">
      <c r="A844" s="327"/>
      <c r="B844" s="6"/>
      <c r="C844" s="6"/>
      <c r="D844" s="6"/>
      <c r="E844" s="6"/>
      <c r="F844" s="6"/>
      <c r="G844" s="6"/>
      <c r="H844" s="6"/>
      <c r="I844" s="6"/>
      <c r="J844" s="6"/>
      <c r="K844" s="6"/>
    </row>
    <row r="845" spans="1:11" ht="15.6">
      <c r="A845" s="327"/>
      <c r="B845" s="6"/>
      <c r="C845" s="6"/>
      <c r="D845" s="6"/>
      <c r="E845" s="6"/>
      <c r="F845" s="6"/>
      <c r="G845" s="6"/>
      <c r="H845" s="6"/>
      <c r="I845" s="6"/>
      <c r="J845" s="6"/>
      <c r="K845" s="6"/>
    </row>
    <row r="846" spans="1:11" ht="15.6">
      <c r="A846" s="327"/>
      <c r="B846" s="6"/>
      <c r="C846" s="6"/>
      <c r="D846" s="6"/>
      <c r="E846" s="6"/>
      <c r="F846" s="6"/>
      <c r="G846" s="6"/>
      <c r="H846" s="6"/>
      <c r="I846" s="6"/>
      <c r="J846" s="6"/>
      <c r="K846" s="6"/>
    </row>
    <row r="847" spans="1:11" ht="15.6">
      <c r="A847" s="327"/>
      <c r="B847" s="6"/>
      <c r="C847" s="6"/>
      <c r="D847" s="6"/>
      <c r="E847" s="6"/>
      <c r="F847" s="6"/>
      <c r="G847" s="6"/>
      <c r="H847" s="6"/>
      <c r="I847" s="6"/>
      <c r="J847" s="6"/>
      <c r="K847" s="6"/>
    </row>
    <row r="848" spans="1:11" ht="15.6">
      <c r="A848" s="327"/>
      <c r="B848" s="6"/>
      <c r="C848" s="6"/>
      <c r="D848" s="6"/>
      <c r="E848" s="6"/>
      <c r="F848" s="6"/>
      <c r="G848" s="6"/>
      <c r="H848" s="6"/>
      <c r="I848" s="6"/>
      <c r="J848" s="6"/>
      <c r="K848" s="6"/>
    </row>
    <row r="849" spans="1:11" ht="15.6">
      <c r="A849" s="327"/>
      <c r="B849" s="6"/>
      <c r="C849" s="6"/>
      <c r="D849" s="6"/>
      <c r="E849" s="6"/>
      <c r="F849" s="6"/>
      <c r="G849" s="6"/>
      <c r="H849" s="6"/>
      <c r="I849" s="6"/>
      <c r="J849" s="6"/>
      <c r="K849" s="6"/>
    </row>
    <row r="850" spans="1:11" ht="15.6">
      <c r="A850" s="327"/>
      <c r="B850" s="6"/>
      <c r="C850" s="6"/>
      <c r="D850" s="6"/>
      <c r="E850" s="6"/>
      <c r="F850" s="6"/>
      <c r="G850" s="6"/>
      <c r="H850" s="6"/>
      <c r="I850" s="6"/>
      <c r="J850" s="6"/>
      <c r="K850" s="6"/>
    </row>
    <row r="851" spans="1:11" ht="15.6">
      <c r="A851" s="327"/>
      <c r="B851" s="6"/>
      <c r="C851" s="6"/>
      <c r="D851" s="6"/>
      <c r="E851" s="6"/>
      <c r="F851" s="6"/>
      <c r="G851" s="6"/>
      <c r="H851" s="6"/>
      <c r="I851" s="6"/>
      <c r="J851" s="6"/>
      <c r="K851" s="6"/>
    </row>
    <row r="852" spans="1:11" ht="15.6">
      <c r="A852" s="327"/>
      <c r="B852" s="6"/>
      <c r="C852" s="6"/>
      <c r="D852" s="6"/>
      <c r="E852" s="6"/>
      <c r="F852" s="6"/>
      <c r="G852" s="6"/>
      <c r="H852" s="6"/>
      <c r="I852" s="6"/>
      <c r="J852" s="6"/>
      <c r="K852" s="6"/>
    </row>
    <row r="853" spans="1:11" ht="15.6">
      <c r="A853" s="327"/>
      <c r="B853" s="6"/>
      <c r="C853" s="6"/>
      <c r="D853" s="6"/>
      <c r="E853" s="6"/>
      <c r="F853" s="6"/>
      <c r="G853" s="6"/>
      <c r="H853" s="6"/>
      <c r="I853" s="6"/>
      <c r="J853" s="6"/>
      <c r="K853" s="6"/>
    </row>
    <row r="854" spans="1:11" ht="15.6">
      <c r="A854" s="327"/>
      <c r="B854" s="6"/>
      <c r="C854" s="6"/>
      <c r="D854" s="6"/>
      <c r="E854" s="6"/>
      <c r="F854" s="6"/>
      <c r="G854" s="6"/>
      <c r="H854" s="6"/>
      <c r="I854" s="6"/>
      <c r="J854" s="6"/>
      <c r="K854" s="6"/>
    </row>
    <row r="855" spans="1:11" ht="15.6">
      <c r="A855" s="327"/>
      <c r="B855" s="6"/>
      <c r="C855" s="6"/>
      <c r="D855" s="6"/>
      <c r="E855" s="6"/>
      <c r="F855" s="6"/>
      <c r="G855" s="6"/>
      <c r="H855" s="6"/>
      <c r="I855" s="6"/>
      <c r="J855" s="6"/>
      <c r="K855" s="6"/>
    </row>
    <row r="856" spans="1:11" ht="15.6">
      <c r="A856" s="327"/>
      <c r="B856" s="6"/>
      <c r="C856" s="6"/>
      <c r="D856" s="6"/>
      <c r="E856" s="6"/>
      <c r="F856" s="6"/>
      <c r="G856" s="6"/>
      <c r="H856" s="6"/>
      <c r="I856" s="6"/>
      <c r="J856" s="6"/>
      <c r="K856" s="6"/>
    </row>
    <row r="857" spans="1:11" ht="15.6">
      <c r="A857" s="327"/>
      <c r="B857" s="6"/>
      <c r="C857" s="6"/>
      <c r="D857" s="6"/>
      <c r="E857" s="6"/>
      <c r="F857" s="6"/>
      <c r="G857" s="6"/>
      <c r="H857" s="6"/>
      <c r="I857" s="6"/>
      <c r="J857" s="6"/>
      <c r="K857" s="6"/>
    </row>
    <row r="858" spans="1:11" ht="15.6">
      <c r="A858" s="327"/>
      <c r="B858" s="6"/>
      <c r="C858" s="6"/>
      <c r="D858" s="6"/>
      <c r="E858" s="6"/>
      <c r="F858" s="6"/>
      <c r="G858" s="6"/>
      <c r="H858" s="6"/>
      <c r="I858" s="6"/>
      <c r="J858" s="6"/>
      <c r="K858" s="6"/>
    </row>
    <row r="859" spans="1:11" ht="15.6">
      <c r="A859" s="327"/>
      <c r="B859" s="6"/>
      <c r="C859" s="6"/>
      <c r="D859" s="6"/>
      <c r="E859" s="6"/>
      <c r="F859" s="6"/>
      <c r="G859" s="6"/>
      <c r="H859" s="6"/>
      <c r="I859" s="6"/>
      <c r="J859" s="6"/>
      <c r="K859" s="6"/>
    </row>
    <row r="860" spans="1:11" ht="15.6">
      <c r="A860" s="327"/>
      <c r="B860" s="6"/>
      <c r="C860" s="6"/>
      <c r="D860" s="6"/>
      <c r="E860" s="6"/>
      <c r="F860" s="6"/>
      <c r="G860" s="6"/>
      <c r="H860" s="6"/>
      <c r="I860" s="6"/>
      <c r="J860" s="6"/>
      <c r="K860" s="6"/>
    </row>
    <row r="861" spans="1:11" ht="15.6">
      <c r="A861" s="327"/>
      <c r="B861" s="6"/>
      <c r="C861" s="6"/>
      <c r="D861" s="6"/>
      <c r="E861" s="6"/>
      <c r="F861" s="6"/>
      <c r="G861" s="6"/>
      <c r="H861" s="6"/>
      <c r="I861" s="6"/>
      <c r="J861" s="6"/>
      <c r="K861" s="6"/>
    </row>
    <row r="862" spans="1:11" ht="15.6">
      <c r="A862" s="327"/>
      <c r="B862" s="6"/>
      <c r="C862" s="6"/>
      <c r="D862" s="6"/>
      <c r="E862" s="6"/>
      <c r="F862" s="6"/>
      <c r="G862" s="6"/>
      <c r="H862" s="6"/>
      <c r="I862" s="6"/>
      <c r="J862" s="6"/>
      <c r="K862" s="6"/>
    </row>
    <row r="863" spans="1:11" ht="15.6">
      <c r="A863" s="327"/>
      <c r="B863" s="6"/>
      <c r="C863" s="6"/>
      <c r="D863" s="6"/>
      <c r="E863" s="6"/>
      <c r="F863" s="6"/>
      <c r="G863" s="6"/>
      <c r="H863" s="6"/>
      <c r="I863" s="6"/>
      <c r="J863" s="6"/>
      <c r="K863" s="6"/>
    </row>
    <row r="864" spans="1:11" ht="15.6">
      <c r="A864" s="327"/>
      <c r="B864" s="6"/>
      <c r="C864" s="6"/>
      <c r="D864" s="6"/>
      <c r="E864" s="6"/>
      <c r="F864" s="6"/>
      <c r="G864" s="6"/>
      <c r="H864" s="6"/>
      <c r="I864" s="6"/>
      <c r="J864" s="6"/>
      <c r="K864" s="6"/>
    </row>
    <row r="865" spans="1:11" ht="15.6">
      <c r="A865" s="327"/>
      <c r="B865" s="6"/>
      <c r="C865" s="6"/>
      <c r="D865" s="6"/>
      <c r="E865" s="6"/>
      <c r="F865" s="6"/>
      <c r="G865" s="6"/>
      <c r="H865" s="6"/>
      <c r="I865" s="6"/>
      <c r="J865" s="6"/>
      <c r="K865" s="6"/>
    </row>
    <row r="866" spans="1:11" ht="15.6">
      <c r="A866" s="327"/>
      <c r="B866" s="6"/>
      <c r="C866" s="6"/>
      <c r="D866" s="6"/>
      <c r="E866" s="6"/>
      <c r="F866" s="6"/>
      <c r="G866" s="6"/>
      <c r="H866" s="6"/>
      <c r="I866" s="6"/>
      <c r="J866" s="6"/>
      <c r="K866" s="6"/>
    </row>
    <row r="867" spans="1:11" ht="15.6">
      <c r="A867" s="327"/>
      <c r="B867" s="6"/>
      <c r="C867" s="6"/>
      <c r="D867" s="6"/>
      <c r="E867" s="6"/>
      <c r="F867" s="6"/>
      <c r="G867" s="6"/>
      <c r="H867" s="6"/>
      <c r="I867" s="6"/>
      <c r="J867" s="6"/>
      <c r="K867" s="6"/>
    </row>
    <row r="868" spans="1:11" ht="15.6">
      <c r="A868" s="327"/>
      <c r="B868" s="6"/>
      <c r="C868" s="6"/>
      <c r="D868" s="6"/>
      <c r="E868" s="6"/>
      <c r="F868" s="6"/>
      <c r="G868" s="6"/>
      <c r="H868" s="6"/>
      <c r="I868" s="6"/>
      <c r="J868" s="6"/>
      <c r="K868" s="6"/>
    </row>
    <row r="869" spans="1:11" ht="15.6">
      <c r="A869" s="327"/>
      <c r="B869" s="6"/>
      <c r="C869" s="6"/>
      <c r="D869" s="6"/>
      <c r="E869" s="6"/>
      <c r="F869" s="6"/>
      <c r="G869" s="6"/>
      <c r="H869" s="6"/>
      <c r="I869" s="6"/>
      <c r="J869" s="6"/>
      <c r="K869" s="6"/>
    </row>
    <row r="870" spans="1:11" ht="15.6">
      <c r="A870" s="327"/>
      <c r="B870" s="6"/>
      <c r="C870" s="6"/>
      <c r="D870" s="6"/>
      <c r="E870" s="6"/>
      <c r="F870" s="6"/>
      <c r="G870" s="6"/>
      <c r="H870" s="6"/>
      <c r="I870" s="6"/>
      <c r="J870" s="6"/>
      <c r="K870" s="6"/>
    </row>
    <row r="871" spans="1:11" ht="15.6">
      <c r="A871" s="327"/>
      <c r="B871" s="6"/>
      <c r="C871" s="6"/>
      <c r="D871" s="6"/>
      <c r="E871" s="6"/>
      <c r="F871" s="6"/>
      <c r="G871" s="6"/>
      <c r="H871" s="6"/>
      <c r="I871" s="6"/>
      <c r="J871" s="6"/>
      <c r="K871" s="6"/>
    </row>
    <row r="872" spans="1:11" ht="15.6">
      <c r="A872" s="327"/>
      <c r="B872" s="6"/>
      <c r="C872" s="6"/>
      <c r="D872" s="6"/>
      <c r="E872" s="6"/>
      <c r="F872" s="6"/>
      <c r="G872" s="6"/>
      <c r="H872" s="6"/>
      <c r="I872" s="6"/>
      <c r="J872" s="6"/>
      <c r="K872" s="6"/>
    </row>
    <row r="873" spans="1:11" ht="15.6">
      <c r="A873" s="327"/>
      <c r="B873" s="6"/>
      <c r="C873" s="6"/>
      <c r="D873" s="6"/>
      <c r="E873" s="6"/>
      <c r="F873" s="6"/>
      <c r="G873" s="6"/>
      <c r="H873" s="6"/>
      <c r="I873" s="6"/>
      <c r="J873" s="6"/>
      <c r="K873" s="6"/>
    </row>
    <row r="874" spans="1:11" ht="15.6">
      <c r="A874" s="327"/>
      <c r="B874" s="6"/>
      <c r="C874" s="6"/>
      <c r="D874" s="6"/>
      <c r="E874" s="6"/>
      <c r="F874" s="6"/>
      <c r="G874" s="6"/>
      <c r="H874" s="6"/>
      <c r="I874" s="6"/>
      <c r="J874" s="6"/>
      <c r="K874" s="6"/>
    </row>
    <row r="875" spans="1:11" ht="15.6">
      <c r="A875" s="327"/>
      <c r="B875" s="6"/>
      <c r="C875" s="6"/>
      <c r="D875" s="6"/>
      <c r="E875" s="6"/>
      <c r="F875" s="6"/>
      <c r="G875" s="6"/>
      <c r="H875" s="6"/>
      <c r="I875" s="6"/>
      <c r="J875" s="6"/>
      <c r="K875" s="6"/>
    </row>
    <row r="876" spans="1:11" ht="15.6">
      <c r="A876" s="327"/>
      <c r="B876" s="6"/>
      <c r="C876" s="6"/>
      <c r="D876" s="6"/>
      <c r="E876" s="6"/>
      <c r="F876" s="6"/>
      <c r="G876" s="6"/>
      <c r="H876" s="6"/>
      <c r="I876" s="6"/>
      <c r="J876" s="6"/>
      <c r="K876" s="6"/>
    </row>
    <row r="877" spans="1:11" ht="15.6">
      <c r="A877" s="327"/>
      <c r="B877" s="6"/>
      <c r="C877" s="6"/>
      <c r="D877" s="6"/>
      <c r="E877" s="6"/>
      <c r="F877" s="6"/>
      <c r="G877" s="6"/>
      <c r="H877" s="6"/>
      <c r="I877" s="6"/>
      <c r="J877" s="6"/>
      <c r="K877" s="6"/>
    </row>
    <row r="878" spans="1:11" ht="15.6">
      <c r="A878" s="327"/>
      <c r="B878" s="6"/>
      <c r="C878" s="6"/>
      <c r="D878" s="6"/>
      <c r="E878" s="6"/>
      <c r="F878" s="6"/>
      <c r="G878" s="6"/>
      <c r="H878" s="6"/>
      <c r="I878" s="6"/>
      <c r="J878" s="6"/>
      <c r="K878" s="6"/>
    </row>
    <row r="879" spans="1:11" ht="15.6">
      <c r="A879" s="327"/>
      <c r="B879" s="6"/>
      <c r="C879" s="6"/>
      <c r="D879" s="6"/>
      <c r="E879" s="6"/>
      <c r="F879" s="6"/>
      <c r="G879" s="6"/>
      <c r="H879" s="6"/>
      <c r="I879" s="6"/>
      <c r="J879" s="6"/>
      <c r="K879" s="6"/>
    </row>
    <row r="880" spans="1:11" ht="15.6">
      <c r="A880" s="327"/>
      <c r="B880" s="6"/>
      <c r="C880" s="6"/>
      <c r="D880" s="6"/>
      <c r="E880" s="6"/>
      <c r="F880" s="6"/>
      <c r="G880" s="6"/>
      <c r="H880" s="6"/>
      <c r="I880" s="6"/>
      <c r="J880" s="6"/>
      <c r="K880" s="6"/>
    </row>
    <row r="881" spans="1:11" ht="15.6">
      <c r="A881" s="327"/>
      <c r="B881" s="6"/>
      <c r="C881" s="6"/>
      <c r="D881" s="6"/>
      <c r="E881" s="6"/>
      <c r="F881" s="6"/>
      <c r="G881" s="6"/>
      <c r="H881" s="6"/>
      <c r="I881" s="6"/>
      <c r="J881" s="6"/>
      <c r="K881" s="6"/>
    </row>
    <row r="882" spans="1:11" ht="15.6">
      <c r="A882" s="327"/>
      <c r="B882" s="6"/>
      <c r="C882" s="6"/>
      <c r="D882" s="6"/>
      <c r="E882" s="6"/>
      <c r="F882" s="6"/>
      <c r="G882" s="6"/>
      <c r="H882" s="6"/>
      <c r="I882" s="6"/>
      <c r="J882" s="6"/>
      <c r="K882" s="6"/>
    </row>
    <row r="883" spans="1:11" ht="15.6">
      <c r="A883" s="327"/>
      <c r="B883" s="6"/>
      <c r="C883" s="6"/>
      <c r="D883" s="6"/>
      <c r="E883" s="6"/>
      <c r="F883" s="6"/>
      <c r="G883" s="6"/>
      <c r="H883" s="6"/>
      <c r="I883" s="6"/>
      <c r="J883" s="6"/>
      <c r="K883" s="6"/>
    </row>
    <row r="884" spans="1:11" ht="15.6">
      <c r="A884" s="327"/>
      <c r="B884" s="6"/>
      <c r="C884" s="6"/>
      <c r="D884" s="6"/>
      <c r="E884" s="6"/>
      <c r="F884" s="6"/>
      <c r="G884" s="6"/>
      <c r="H884" s="6"/>
      <c r="I884" s="6"/>
      <c r="J884" s="6"/>
      <c r="K884" s="6"/>
    </row>
    <row r="885" spans="1:11" ht="15.6">
      <c r="A885" s="327"/>
      <c r="B885" s="6"/>
      <c r="C885" s="6"/>
      <c r="D885" s="6"/>
      <c r="E885" s="6"/>
      <c r="F885" s="6"/>
      <c r="G885" s="6"/>
      <c r="H885" s="6"/>
      <c r="I885" s="6"/>
      <c r="J885" s="6"/>
      <c r="K885" s="6"/>
    </row>
    <row r="886" spans="1:11" ht="15.6">
      <c r="A886" s="327"/>
      <c r="B886" s="6"/>
      <c r="C886" s="6"/>
      <c r="D886" s="6"/>
      <c r="E886" s="6"/>
      <c r="F886" s="6"/>
      <c r="G886" s="6"/>
      <c r="H886" s="6"/>
      <c r="I886" s="6"/>
      <c r="J886" s="6"/>
      <c r="K886" s="6"/>
    </row>
    <row r="887" spans="1:11" ht="15.6">
      <c r="A887" s="327"/>
      <c r="B887" s="6"/>
      <c r="C887" s="6"/>
      <c r="D887" s="6"/>
      <c r="E887" s="6"/>
      <c r="F887" s="6"/>
      <c r="G887" s="6"/>
      <c r="H887" s="6"/>
      <c r="I887" s="6"/>
      <c r="J887" s="6"/>
      <c r="K887" s="6"/>
    </row>
    <row r="888" spans="1:11" ht="15.6">
      <c r="A888" s="327"/>
      <c r="B888" s="6"/>
      <c r="C888" s="6"/>
      <c r="D888" s="6"/>
      <c r="E888" s="6"/>
      <c r="F888" s="6"/>
      <c r="G888" s="6"/>
      <c r="H888" s="6"/>
      <c r="I888" s="6"/>
      <c r="J888" s="6"/>
      <c r="K888" s="6"/>
    </row>
    <row r="889" spans="1:11" ht="15.6">
      <c r="A889" s="327"/>
      <c r="B889" s="6"/>
      <c r="C889" s="6"/>
      <c r="D889" s="6"/>
      <c r="E889" s="6"/>
      <c r="F889" s="6"/>
      <c r="G889" s="6"/>
      <c r="H889" s="6"/>
      <c r="I889" s="6"/>
      <c r="J889" s="6"/>
      <c r="K889" s="6"/>
    </row>
    <row r="890" spans="1:11" ht="15.6">
      <c r="A890" s="327"/>
      <c r="B890" s="6"/>
      <c r="C890" s="6"/>
      <c r="D890" s="6"/>
      <c r="E890" s="6"/>
      <c r="F890" s="6"/>
      <c r="G890" s="6"/>
      <c r="H890" s="6"/>
      <c r="I890" s="6"/>
      <c r="J890" s="6"/>
      <c r="K890" s="6"/>
    </row>
    <row r="891" spans="1:11" ht="15.6">
      <c r="A891" s="327"/>
      <c r="B891" s="6"/>
      <c r="C891" s="6"/>
      <c r="D891" s="6"/>
      <c r="E891" s="6"/>
      <c r="F891" s="6"/>
      <c r="G891" s="6"/>
      <c r="H891" s="6"/>
      <c r="I891" s="6"/>
      <c r="J891" s="6"/>
      <c r="K891" s="6"/>
    </row>
    <row r="892" spans="1:11" ht="15.6">
      <c r="A892" s="327"/>
      <c r="B892" s="6"/>
      <c r="C892" s="6"/>
      <c r="D892" s="6"/>
      <c r="E892" s="6"/>
      <c r="F892" s="6"/>
      <c r="G892" s="6"/>
      <c r="H892" s="6"/>
      <c r="I892" s="6"/>
      <c r="J892" s="6"/>
      <c r="K892" s="6"/>
    </row>
    <row r="893" spans="1:11" ht="15.6">
      <c r="A893" s="327"/>
      <c r="B893" s="6"/>
      <c r="C893" s="6"/>
      <c r="D893" s="6"/>
      <c r="E893" s="6"/>
      <c r="F893" s="6"/>
      <c r="G893" s="6"/>
      <c r="H893" s="6"/>
      <c r="I893" s="6"/>
      <c r="J893" s="6"/>
      <c r="K893" s="6"/>
    </row>
    <row r="894" spans="1:11" ht="15.6">
      <c r="A894" s="327"/>
      <c r="B894" s="6"/>
      <c r="C894" s="6"/>
      <c r="D894" s="6"/>
      <c r="E894" s="6"/>
      <c r="F894" s="6"/>
      <c r="G894" s="6"/>
      <c r="H894" s="6"/>
      <c r="I894" s="6"/>
      <c r="J894" s="6"/>
      <c r="K894" s="6"/>
    </row>
    <row r="895" spans="1:11" ht="15.6">
      <c r="A895" s="327"/>
      <c r="B895" s="6"/>
      <c r="C895" s="6"/>
      <c r="D895" s="6"/>
      <c r="E895" s="6"/>
      <c r="F895" s="6"/>
      <c r="G895" s="6"/>
      <c r="H895" s="6"/>
      <c r="I895" s="6"/>
      <c r="J895" s="6"/>
      <c r="K895" s="6"/>
    </row>
    <row r="896" spans="1:11" ht="15.6">
      <c r="A896" s="327"/>
      <c r="B896" s="6"/>
      <c r="C896" s="6"/>
      <c r="D896" s="6"/>
      <c r="E896" s="6"/>
      <c r="F896" s="6"/>
      <c r="G896" s="6"/>
      <c r="H896" s="6"/>
      <c r="I896" s="6"/>
      <c r="J896" s="6"/>
      <c r="K896" s="6"/>
    </row>
    <row r="897" spans="1:11" ht="15.6">
      <c r="A897" s="327"/>
      <c r="B897" s="6"/>
      <c r="C897" s="6"/>
      <c r="D897" s="6"/>
      <c r="E897" s="6"/>
      <c r="F897" s="6"/>
      <c r="G897" s="6"/>
      <c r="H897" s="6"/>
      <c r="I897" s="6"/>
      <c r="J897" s="6"/>
      <c r="K897" s="6"/>
    </row>
    <row r="898" spans="1:11" ht="15.6">
      <c r="A898" s="327"/>
      <c r="B898" s="6"/>
      <c r="C898" s="6"/>
      <c r="D898" s="6"/>
      <c r="E898" s="6"/>
      <c r="F898" s="6"/>
      <c r="G898" s="6"/>
      <c r="H898" s="6"/>
      <c r="I898" s="6"/>
      <c r="J898" s="6"/>
      <c r="K898" s="6"/>
    </row>
    <row r="899" spans="1:11" ht="15.6">
      <c r="A899" s="327"/>
      <c r="B899" s="6"/>
      <c r="C899" s="6"/>
      <c r="D899" s="6"/>
      <c r="E899" s="6"/>
      <c r="F899" s="6"/>
      <c r="G899" s="6"/>
      <c r="H899" s="6"/>
      <c r="I899" s="6"/>
      <c r="J899" s="6"/>
      <c r="K899" s="6"/>
    </row>
    <row r="900" spans="1:11" ht="15.6">
      <c r="A900" s="327"/>
      <c r="B900" s="6"/>
      <c r="C900" s="6"/>
      <c r="D900" s="6"/>
      <c r="E900" s="6"/>
      <c r="F900" s="6"/>
      <c r="G900" s="6"/>
      <c r="H900" s="6"/>
      <c r="I900" s="6"/>
      <c r="J900" s="6"/>
      <c r="K900" s="6"/>
    </row>
    <row r="901" spans="1:11" ht="15.6">
      <c r="A901" s="327"/>
      <c r="B901" s="6"/>
      <c r="C901" s="6"/>
      <c r="D901" s="6"/>
      <c r="E901" s="6"/>
      <c r="F901" s="6"/>
      <c r="G901" s="6"/>
      <c r="H901" s="6"/>
      <c r="I901" s="6"/>
      <c r="J901" s="6"/>
      <c r="K901" s="6"/>
    </row>
    <row r="902" spans="1:11" ht="15.6">
      <c r="A902" s="327"/>
      <c r="B902" s="6"/>
      <c r="C902" s="6"/>
      <c r="D902" s="6"/>
      <c r="E902" s="6"/>
      <c r="F902" s="6"/>
      <c r="G902" s="6"/>
      <c r="H902" s="6"/>
      <c r="I902" s="6"/>
      <c r="J902" s="6"/>
      <c r="K902" s="6"/>
    </row>
    <row r="903" spans="1:11" ht="15.6">
      <c r="A903" s="327"/>
      <c r="B903" s="6"/>
      <c r="C903" s="6"/>
      <c r="D903" s="6"/>
      <c r="E903" s="6"/>
      <c r="F903" s="6"/>
      <c r="G903" s="6"/>
      <c r="H903" s="6"/>
      <c r="I903" s="6"/>
      <c r="J903" s="6"/>
      <c r="K903" s="6"/>
    </row>
    <row r="904" spans="1:11" ht="15.6">
      <c r="A904" s="327"/>
      <c r="B904" s="6"/>
      <c r="C904" s="6"/>
      <c r="D904" s="6"/>
      <c r="E904" s="6"/>
      <c r="F904" s="6"/>
      <c r="G904" s="6"/>
      <c r="H904" s="6"/>
      <c r="I904" s="6"/>
      <c r="J904" s="6"/>
      <c r="K904" s="6"/>
    </row>
    <row r="905" spans="1:11" ht="15.6">
      <c r="A905" s="327"/>
      <c r="B905" s="6"/>
      <c r="C905" s="6"/>
      <c r="D905" s="6"/>
      <c r="E905" s="6"/>
      <c r="F905" s="6"/>
      <c r="G905" s="6"/>
      <c r="H905" s="6"/>
      <c r="I905" s="6"/>
      <c r="J905" s="6"/>
      <c r="K905" s="6"/>
    </row>
    <row r="906" spans="1:11" ht="15.6">
      <c r="A906" s="327"/>
      <c r="B906" s="6"/>
      <c r="C906" s="6"/>
      <c r="D906" s="6"/>
      <c r="E906" s="6"/>
      <c r="F906" s="6"/>
      <c r="G906" s="6"/>
      <c r="H906" s="6"/>
      <c r="I906" s="6"/>
      <c r="J906" s="6"/>
      <c r="K906" s="6"/>
    </row>
    <row r="907" spans="1:11" ht="15.6">
      <c r="A907" s="327"/>
      <c r="B907" s="6"/>
      <c r="C907" s="6"/>
      <c r="D907" s="6"/>
      <c r="E907" s="6"/>
      <c r="F907" s="6"/>
      <c r="G907" s="6"/>
      <c r="H907" s="6"/>
      <c r="I907" s="6"/>
      <c r="J907" s="6"/>
      <c r="K907" s="6"/>
    </row>
    <row r="908" spans="1:11" ht="15.6">
      <c r="A908" s="327"/>
      <c r="B908" s="6"/>
      <c r="C908" s="6"/>
      <c r="D908" s="6"/>
      <c r="E908" s="6"/>
      <c r="F908" s="6"/>
      <c r="G908" s="6"/>
      <c r="H908" s="6"/>
      <c r="I908" s="6"/>
      <c r="J908" s="6"/>
      <c r="K908" s="6"/>
    </row>
    <row r="909" spans="1:11" ht="15.6">
      <c r="A909" s="327"/>
      <c r="B909" s="6"/>
      <c r="C909" s="6"/>
      <c r="D909" s="6"/>
      <c r="E909" s="6"/>
      <c r="F909" s="6"/>
      <c r="G909" s="6"/>
      <c r="H909" s="6"/>
      <c r="I909" s="6"/>
      <c r="J909" s="6"/>
      <c r="K909" s="6"/>
    </row>
    <row r="910" spans="1:11" ht="15.6">
      <c r="A910" s="327"/>
      <c r="B910" s="6"/>
      <c r="C910" s="6"/>
      <c r="D910" s="6"/>
      <c r="E910" s="6"/>
      <c r="F910" s="6"/>
      <c r="G910" s="6"/>
      <c r="H910" s="6"/>
      <c r="I910" s="6"/>
      <c r="J910" s="6"/>
      <c r="K910" s="6"/>
    </row>
    <row r="911" spans="1:11" ht="15.6">
      <c r="A911" s="327"/>
      <c r="B911" s="6"/>
      <c r="C911" s="6"/>
      <c r="D911" s="6"/>
      <c r="E911" s="6"/>
      <c r="F911" s="6"/>
      <c r="G911" s="6"/>
      <c r="H911" s="6"/>
      <c r="I911" s="6"/>
      <c r="J911" s="6"/>
      <c r="K911" s="6"/>
    </row>
    <row r="912" spans="1:11" ht="15.6">
      <c r="A912" s="327"/>
      <c r="B912" s="6"/>
      <c r="C912" s="6"/>
      <c r="D912" s="6"/>
      <c r="E912" s="6"/>
      <c r="F912" s="6"/>
      <c r="G912" s="6"/>
      <c r="H912" s="6"/>
      <c r="I912" s="6"/>
      <c r="J912" s="6"/>
      <c r="K912" s="6"/>
    </row>
    <row r="913" spans="1:11" ht="15.6">
      <c r="A913" s="327"/>
      <c r="B913" s="6"/>
      <c r="C913" s="6"/>
      <c r="D913" s="6"/>
      <c r="E913" s="6"/>
      <c r="F913" s="6"/>
      <c r="G913" s="6"/>
      <c r="H913" s="6"/>
      <c r="I913" s="6"/>
      <c r="J913" s="6"/>
      <c r="K913" s="6"/>
    </row>
    <row r="914" spans="1:11" ht="15.6">
      <c r="A914" s="327"/>
      <c r="B914" s="6"/>
      <c r="C914" s="6"/>
      <c r="D914" s="6"/>
      <c r="E914" s="6"/>
      <c r="F914" s="6"/>
      <c r="G914" s="6"/>
      <c r="H914" s="6"/>
      <c r="I914" s="6"/>
      <c r="J914" s="6"/>
      <c r="K914" s="6"/>
    </row>
    <row r="915" spans="1:11" ht="15.6">
      <c r="A915" s="327"/>
      <c r="B915" s="6"/>
      <c r="C915" s="6"/>
      <c r="D915" s="6"/>
      <c r="E915" s="6"/>
      <c r="F915" s="6"/>
      <c r="G915" s="6"/>
      <c r="H915" s="6"/>
      <c r="I915" s="6"/>
      <c r="J915" s="6"/>
      <c r="K915" s="6"/>
    </row>
    <row r="916" spans="1:11" ht="15.6">
      <c r="A916" s="327"/>
      <c r="B916" s="6"/>
      <c r="C916" s="6"/>
      <c r="D916" s="6"/>
      <c r="E916" s="6"/>
      <c r="F916" s="6"/>
      <c r="G916" s="6"/>
      <c r="H916" s="6"/>
      <c r="I916" s="6"/>
      <c r="J916" s="6"/>
      <c r="K916" s="6"/>
    </row>
    <row r="917" spans="1:11" ht="15.6">
      <c r="A917" s="327"/>
      <c r="B917" s="6"/>
      <c r="C917" s="6"/>
      <c r="D917" s="6"/>
      <c r="E917" s="6"/>
      <c r="F917" s="6"/>
      <c r="G917" s="6"/>
      <c r="H917" s="6"/>
      <c r="I917" s="6"/>
      <c r="J917" s="6"/>
      <c r="K917" s="6"/>
    </row>
    <row r="918" spans="1:11" ht="15.6">
      <c r="A918" s="327"/>
      <c r="B918" s="6"/>
      <c r="C918" s="6"/>
      <c r="D918" s="6"/>
      <c r="E918" s="6"/>
      <c r="F918" s="6"/>
      <c r="G918" s="6"/>
      <c r="H918" s="6"/>
      <c r="I918" s="6"/>
      <c r="J918" s="6"/>
      <c r="K918" s="6"/>
    </row>
    <row r="919" spans="1:11" ht="15.6">
      <c r="A919" s="327"/>
      <c r="B919" s="6"/>
      <c r="C919" s="6"/>
      <c r="D919" s="6"/>
      <c r="E919" s="6"/>
      <c r="F919" s="6"/>
      <c r="G919" s="6"/>
      <c r="H919" s="6"/>
      <c r="I919" s="6"/>
      <c r="J919" s="6"/>
      <c r="K919" s="6"/>
    </row>
    <row r="920" spans="1:11" ht="15.6">
      <c r="A920" s="327"/>
      <c r="B920" s="6"/>
      <c r="C920" s="6"/>
      <c r="D920" s="6"/>
      <c r="E920" s="6"/>
      <c r="F920" s="6"/>
      <c r="G920" s="6"/>
      <c r="H920" s="6"/>
      <c r="I920" s="6"/>
      <c r="J920" s="6"/>
      <c r="K920" s="6"/>
    </row>
    <row r="921" spans="1:11" ht="15.6">
      <c r="A921" s="327"/>
      <c r="B921" s="6"/>
      <c r="C921" s="6"/>
      <c r="D921" s="6"/>
      <c r="E921" s="6"/>
      <c r="F921" s="6"/>
      <c r="G921" s="6"/>
      <c r="H921" s="6"/>
      <c r="I921" s="6"/>
      <c r="J921" s="6"/>
      <c r="K921" s="6"/>
    </row>
    <row r="922" spans="1:11" ht="15.6">
      <c r="A922" s="327"/>
      <c r="B922" s="6"/>
      <c r="C922" s="6"/>
      <c r="D922" s="6"/>
      <c r="E922" s="6"/>
      <c r="F922" s="6"/>
      <c r="G922" s="6"/>
      <c r="H922" s="6"/>
      <c r="I922" s="6"/>
      <c r="J922" s="6"/>
      <c r="K922" s="6"/>
    </row>
    <row r="923" spans="1:11" ht="15.6">
      <c r="A923" s="327"/>
      <c r="B923" s="6"/>
      <c r="C923" s="6"/>
      <c r="D923" s="6"/>
      <c r="E923" s="6"/>
      <c r="F923" s="6"/>
      <c r="G923" s="6"/>
      <c r="H923" s="6"/>
      <c r="I923" s="6"/>
      <c r="J923" s="6"/>
      <c r="K923" s="6"/>
    </row>
    <row r="924" spans="1:11" ht="15.6">
      <c r="A924" s="327"/>
      <c r="B924" s="6"/>
      <c r="C924" s="6"/>
      <c r="D924" s="6"/>
      <c r="E924" s="6"/>
      <c r="F924" s="6"/>
      <c r="G924" s="6"/>
      <c r="H924" s="6"/>
      <c r="I924" s="6"/>
      <c r="J924" s="6"/>
      <c r="K924" s="6"/>
    </row>
    <row r="925" spans="1:11" ht="15.6">
      <c r="A925" s="327"/>
      <c r="B925" s="6"/>
      <c r="C925" s="6"/>
      <c r="D925" s="6"/>
      <c r="E925" s="6"/>
      <c r="F925" s="6"/>
      <c r="G925" s="6"/>
      <c r="H925" s="6"/>
      <c r="I925" s="6"/>
      <c r="J925" s="6"/>
      <c r="K925" s="6"/>
    </row>
    <row r="926" spans="1:11" ht="15.6">
      <c r="A926" s="327"/>
      <c r="B926" s="6"/>
      <c r="C926" s="6"/>
      <c r="D926" s="6"/>
      <c r="E926" s="6"/>
      <c r="F926" s="6"/>
      <c r="G926" s="6"/>
      <c r="H926" s="6"/>
      <c r="I926" s="6"/>
      <c r="J926" s="6"/>
      <c r="K926" s="6"/>
    </row>
    <row r="927" spans="1:11" ht="15.6">
      <c r="A927" s="327"/>
      <c r="B927" s="6"/>
      <c r="C927" s="6"/>
      <c r="D927" s="6"/>
      <c r="E927" s="6"/>
      <c r="F927" s="6"/>
      <c r="G927" s="6"/>
      <c r="H927" s="6"/>
      <c r="I927" s="6"/>
      <c r="J927" s="6"/>
      <c r="K927" s="6"/>
    </row>
    <row r="928" spans="1:11" ht="15.6">
      <c r="A928" s="327"/>
      <c r="B928" s="6"/>
      <c r="C928" s="6"/>
      <c r="D928" s="6"/>
      <c r="E928" s="6"/>
      <c r="F928" s="6"/>
      <c r="G928" s="6"/>
      <c r="H928" s="6"/>
      <c r="I928" s="6"/>
      <c r="J928" s="6"/>
      <c r="K928" s="6"/>
    </row>
    <row r="929" spans="1:11" ht="15.6">
      <c r="A929" s="327"/>
      <c r="B929" s="6"/>
      <c r="C929" s="6"/>
      <c r="D929" s="6"/>
      <c r="E929" s="6"/>
      <c r="F929" s="6"/>
      <c r="G929" s="6"/>
      <c r="H929" s="6"/>
      <c r="I929" s="6"/>
      <c r="J929" s="6"/>
      <c r="K929" s="6"/>
    </row>
    <row r="930" spans="1:11" ht="15.6">
      <c r="A930" s="327"/>
      <c r="B930" s="6"/>
      <c r="C930" s="6"/>
      <c r="D930" s="6"/>
      <c r="E930" s="6"/>
      <c r="F930" s="6"/>
      <c r="G930" s="6"/>
      <c r="H930" s="6"/>
      <c r="I930" s="6"/>
      <c r="J930" s="6"/>
      <c r="K930" s="6"/>
    </row>
    <row r="931" spans="1:11" ht="15.6">
      <c r="A931" s="327"/>
      <c r="B931" s="6"/>
      <c r="C931" s="6"/>
      <c r="D931" s="6"/>
      <c r="E931" s="6"/>
      <c r="F931" s="6"/>
      <c r="G931" s="6"/>
      <c r="H931" s="6"/>
      <c r="I931" s="6"/>
      <c r="J931" s="6"/>
      <c r="K931" s="6"/>
    </row>
    <row r="932" spans="1:11" ht="15.6">
      <c r="A932" s="327"/>
      <c r="B932" s="6"/>
      <c r="C932" s="6"/>
      <c r="D932" s="6"/>
      <c r="E932" s="6"/>
      <c r="F932" s="6"/>
      <c r="G932" s="6"/>
      <c r="H932" s="6"/>
      <c r="I932" s="6"/>
      <c r="J932" s="6"/>
      <c r="K932" s="6"/>
    </row>
    <row r="933" spans="1:11" ht="15.6">
      <c r="A933" s="327"/>
      <c r="B933" s="6"/>
      <c r="C933" s="6"/>
      <c r="D933" s="6"/>
      <c r="E933" s="6"/>
      <c r="F933" s="6"/>
      <c r="G933" s="6"/>
      <c r="H933" s="6"/>
      <c r="I933" s="6"/>
      <c r="J933" s="6"/>
      <c r="K933" s="6"/>
    </row>
    <row r="934" spans="1:11" ht="15.6">
      <c r="A934" s="327"/>
      <c r="B934" s="6"/>
      <c r="C934" s="6"/>
      <c r="D934" s="6"/>
      <c r="E934" s="6"/>
      <c r="F934" s="6"/>
      <c r="G934" s="6"/>
      <c r="H934" s="6"/>
      <c r="I934" s="6"/>
      <c r="J934" s="6"/>
      <c r="K934" s="6"/>
    </row>
    <row r="935" spans="1:11" ht="15.6">
      <c r="A935" s="327"/>
      <c r="B935" s="6"/>
      <c r="C935" s="6"/>
      <c r="D935" s="6"/>
      <c r="E935" s="6"/>
      <c r="F935" s="6"/>
      <c r="G935" s="6"/>
      <c r="H935" s="6"/>
      <c r="I935" s="6"/>
      <c r="J935" s="6"/>
      <c r="K935" s="6"/>
    </row>
    <row r="936" spans="1:11" ht="15.6">
      <c r="A936" s="327"/>
      <c r="B936" s="6"/>
      <c r="C936" s="6"/>
      <c r="D936" s="6"/>
      <c r="E936" s="6"/>
      <c r="F936" s="6"/>
      <c r="G936" s="6"/>
      <c r="H936" s="6"/>
      <c r="I936" s="6"/>
      <c r="J936" s="6"/>
      <c r="K936" s="6"/>
    </row>
    <row r="937" spans="1:11" ht="15.6">
      <c r="A937" s="327"/>
      <c r="B937" s="6"/>
      <c r="C937" s="6"/>
      <c r="D937" s="6"/>
      <c r="E937" s="6"/>
      <c r="F937" s="6"/>
      <c r="G937" s="6"/>
      <c r="H937" s="6"/>
      <c r="I937" s="6"/>
      <c r="J937" s="6"/>
      <c r="K937" s="6"/>
    </row>
    <row r="938" spans="1:11" ht="15.6">
      <c r="A938" s="327"/>
      <c r="B938" s="6"/>
      <c r="C938" s="6"/>
      <c r="D938" s="6"/>
      <c r="E938" s="6"/>
      <c r="F938" s="6"/>
      <c r="G938" s="6"/>
      <c r="H938" s="6"/>
      <c r="I938" s="6"/>
      <c r="J938" s="6"/>
      <c r="K938" s="6"/>
    </row>
    <row r="939" spans="1:11" ht="15.6">
      <c r="A939" s="327"/>
      <c r="B939" s="6"/>
      <c r="C939" s="6"/>
      <c r="D939" s="6"/>
      <c r="E939" s="6"/>
      <c r="F939" s="6"/>
      <c r="G939" s="6"/>
      <c r="H939" s="6"/>
      <c r="I939" s="6"/>
      <c r="J939" s="6"/>
      <c r="K939" s="6"/>
    </row>
    <row r="940" spans="1:11" ht="15.6">
      <c r="A940" s="327"/>
      <c r="B940" s="6"/>
      <c r="C940" s="6"/>
      <c r="D940" s="6"/>
      <c r="E940" s="6"/>
      <c r="F940" s="6"/>
      <c r="G940" s="6"/>
      <c r="H940" s="6"/>
      <c r="I940" s="6"/>
      <c r="J940" s="6"/>
      <c r="K940" s="6"/>
    </row>
    <row r="941" spans="1:11" ht="15.6">
      <c r="A941" s="327"/>
      <c r="B941" s="6"/>
      <c r="C941" s="6"/>
      <c r="D941" s="6"/>
      <c r="E941" s="6"/>
      <c r="F941" s="6"/>
      <c r="G941" s="6"/>
      <c r="H941" s="6"/>
      <c r="I941" s="6"/>
      <c r="J941" s="6"/>
      <c r="K941" s="6"/>
    </row>
    <row r="942" spans="1:11" ht="15.6">
      <c r="A942" s="327"/>
      <c r="B942" s="6"/>
      <c r="C942" s="6"/>
      <c r="D942" s="6"/>
      <c r="E942" s="6"/>
      <c r="F942" s="6"/>
      <c r="G942" s="6"/>
      <c r="H942" s="6"/>
      <c r="I942" s="6"/>
      <c r="J942" s="6"/>
      <c r="K942" s="6"/>
    </row>
    <row r="943" spans="1:11" ht="15.6">
      <c r="A943" s="327"/>
      <c r="B943" s="6"/>
      <c r="C943" s="6"/>
      <c r="D943" s="6"/>
      <c r="E943" s="6"/>
      <c r="F943" s="6"/>
      <c r="G943" s="6"/>
      <c r="H943" s="6"/>
      <c r="I943" s="6"/>
      <c r="J943" s="6"/>
      <c r="K943" s="6"/>
    </row>
    <row r="944" spans="1:11" ht="15.6">
      <c r="A944" s="327"/>
      <c r="B944" s="6"/>
      <c r="C944" s="6"/>
      <c r="D944" s="6"/>
      <c r="E944" s="6"/>
      <c r="F944" s="6"/>
      <c r="G944" s="6"/>
      <c r="H944" s="6"/>
      <c r="I944" s="6"/>
      <c r="J944" s="6"/>
      <c r="K944" s="6"/>
    </row>
    <row r="945" spans="1:11" ht="15.6">
      <c r="A945" s="327"/>
      <c r="B945" s="6"/>
      <c r="C945" s="6"/>
      <c r="D945" s="6"/>
      <c r="E945" s="6"/>
      <c r="F945" s="6"/>
      <c r="G945" s="6"/>
      <c r="H945" s="6"/>
      <c r="I945" s="6"/>
      <c r="J945" s="6"/>
      <c r="K945" s="6"/>
    </row>
    <row r="946" spans="1:11" ht="15.6">
      <c r="A946" s="327"/>
      <c r="B946" s="6"/>
      <c r="C946" s="6"/>
      <c r="D946" s="6"/>
      <c r="E946" s="6"/>
      <c r="F946" s="6"/>
      <c r="G946" s="6"/>
      <c r="H946" s="6"/>
      <c r="I946" s="6"/>
      <c r="J946" s="6"/>
      <c r="K946" s="6"/>
    </row>
    <row r="947" spans="1:11" ht="15.6">
      <c r="A947" s="327"/>
      <c r="B947" s="6"/>
      <c r="C947" s="6"/>
      <c r="D947" s="6"/>
      <c r="E947" s="6"/>
      <c r="F947" s="6"/>
      <c r="G947" s="6"/>
      <c r="H947" s="6"/>
      <c r="I947" s="6"/>
      <c r="J947" s="6"/>
      <c r="K947" s="6"/>
    </row>
    <row r="948" spans="1:11" ht="15.6">
      <c r="A948" s="327"/>
      <c r="B948" s="6"/>
      <c r="C948" s="6"/>
      <c r="D948" s="6"/>
      <c r="E948" s="6"/>
      <c r="F948" s="6"/>
      <c r="G948" s="6"/>
      <c r="H948" s="6"/>
      <c r="I948" s="6"/>
      <c r="J948" s="6"/>
      <c r="K948" s="6"/>
    </row>
    <row r="949" spans="1:11" ht="15.6">
      <c r="A949" s="327"/>
      <c r="B949" s="6"/>
      <c r="C949" s="6"/>
      <c r="D949" s="6"/>
      <c r="E949" s="6"/>
      <c r="F949" s="6"/>
      <c r="G949" s="6"/>
      <c r="H949" s="6"/>
      <c r="I949" s="6"/>
      <c r="J949" s="6"/>
      <c r="K949" s="6"/>
    </row>
    <row r="950" spans="1:11" ht="15.6">
      <c r="A950" s="327"/>
      <c r="B950" s="6"/>
      <c r="C950" s="6"/>
      <c r="D950" s="6"/>
      <c r="E950" s="6"/>
      <c r="F950" s="6"/>
      <c r="G950" s="6"/>
      <c r="H950" s="6"/>
      <c r="I950" s="6"/>
      <c r="J950" s="6"/>
      <c r="K950" s="6"/>
    </row>
    <row r="951" spans="1:11" ht="15.6">
      <c r="A951" s="327"/>
      <c r="B951" s="6"/>
      <c r="C951" s="6"/>
      <c r="D951" s="6"/>
      <c r="E951" s="6"/>
      <c r="F951" s="6"/>
      <c r="G951" s="6"/>
      <c r="H951" s="6"/>
      <c r="I951" s="6"/>
      <c r="J951" s="6"/>
      <c r="K951" s="6"/>
    </row>
    <row r="952" spans="1:11" ht="15.6">
      <c r="A952" s="327"/>
      <c r="B952" s="6"/>
      <c r="C952" s="6"/>
      <c r="D952" s="6"/>
      <c r="E952" s="6"/>
      <c r="F952" s="6"/>
      <c r="G952" s="6"/>
      <c r="H952" s="6"/>
      <c r="I952" s="6"/>
      <c r="J952" s="6"/>
      <c r="K952" s="6"/>
    </row>
    <row r="953" spans="1:11" ht="15.6">
      <c r="A953" s="327"/>
      <c r="B953" s="6"/>
      <c r="C953" s="6"/>
      <c r="D953" s="6"/>
      <c r="E953" s="6"/>
      <c r="F953" s="6"/>
      <c r="G953" s="6"/>
      <c r="H953" s="6"/>
      <c r="I953" s="6"/>
      <c r="J953" s="6"/>
      <c r="K953" s="6"/>
    </row>
    <row r="954" spans="1:11" ht="15.6">
      <c r="A954" s="327"/>
      <c r="B954" s="6"/>
      <c r="C954" s="6"/>
      <c r="D954" s="6"/>
      <c r="E954" s="6"/>
      <c r="F954" s="6"/>
      <c r="G954" s="6"/>
      <c r="H954" s="6"/>
      <c r="I954" s="6"/>
      <c r="J954" s="6"/>
      <c r="K954" s="6"/>
    </row>
    <row r="955" spans="1:11" ht="15.6">
      <c r="A955" s="327"/>
      <c r="B955" s="6"/>
      <c r="C955" s="6"/>
      <c r="D955" s="6"/>
      <c r="E955" s="6"/>
      <c r="F955" s="6"/>
      <c r="G955" s="6"/>
      <c r="H955" s="6"/>
      <c r="I955" s="6"/>
      <c r="J955" s="6"/>
      <c r="K955" s="6"/>
    </row>
    <row r="956" spans="1:11" ht="15.6">
      <c r="A956" s="327"/>
      <c r="B956" s="6"/>
      <c r="C956" s="6"/>
      <c r="D956" s="6"/>
      <c r="E956" s="6"/>
      <c r="F956" s="6"/>
      <c r="G956" s="6"/>
      <c r="H956" s="6"/>
      <c r="I956" s="6"/>
      <c r="J956" s="6"/>
      <c r="K956" s="6"/>
    </row>
    <row r="957" spans="1:11" ht="15.6">
      <c r="A957" s="327"/>
      <c r="B957" s="6"/>
      <c r="C957" s="6"/>
      <c r="D957" s="6"/>
      <c r="E957" s="6"/>
      <c r="F957" s="6"/>
      <c r="G957" s="6"/>
      <c r="H957" s="6"/>
      <c r="I957" s="6"/>
      <c r="J957" s="6"/>
      <c r="K957" s="6"/>
    </row>
    <row r="958" spans="1:11" ht="15.6">
      <c r="A958" s="327"/>
      <c r="B958" s="6"/>
      <c r="C958" s="6"/>
      <c r="D958" s="6"/>
      <c r="E958" s="6"/>
      <c r="F958" s="6"/>
      <c r="G958" s="6"/>
      <c r="H958" s="6"/>
      <c r="I958" s="6"/>
      <c r="J958" s="6"/>
      <c r="K958" s="6"/>
    </row>
    <row r="959" spans="1:11" ht="15.6">
      <c r="A959" s="327"/>
      <c r="B959" s="6"/>
      <c r="C959" s="6"/>
      <c r="D959" s="6"/>
      <c r="E959" s="6"/>
      <c r="F959" s="6"/>
      <c r="G959" s="6"/>
      <c r="H959" s="6"/>
      <c r="I959" s="6"/>
      <c r="J959" s="6"/>
      <c r="K959" s="6"/>
    </row>
    <row r="960" spans="1:11" ht="15.6">
      <c r="A960" s="327"/>
      <c r="B960" s="6"/>
      <c r="C960" s="6"/>
      <c r="D960" s="6"/>
      <c r="E960" s="6"/>
      <c r="F960" s="6"/>
      <c r="G960" s="6"/>
      <c r="H960" s="6"/>
      <c r="I960" s="6"/>
      <c r="J960" s="6"/>
      <c r="K960" s="6"/>
    </row>
    <row r="961" spans="1:11" ht="15.6">
      <c r="A961" s="327"/>
      <c r="B961" s="6"/>
      <c r="C961" s="6"/>
      <c r="D961" s="6"/>
      <c r="E961" s="6"/>
      <c r="F961" s="6"/>
      <c r="G961" s="6"/>
      <c r="H961" s="6"/>
      <c r="I961" s="6"/>
      <c r="J961" s="6"/>
      <c r="K961" s="6"/>
    </row>
    <row r="962" spans="1:11" ht="15.6">
      <c r="A962" s="327"/>
      <c r="B962" s="6"/>
      <c r="C962" s="6"/>
      <c r="D962" s="6"/>
      <c r="E962" s="6"/>
      <c r="F962" s="6"/>
      <c r="G962" s="6"/>
      <c r="H962" s="6"/>
      <c r="I962" s="6"/>
      <c r="J962" s="6"/>
      <c r="K962" s="6"/>
    </row>
    <row r="963" spans="1:11" ht="15.6">
      <c r="A963" s="327"/>
      <c r="B963" s="6"/>
      <c r="C963" s="6"/>
      <c r="D963" s="6"/>
      <c r="E963" s="6"/>
      <c r="F963" s="6"/>
      <c r="G963" s="6"/>
      <c r="H963" s="6"/>
      <c r="I963" s="6"/>
      <c r="J963" s="6"/>
      <c r="K963" s="6"/>
    </row>
    <row r="964" spans="1:11" ht="15.6">
      <c r="A964" s="327"/>
      <c r="B964" s="6"/>
      <c r="C964" s="6"/>
      <c r="D964" s="6"/>
      <c r="E964" s="6"/>
      <c r="F964" s="6"/>
      <c r="G964" s="6"/>
      <c r="H964" s="6"/>
      <c r="I964" s="6"/>
      <c r="J964" s="6"/>
      <c r="K964" s="6"/>
    </row>
    <row r="965" spans="1:11" ht="15.6">
      <c r="A965" s="327"/>
      <c r="B965" s="6"/>
      <c r="C965" s="6"/>
      <c r="D965" s="6"/>
      <c r="E965" s="6"/>
      <c r="F965" s="6"/>
      <c r="G965" s="6"/>
      <c r="H965" s="6"/>
      <c r="I965" s="6"/>
      <c r="J965" s="6"/>
      <c r="K965" s="6"/>
    </row>
    <row r="966" spans="1:11" ht="15.6">
      <c r="A966" s="327"/>
      <c r="B966" s="6"/>
      <c r="C966" s="6"/>
      <c r="D966" s="6"/>
      <c r="E966" s="6"/>
      <c r="F966" s="6"/>
      <c r="G966" s="6"/>
      <c r="H966" s="6"/>
      <c r="I966" s="6"/>
      <c r="J966" s="6"/>
      <c r="K966" s="6"/>
    </row>
    <row r="967" spans="1:11" ht="15.6">
      <c r="A967" s="327"/>
      <c r="B967" s="6"/>
      <c r="C967" s="6"/>
      <c r="D967" s="6"/>
      <c r="E967" s="6"/>
      <c r="F967" s="6"/>
      <c r="G967" s="6"/>
      <c r="H967" s="6"/>
      <c r="I967" s="6"/>
      <c r="J967" s="6"/>
      <c r="K967" s="6"/>
    </row>
    <row r="968" spans="1:11" ht="15.6">
      <c r="A968" s="327"/>
      <c r="B968" s="6"/>
      <c r="C968" s="6"/>
      <c r="D968" s="6"/>
      <c r="E968" s="6"/>
      <c r="F968" s="6"/>
      <c r="G968" s="6"/>
      <c r="H968" s="6"/>
      <c r="I968" s="6"/>
      <c r="J968" s="6"/>
      <c r="K968" s="6"/>
    </row>
    <row r="969" spans="1:11" ht="15.6">
      <c r="A969" s="327"/>
      <c r="B969" s="6"/>
      <c r="C969" s="6"/>
      <c r="D969" s="6"/>
      <c r="E969" s="6"/>
      <c r="F969" s="6"/>
      <c r="G969" s="6"/>
      <c r="H969" s="6"/>
      <c r="I969" s="6"/>
      <c r="J969" s="6"/>
      <c r="K969" s="6"/>
    </row>
    <row r="970" spans="1:11" ht="15.6">
      <c r="A970" s="327"/>
      <c r="B970" s="6"/>
      <c r="C970" s="6"/>
      <c r="D970" s="6"/>
      <c r="E970" s="6"/>
      <c r="F970" s="6"/>
      <c r="G970" s="6"/>
      <c r="H970" s="6"/>
      <c r="I970" s="6"/>
      <c r="J970" s="6"/>
      <c r="K970" s="6"/>
    </row>
    <row r="971" spans="1:11" ht="15.6">
      <c r="A971" s="327"/>
      <c r="B971" s="6"/>
      <c r="C971" s="6"/>
      <c r="D971" s="6"/>
      <c r="E971" s="6"/>
      <c r="F971" s="6"/>
      <c r="G971" s="6"/>
      <c r="H971" s="6"/>
      <c r="I971" s="6"/>
      <c r="J971" s="6"/>
      <c r="K971" s="6"/>
    </row>
    <row r="972" spans="1:11" ht="15.6">
      <c r="A972" s="327"/>
      <c r="B972" s="6"/>
      <c r="C972" s="6"/>
      <c r="D972" s="6"/>
      <c r="E972" s="6"/>
      <c r="F972" s="6"/>
      <c r="G972" s="6"/>
      <c r="H972" s="6"/>
      <c r="I972" s="6"/>
      <c r="J972" s="6"/>
      <c r="K972" s="6"/>
    </row>
    <row r="973" spans="1:11" ht="15.6">
      <c r="A973" s="327"/>
      <c r="B973" s="6"/>
      <c r="C973" s="6"/>
      <c r="D973" s="6"/>
      <c r="E973" s="6"/>
      <c r="F973" s="6"/>
      <c r="G973" s="6"/>
      <c r="H973" s="6"/>
      <c r="I973" s="6"/>
      <c r="J973" s="6"/>
      <c r="K973" s="6"/>
    </row>
  </sheetData>
  <mergeCells count="1">
    <mergeCell ref="A1:A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X1013"/>
  <sheetViews>
    <sheetView topLeftCell="A22" workbookViewId="0">
      <selection activeCell="A22" sqref="A22"/>
    </sheetView>
  </sheetViews>
  <sheetFormatPr defaultColWidth="11.19921875" defaultRowHeight="15" customHeight="1"/>
  <cols>
    <col min="1" max="1" width="30.59765625" customWidth="1"/>
    <col min="6" max="6" width="30.796875" customWidth="1"/>
  </cols>
  <sheetData>
    <row r="1" spans="1:24" ht="48.75" customHeight="1">
      <c r="A1" s="811" t="s">
        <v>315</v>
      </c>
      <c r="B1" s="796"/>
      <c r="C1" s="796"/>
      <c r="D1" s="796"/>
      <c r="E1" s="796"/>
      <c r="F1" s="790"/>
      <c r="G1" s="349"/>
      <c r="H1" s="348"/>
      <c r="I1" s="348"/>
      <c r="J1" s="348"/>
      <c r="K1" s="348"/>
      <c r="L1" s="348"/>
      <c r="M1" s="348"/>
      <c r="N1" s="348"/>
      <c r="O1" s="348"/>
      <c r="P1" s="348"/>
      <c r="Q1" s="348"/>
      <c r="R1" s="348"/>
      <c r="S1" s="348"/>
      <c r="T1" s="348"/>
      <c r="U1" s="348"/>
      <c r="V1" s="348"/>
      <c r="W1" s="348"/>
      <c r="X1" s="348"/>
    </row>
    <row r="2" spans="1:24" ht="15.6">
      <c r="A2" s="350"/>
      <c r="B2" s="351"/>
      <c r="C2" s="351"/>
      <c r="D2" s="351"/>
      <c r="E2" s="351"/>
      <c r="F2" s="351"/>
      <c r="G2" s="348"/>
      <c r="H2" s="348"/>
      <c r="I2" s="348"/>
      <c r="J2" s="348"/>
      <c r="K2" s="348"/>
      <c r="L2" s="348"/>
      <c r="M2" s="348"/>
      <c r="N2" s="348"/>
      <c r="O2" s="348"/>
      <c r="P2" s="348"/>
      <c r="Q2" s="348"/>
      <c r="R2" s="348"/>
      <c r="S2" s="348"/>
      <c r="T2" s="348"/>
      <c r="U2" s="348"/>
      <c r="V2" s="348"/>
      <c r="W2" s="348"/>
      <c r="X2" s="348"/>
    </row>
    <row r="3" spans="1:24" ht="16.8">
      <c r="A3" s="695"/>
      <c r="B3" s="812" t="s">
        <v>442</v>
      </c>
      <c r="C3" s="813"/>
      <c r="D3" s="813"/>
      <c r="E3" s="813"/>
      <c r="F3" s="814"/>
      <c r="G3" s="352"/>
      <c r="H3" s="348"/>
      <c r="I3" s="348"/>
      <c r="J3" s="348"/>
      <c r="K3" s="348"/>
      <c r="L3" s="348"/>
      <c r="M3" s="348"/>
      <c r="N3" s="348"/>
      <c r="O3" s="348"/>
      <c r="P3" s="348"/>
      <c r="Q3" s="348"/>
      <c r="R3" s="348"/>
      <c r="S3" s="348"/>
      <c r="T3" s="348"/>
      <c r="U3" s="348"/>
      <c r="V3" s="348"/>
      <c r="W3" s="348"/>
      <c r="X3" s="348"/>
    </row>
    <row r="4" spans="1:24" ht="145.80000000000001" customHeight="1">
      <c r="A4" s="696" t="s">
        <v>443</v>
      </c>
      <c r="B4" s="815" t="s">
        <v>463</v>
      </c>
      <c r="C4" s="816"/>
      <c r="D4" s="816"/>
      <c r="E4" s="816"/>
      <c r="F4" s="817"/>
      <c r="G4" s="352"/>
      <c r="H4" s="348"/>
      <c r="I4" s="348"/>
      <c r="J4" s="348"/>
      <c r="K4" s="348"/>
      <c r="L4" s="348"/>
      <c r="M4" s="348"/>
      <c r="N4" s="348"/>
      <c r="O4" s="348"/>
      <c r="P4" s="348"/>
      <c r="Q4" s="348"/>
      <c r="R4" s="348"/>
      <c r="S4" s="348"/>
      <c r="T4" s="348"/>
      <c r="U4" s="348"/>
      <c r="V4" s="348"/>
      <c r="W4" s="348"/>
      <c r="X4" s="348"/>
    </row>
    <row r="5" spans="1:24" ht="15.6">
      <c r="A5" s="697"/>
      <c r="B5" s="818"/>
      <c r="C5" s="819"/>
      <c r="D5" s="819"/>
      <c r="E5" s="819"/>
      <c r="F5" s="820"/>
      <c r="G5" s="352"/>
      <c r="H5" s="348"/>
      <c r="I5" s="348"/>
      <c r="J5" s="348"/>
      <c r="K5" s="348"/>
      <c r="L5" s="348"/>
      <c r="M5" s="348"/>
      <c r="N5" s="348"/>
      <c r="O5" s="348"/>
      <c r="P5" s="348"/>
      <c r="Q5" s="348"/>
      <c r="R5" s="348"/>
      <c r="S5" s="348"/>
      <c r="T5" s="348"/>
      <c r="U5" s="348"/>
      <c r="V5" s="348"/>
      <c r="W5" s="348"/>
      <c r="X5" s="348"/>
    </row>
    <row r="6" spans="1:24" ht="186.6" customHeight="1">
      <c r="A6" s="696" t="s">
        <v>444</v>
      </c>
      <c r="B6" s="815" t="s">
        <v>464</v>
      </c>
      <c r="C6" s="816"/>
      <c r="D6" s="816"/>
      <c r="E6" s="816"/>
      <c r="F6" s="817"/>
      <c r="G6" s="352"/>
      <c r="H6" s="348"/>
      <c r="I6" s="348"/>
      <c r="J6" s="348"/>
      <c r="K6" s="348"/>
      <c r="L6" s="348"/>
      <c r="M6" s="348"/>
      <c r="N6" s="348"/>
      <c r="O6" s="348"/>
      <c r="P6" s="348"/>
      <c r="Q6" s="348"/>
      <c r="R6" s="348"/>
      <c r="S6" s="348"/>
      <c r="T6" s="348"/>
      <c r="U6" s="348"/>
      <c r="V6" s="348"/>
      <c r="W6" s="348"/>
      <c r="X6" s="348"/>
    </row>
    <row r="7" spans="1:24" ht="15.6">
      <c r="A7" s="697"/>
      <c r="B7" s="818"/>
      <c r="C7" s="819"/>
      <c r="D7" s="819"/>
      <c r="E7" s="819"/>
      <c r="F7" s="820"/>
      <c r="G7" s="352"/>
      <c r="H7" s="348"/>
      <c r="I7" s="348"/>
      <c r="J7" s="348"/>
      <c r="K7" s="348"/>
      <c r="L7" s="348"/>
      <c r="M7" s="348"/>
      <c r="N7" s="348"/>
      <c r="O7" s="348"/>
      <c r="P7" s="348"/>
      <c r="Q7" s="348"/>
      <c r="R7" s="348"/>
      <c r="S7" s="348"/>
      <c r="T7" s="348"/>
      <c r="U7" s="348"/>
      <c r="V7" s="348"/>
      <c r="W7" s="348"/>
      <c r="X7" s="348"/>
    </row>
    <row r="8" spans="1:24" ht="54" customHeight="1">
      <c r="A8" s="696" t="s">
        <v>445</v>
      </c>
      <c r="B8" s="815" t="s">
        <v>457</v>
      </c>
      <c r="C8" s="816"/>
      <c r="D8" s="816"/>
      <c r="E8" s="816"/>
      <c r="F8" s="817"/>
      <c r="G8" s="352"/>
      <c r="H8" s="348"/>
      <c r="I8" s="348"/>
      <c r="J8" s="348"/>
      <c r="K8" s="348"/>
      <c r="L8" s="348"/>
      <c r="M8" s="348"/>
      <c r="N8" s="348"/>
      <c r="O8" s="348"/>
      <c r="P8" s="348"/>
      <c r="Q8" s="348"/>
      <c r="R8" s="348"/>
      <c r="S8" s="348"/>
      <c r="T8" s="348"/>
      <c r="U8" s="348"/>
      <c r="V8" s="348"/>
      <c r="W8" s="348"/>
      <c r="X8" s="348"/>
    </row>
    <row r="9" spans="1:24" ht="15.6">
      <c r="A9" s="698"/>
      <c r="B9" s="818"/>
      <c r="C9" s="819"/>
      <c r="D9" s="819"/>
      <c r="E9" s="819"/>
      <c r="F9" s="820"/>
      <c r="G9" s="352"/>
      <c r="H9" s="348"/>
      <c r="I9" s="348"/>
      <c r="J9" s="348"/>
      <c r="K9" s="348"/>
      <c r="L9" s="348"/>
      <c r="M9" s="348"/>
      <c r="N9" s="348"/>
      <c r="O9" s="348"/>
      <c r="P9" s="348"/>
      <c r="Q9" s="348"/>
      <c r="R9" s="348"/>
      <c r="S9" s="348"/>
      <c r="T9" s="348"/>
      <c r="U9" s="348"/>
      <c r="V9" s="348"/>
      <c r="W9" s="348"/>
      <c r="X9" s="348"/>
    </row>
    <row r="10" spans="1:24" ht="57.6" customHeight="1">
      <c r="A10" s="699" t="s">
        <v>446</v>
      </c>
      <c r="B10" s="815" t="s">
        <v>458</v>
      </c>
      <c r="C10" s="816"/>
      <c r="D10" s="816"/>
      <c r="E10" s="816"/>
      <c r="F10" s="817"/>
      <c r="G10" s="352"/>
      <c r="H10" s="348"/>
      <c r="I10" s="348"/>
      <c r="J10" s="348"/>
      <c r="K10" s="348"/>
      <c r="L10" s="348"/>
      <c r="M10" s="348"/>
      <c r="N10" s="348"/>
      <c r="O10" s="348"/>
      <c r="P10" s="348"/>
      <c r="Q10" s="348"/>
      <c r="R10" s="348"/>
      <c r="S10" s="348"/>
      <c r="T10" s="348"/>
      <c r="U10" s="348"/>
      <c r="V10" s="348"/>
      <c r="W10" s="348"/>
      <c r="X10" s="348"/>
    </row>
    <row r="11" spans="1:24" ht="15.6">
      <c r="A11" s="697"/>
      <c r="B11" s="818"/>
      <c r="C11" s="819"/>
      <c r="D11" s="819"/>
      <c r="E11" s="819"/>
      <c r="F11" s="820"/>
      <c r="G11" s="352"/>
      <c r="H11" s="348"/>
      <c r="I11" s="348"/>
      <c r="J11" s="348"/>
      <c r="K11" s="348"/>
      <c r="L11" s="348"/>
      <c r="M11" s="348"/>
      <c r="N11" s="348"/>
      <c r="O11" s="348"/>
      <c r="P11" s="348"/>
      <c r="Q11" s="348"/>
      <c r="R11" s="348"/>
      <c r="S11" s="348"/>
      <c r="T11" s="348"/>
      <c r="U11" s="348"/>
      <c r="V11" s="348"/>
      <c r="W11" s="348"/>
      <c r="X11" s="348"/>
    </row>
    <row r="12" spans="1:24" ht="46.8" customHeight="1">
      <c r="A12" s="696" t="s">
        <v>447</v>
      </c>
      <c r="B12" s="815" t="s">
        <v>448</v>
      </c>
      <c r="C12" s="816"/>
      <c r="D12" s="816"/>
      <c r="E12" s="816"/>
      <c r="F12" s="817"/>
      <c r="G12" s="352"/>
      <c r="H12" s="348"/>
      <c r="I12" s="348"/>
      <c r="J12" s="348"/>
      <c r="K12" s="348"/>
      <c r="L12" s="348"/>
      <c r="M12" s="348"/>
      <c r="N12" s="348"/>
      <c r="O12" s="348"/>
      <c r="P12" s="348"/>
      <c r="Q12" s="348"/>
      <c r="R12" s="348"/>
      <c r="S12" s="348"/>
      <c r="T12" s="348"/>
      <c r="U12" s="348"/>
      <c r="V12" s="348"/>
      <c r="W12" s="348"/>
      <c r="X12" s="348"/>
    </row>
    <row r="13" spans="1:24" ht="15.6">
      <c r="A13" s="697"/>
      <c r="B13" s="818"/>
      <c r="C13" s="819"/>
      <c r="D13" s="819"/>
      <c r="E13" s="819"/>
      <c r="F13" s="820"/>
      <c r="G13" s="352"/>
      <c r="H13" s="348"/>
      <c r="I13" s="348"/>
      <c r="J13" s="348"/>
      <c r="K13" s="348"/>
      <c r="L13" s="348"/>
      <c r="M13" s="348"/>
      <c r="N13" s="348"/>
      <c r="O13" s="348"/>
      <c r="P13" s="348"/>
      <c r="Q13" s="348"/>
      <c r="R13" s="348"/>
      <c r="S13" s="348"/>
      <c r="T13" s="348"/>
      <c r="U13" s="348"/>
      <c r="V13" s="348"/>
      <c r="W13" s="348"/>
      <c r="X13" s="348"/>
    </row>
    <row r="14" spans="1:24" ht="150" customHeight="1">
      <c r="A14" s="696" t="s">
        <v>449</v>
      </c>
      <c r="B14" s="815" t="s">
        <v>459</v>
      </c>
      <c r="C14" s="816"/>
      <c r="D14" s="816"/>
      <c r="E14" s="816"/>
      <c r="F14" s="817"/>
      <c r="G14" s="352"/>
      <c r="H14" s="348"/>
      <c r="I14" s="348"/>
      <c r="J14" s="348"/>
      <c r="K14" s="348"/>
      <c r="L14" s="348"/>
      <c r="M14" s="348"/>
      <c r="N14" s="348"/>
      <c r="O14" s="348"/>
      <c r="P14" s="348"/>
      <c r="Q14" s="348"/>
      <c r="R14" s="348"/>
      <c r="S14" s="348"/>
      <c r="T14" s="348"/>
      <c r="U14" s="348"/>
      <c r="V14" s="348"/>
      <c r="W14" s="348"/>
      <c r="X14" s="348"/>
    </row>
    <row r="15" spans="1:24" ht="15.6">
      <c r="A15" s="700"/>
      <c r="B15" s="830"/>
      <c r="C15" s="831"/>
      <c r="D15" s="831"/>
      <c r="E15" s="831"/>
      <c r="F15" s="832"/>
      <c r="G15" s="352"/>
      <c r="H15" s="348"/>
      <c r="I15" s="348"/>
      <c r="J15" s="348"/>
      <c r="K15" s="348"/>
      <c r="L15" s="348"/>
      <c r="M15" s="348"/>
      <c r="N15" s="348"/>
      <c r="O15" s="348"/>
      <c r="P15" s="348"/>
      <c r="Q15" s="348"/>
      <c r="R15" s="348"/>
      <c r="S15" s="348"/>
      <c r="T15" s="348"/>
      <c r="U15" s="348"/>
      <c r="V15" s="348"/>
      <c r="W15" s="348"/>
      <c r="X15" s="348"/>
    </row>
    <row r="16" spans="1:24" ht="15.6">
      <c r="A16" s="701"/>
      <c r="B16" s="710"/>
      <c r="C16" s="710"/>
      <c r="D16" s="710"/>
      <c r="E16" s="710"/>
      <c r="F16" s="710"/>
      <c r="G16" s="352"/>
      <c r="H16" s="348"/>
      <c r="I16" s="348"/>
      <c r="J16" s="348"/>
      <c r="K16" s="348"/>
      <c r="L16" s="348"/>
      <c r="M16" s="348"/>
      <c r="N16" s="348"/>
      <c r="O16" s="348"/>
      <c r="P16" s="348"/>
      <c r="Q16" s="348"/>
      <c r="R16" s="348"/>
      <c r="S16" s="348"/>
      <c r="T16" s="348"/>
      <c r="U16" s="348"/>
      <c r="V16" s="348"/>
      <c r="W16" s="348"/>
      <c r="X16" s="348"/>
    </row>
    <row r="17" spans="1:24" ht="16.8">
      <c r="A17" s="702"/>
      <c r="B17" s="833" t="s">
        <v>450</v>
      </c>
      <c r="C17" s="834"/>
      <c r="D17" s="834"/>
      <c r="E17" s="834"/>
      <c r="F17" s="835"/>
      <c r="G17" s="352"/>
      <c r="H17" s="348"/>
      <c r="I17" s="348"/>
      <c r="J17" s="348"/>
      <c r="K17" s="348"/>
      <c r="L17" s="348"/>
      <c r="M17" s="348"/>
      <c r="N17" s="348"/>
      <c r="O17" s="348"/>
      <c r="P17" s="348"/>
      <c r="Q17" s="348"/>
      <c r="R17" s="348"/>
      <c r="S17" s="348"/>
      <c r="T17" s="348"/>
      <c r="U17" s="348"/>
      <c r="V17" s="348"/>
      <c r="W17" s="348"/>
      <c r="X17" s="348"/>
    </row>
    <row r="18" spans="1:24" ht="31.2" customHeight="1">
      <c r="A18" s="703" t="s">
        <v>451</v>
      </c>
      <c r="B18" s="827" t="s">
        <v>461</v>
      </c>
      <c r="C18" s="828"/>
      <c r="D18" s="828"/>
      <c r="E18" s="828"/>
      <c r="F18" s="829"/>
      <c r="G18" s="352"/>
      <c r="H18" s="348"/>
      <c r="I18" s="348"/>
      <c r="J18" s="348"/>
      <c r="K18" s="348"/>
      <c r="L18" s="348"/>
      <c r="M18" s="348"/>
      <c r="N18" s="348"/>
      <c r="O18" s="348"/>
      <c r="P18" s="348"/>
      <c r="Q18" s="348"/>
      <c r="R18" s="348"/>
      <c r="S18" s="348"/>
      <c r="T18" s="348"/>
      <c r="U18" s="348"/>
      <c r="V18" s="348"/>
      <c r="W18" s="348"/>
      <c r="X18" s="348"/>
    </row>
    <row r="19" spans="1:24" ht="15.6">
      <c r="A19" s="704"/>
      <c r="B19" s="711"/>
      <c r="C19" s="711"/>
      <c r="D19" s="711"/>
      <c r="E19" s="711"/>
      <c r="F19" s="712"/>
      <c r="G19" s="352"/>
      <c r="H19" s="348"/>
      <c r="I19" s="348"/>
      <c r="J19" s="348"/>
      <c r="K19" s="348"/>
      <c r="L19" s="348"/>
      <c r="M19" s="348"/>
      <c r="N19" s="348"/>
      <c r="O19" s="348"/>
      <c r="P19" s="348"/>
      <c r="Q19" s="348"/>
      <c r="R19" s="348"/>
      <c r="S19" s="348"/>
      <c r="T19" s="348"/>
      <c r="U19" s="348"/>
      <c r="V19" s="348"/>
      <c r="W19" s="348"/>
      <c r="X19" s="348"/>
    </row>
    <row r="20" spans="1:24" ht="31.2" customHeight="1">
      <c r="A20" s="703" t="s">
        <v>452</v>
      </c>
      <c r="B20" s="827" t="s">
        <v>462</v>
      </c>
      <c r="C20" s="828"/>
      <c r="D20" s="828"/>
      <c r="E20" s="828"/>
      <c r="F20" s="829"/>
      <c r="G20" s="352"/>
      <c r="H20" s="348"/>
      <c r="I20" s="348"/>
      <c r="J20" s="348"/>
      <c r="K20" s="348"/>
      <c r="L20" s="348"/>
      <c r="M20" s="348"/>
      <c r="N20" s="348"/>
      <c r="O20" s="348"/>
      <c r="P20" s="348"/>
      <c r="Q20" s="348"/>
      <c r="R20" s="348"/>
      <c r="S20" s="348"/>
      <c r="T20" s="348"/>
      <c r="U20" s="348"/>
      <c r="V20" s="348"/>
      <c r="W20" s="348"/>
      <c r="X20" s="348"/>
    </row>
    <row r="21" spans="1:24" ht="15.75" customHeight="1">
      <c r="A21" s="704"/>
      <c r="B21" s="711"/>
      <c r="C21" s="711"/>
      <c r="D21" s="711"/>
      <c r="E21" s="711"/>
      <c r="F21" s="712"/>
      <c r="G21" s="353"/>
      <c r="H21" s="354"/>
      <c r="I21" s="354"/>
      <c r="J21" s="354"/>
      <c r="K21" s="354"/>
      <c r="L21" s="354"/>
      <c r="M21" s="354"/>
      <c r="N21" s="354"/>
      <c r="O21" s="354"/>
      <c r="P21" s="354"/>
      <c r="Q21" s="354"/>
      <c r="R21" s="354"/>
      <c r="S21" s="354"/>
      <c r="T21" s="354"/>
      <c r="U21" s="354"/>
      <c r="V21" s="354"/>
      <c r="W21" s="354"/>
      <c r="X21" s="354"/>
    </row>
    <row r="22" spans="1:24" ht="69" customHeight="1">
      <c r="A22" s="703" t="s">
        <v>453</v>
      </c>
      <c r="B22" s="827" t="s">
        <v>465</v>
      </c>
      <c r="C22" s="828"/>
      <c r="D22" s="828"/>
      <c r="E22" s="828"/>
      <c r="F22" s="829"/>
      <c r="G22" s="353"/>
      <c r="H22" s="354"/>
      <c r="I22" s="354"/>
      <c r="J22" s="354"/>
      <c r="K22" s="354"/>
      <c r="L22" s="354"/>
      <c r="M22" s="354"/>
      <c r="N22" s="354"/>
      <c r="O22" s="354"/>
      <c r="P22" s="354"/>
      <c r="Q22" s="354"/>
      <c r="R22" s="354"/>
      <c r="S22" s="354"/>
      <c r="T22" s="354"/>
      <c r="U22" s="354"/>
      <c r="V22" s="354"/>
      <c r="W22" s="354"/>
      <c r="X22" s="354"/>
    </row>
    <row r="23" spans="1:24" ht="15.6">
      <c r="A23" s="705"/>
      <c r="B23" s="713"/>
      <c r="C23" s="713"/>
      <c r="D23" s="713"/>
      <c r="E23" s="713"/>
      <c r="F23" s="714"/>
      <c r="G23" s="352"/>
      <c r="H23" s="348"/>
      <c r="I23" s="348"/>
      <c r="J23" s="348"/>
      <c r="K23" s="348"/>
      <c r="L23" s="348"/>
      <c r="M23" s="348"/>
      <c r="N23" s="348"/>
      <c r="O23" s="348"/>
      <c r="P23" s="348"/>
      <c r="Q23" s="348"/>
      <c r="R23" s="348"/>
      <c r="S23" s="348"/>
      <c r="T23" s="348"/>
      <c r="U23" s="348"/>
      <c r="V23" s="348"/>
      <c r="W23" s="348"/>
      <c r="X23" s="348"/>
    </row>
    <row r="24" spans="1:24" ht="15.6">
      <c r="A24" s="706" t="s">
        <v>454</v>
      </c>
      <c r="B24" s="821" t="s">
        <v>455</v>
      </c>
      <c r="C24" s="822"/>
      <c r="D24" s="822"/>
      <c r="E24" s="822"/>
      <c r="F24" s="823"/>
      <c r="G24" s="352"/>
      <c r="H24" s="348"/>
      <c r="I24" s="348"/>
      <c r="J24" s="348"/>
      <c r="K24" s="348"/>
      <c r="L24" s="348"/>
      <c r="M24" s="348"/>
      <c r="N24" s="348"/>
      <c r="O24" s="348"/>
      <c r="P24" s="348"/>
      <c r="Q24" s="348"/>
      <c r="R24" s="348"/>
      <c r="S24" s="348"/>
      <c r="T24" s="348"/>
      <c r="U24" s="348"/>
      <c r="V24" s="348"/>
      <c r="W24" s="348"/>
      <c r="X24" s="348"/>
    </row>
    <row r="25" spans="1:24" ht="15.6">
      <c r="A25" s="704"/>
      <c r="B25" s="711"/>
      <c r="C25" s="711"/>
      <c r="D25" s="711"/>
      <c r="E25" s="711"/>
      <c r="F25" s="712"/>
      <c r="G25" s="352"/>
      <c r="H25" s="348"/>
      <c r="I25" s="348"/>
      <c r="J25" s="348"/>
      <c r="K25" s="348"/>
      <c r="L25" s="348"/>
      <c r="M25" s="348"/>
      <c r="N25" s="348"/>
      <c r="O25" s="348"/>
      <c r="P25" s="348"/>
      <c r="Q25" s="348"/>
      <c r="R25" s="348"/>
      <c r="S25" s="348"/>
      <c r="T25" s="348"/>
      <c r="U25" s="348"/>
      <c r="V25" s="348"/>
      <c r="W25" s="348"/>
      <c r="X25" s="348"/>
    </row>
    <row r="26" spans="1:24" ht="15.6" customHeight="1">
      <c r="A26" s="707" t="s">
        <v>456</v>
      </c>
      <c r="B26" s="824" t="s">
        <v>460</v>
      </c>
      <c r="C26" s="825"/>
      <c r="D26" s="825"/>
      <c r="E26" s="825"/>
      <c r="F26" s="826"/>
      <c r="G26" s="352"/>
      <c r="H26" s="348"/>
      <c r="I26" s="348"/>
      <c r="J26" s="348"/>
      <c r="K26" s="348"/>
      <c r="L26" s="348"/>
      <c r="M26" s="348"/>
      <c r="N26" s="348"/>
      <c r="O26" s="348"/>
      <c r="P26" s="348"/>
      <c r="Q26" s="348"/>
      <c r="R26" s="348"/>
      <c r="S26" s="348"/>
      <c r="T26" s="348"/>
      <c r="U26" s="348"/>
      <c r="V26" s="348"/>
      <c r="W26" s="348"/>
      <c r="X26" s="348"/>
    </row>
    <row r="27" spans="1:24" ht="15.6">
      <c r="A27" s="355"/>
      <c r="B27" s="347"/>
      <c r="C27" s="347"/>
      <c r="D27" s="347"/>
      <c r="E27" s="347"/>
      <c r="F27" s="347"/>
      <c r="G27" s="348"/>
      <c r="H27" s="348"/>
      <c r="I27" s="348"/>
      <c r="J27" s="348"/>
      <c r="K27" s="348"/>
      <c r="L27" s="348"/>
      <c r="M27" s="348"/>
      <c r="N27" s="348"/>
      <c r="O27" s="348"/>
      <c r="P27" s="348"/>
      <c r="Q27" s="348"/>
      <c r="R27" s="348"/>
      <c r="S27" s="348"/>
      <c r="T27" s="348"/>
      <c r="U27" s="348"/>
      <c r="V27" s="348"/>
      <c r="W27" s="348"/>
      <c r="X27" s="348"/>
    </row>
    <row r="28" spans="1:24" ht="15.6">
      <c r="A28" s="356"/>
      <c r="B28" s="348"/>
      <c r="C28" s="348"/>
      <c r="D28" s="348"/>
      <c r="E28" s="348"/>
      <c r="F28" s="348"/>
      <c r="G28" s="348"/>
      <c r="H28" s="348"/>
      <c r="I28" s="348"/>
      <c r="J28" s="348"/>
      <c r="K28" s="348"/>
      <c r="L28" s="348"/>
      <c r="M28" s="348"/>
      <c r="N28" s="348"/>
      <c r="O28" s="348"/>
      <c r="P28" s="348"/>
      <c r="Q28" s="348"/>
      <c r="R28" s="348"/>
      <c r="S28" s="348"/>
      <c r="T28" s="348"/>
      <c r="U28" s="348"/>
      <c r="V28" s="348"/>
      <c r="W28" s="348"/>
      <c r="X28" s="348"/>
    </row>
    <row r="29" spans="1:24" ht="15.6">
      <c r="A29" s="356"/>
      <c r="B29" s="348"/>
      <c r="C29" s="348"/>
      <c r="D29" s="348"/>
      <c r="E29" s="348"/>
      <c r="F29" s="348"/>
      <c r="G29" s="348"/>
      <c r="H29" s="348"/>
      <c r="I29" s="348"/>
      <c r="J29" s="348"/>
      <c r="K29" s="348"/>
      <c r="L29" s="348"/>
      <c r="M29" s="348"/>
      <c r="N29" s="348"/>
      <c r="O29" s="348"/>
      <c r="P29" s="348"/>
      <c r="Q29" s="348"/>
      <c r="R29" s="348"/>
      <c r="S29" s="348"/>
      <c r="T29" s="348"/>
      <c r="U29" s="348"/>
      <c r="V29" s="348"/>
      <c r="W29" s="348"/>
      <c r="X29" s="348"/>
    </row>
    <row r="30" spans="1:24" ht="15.6">
      <c r="A30" s="356"/>
      <c r="B30" s="348"/>
      <c r="C30" s="348"/>
      <c r="D30" s="348"/>
      <c r="E30" s="348"/>
      <c r="F30" s="348"/>
      <c r="G30" s="348"/>
      <c r="H30" s="348"/>
      <c r="I30" s="348"/>
      <c r="J30" s="348"/>
      <c r="K30" s="348"/>
      <c r="L30" s="348"/>
      <c r="M30" s="348"/>
      <c r="N30" s="348"/>
      <c r="O30" s="348"/>
      <c r="P30" s="348"/>
      <c r="Q30" s="348"/>
      <c r="R30" s="348"/>
      <c r="S30" s="348"/>
      <c r="T30" s="348"/>
      <c r="U30" s="348"/>
      <c r="V30" s="348"/>
      <c r="W30" s="348"/>
      <c r="X30" s="348"/>
    </row>
    <row r="31" spans="1:24" ht="15.6">
      <c r="A31" s="356"/>
      <c r="B31" s="348"/>
      <c r="C31" s="348"/>
      <c r="D31" s="348"/>
      <c r="E31" s="348"/>
      <c r="F31" s="348"/>
      <c r="G31" s="348"/>
      <c r="H31" s="348"/>
      <c r="I31" s="348"/>
      <c r="J31" s="348"/>
      <c r="K31" s="348"/>
      <c r="L31" s="348"/>
      <c r="M31" s="348"/>
      <c r="N31" s="348"/>
      <c r="O31" s="348"/>
      <c r="P31" s="348"/>
      <c r="Q31" s="348"/>
      <c r="R31" s="348"/>
      <c r="S31" s="348"/>
      <c r="T31" s="348"/>
      <c r="U31" s="348"/>
      <c r="V31" s="348"/>
      <c r="W31" s="348"/>
      <c r="X31" s="348"/>
    </row>
    <row r="32" spans="1:24" ht="15.6">
      <c r="A32" s="356"/>
      <c r="B32" s="348"/>
      <c r="C32" s="348"/>
      <c r="D32" s="348"/>
      <c r="E32" s="348"/>
      <c r="F32" s="348"/>
      <c r="G32" s="348"/>
      <c r="H32" s="348"/>
      <c r="I32" s="348"/>
      <c r="J32" s="348"/>
      <c r="K32" s="348"/>
      <c r="L32" s="348"/>
      <c r="M32" s="348"/>
      <c r="N32" s="348"/>
      <c r="O32" s="348"/>
      <c r="P32" s="348"/>
      <c r="Q32" s="348"/>
      <c r="R32" s="348"/>
      <c r="S32" s="348"/>
      <c r="T32" s="348"/>
      <c r="U32" s="348"/>
      <c r="V32" s="348"/>
      <c r="W32" s="348"/>
      <c r="X32" s="348"/>
    </row>
    <row r="33" spans="1:24" ht="15.6">
      <c r="A33" s="356"/>
      <c r="B33" s="348"/>
      <c r="C33" s="348"/>
      <c r="D33" s="348"/>
      <c r="E33" s="348"/>
      <c r="F33" s="348"/>
      <c r="G33" s="348"/>
      <c r="H33" s="348"/>
      <c r="I33" s="348"/>
      <c r="J33" s="348"/>
      <c r="K33" s="348"/>
      <c r="L33" s="348"/>
      <c r="M33" s="348"/>
      <c r="N33" s="348"/>
      <c r="O33" s="348"/>
      <c r="P33" s="348"/>
      <c r="Q33" s="348"/>
      <c r="R33" s="348"/>
      <c r="S33" s="348"/>
      <c r="T33" s="348"/>
      <c r="U33" s="348"/>
      <c r="V33" s="348"/>
      <c r="W33" s="348"/>
      <c r="X33" s="348"/>
    </row>
    <row r="34" spans="1:24" ht="15.6">
      <c r="A34" s="356"/>
      <c r="B34" s="348"/>
      <c r="C34" s="348"/>
      <c r="D34" s="348"/>
      <c r="E34" s="348"/>
      <c r="F34" s="348"/>
      <c r="G34" s="348"/>
      <c r="H34" s="348"/>
      <c r="I34" s="348"/>
      <c r="J34" s="348"/>
      <c r="K34" s="348"/>
      <c r="L34" s="348"/>
      <c r="M34" s="348"/>
      <c r="N34" s="348"/>
      <c r="O34" s="348"/>
      <c r="P34" s="348"/>
      <c r="Q34" s="348"/>
      <c r="R34" s="348"/>
      <c r="S34" s="348"/>
      <c r="T34" s="348"/>
      <c r="U34" s="348"/>
      <c r="V34" s="348"/>
      <c r="W34" s="348"/>
      <c r="X34" s="348"/>
    </row>
    <row r="35" spans="1:24" ht="15.6">
      <c r="A35" s="356"/>
      <c r="B35" s="348"/>
      <c r="C35" s="348"/>
      <c r="D35" s="348"/>
      <c r="E35" s="348"/>
      <c r="F35" s="348"/>
      <c r="G35" s="348"/>
      <c r="H35" s="348"/>
      <c r="I35" s="348"/>
      <c r="J35" s="348"/>
      <c r="K35" s="348"/>
      <c r="L35" s="348"/>
      <c r="M35" s="348"/>
      <c r="N35" s="348"/>
      <c r="O35" s="348"/>
      <c r="P35" s="348"/>
      <c r="Q35" s="348"/>
      <c r="R35" s="348"/>
      <c r="S35" s="348"/>
      <c r="T35" s="348"/>
      <c r="U35" s="348"/>
      <c r="V35" s="348"/>
      <c r="W35" s="348"/>
      <c r="X35" s="348"/>
    </row>
    <row r="36" spans="1:24" ht="15.6">
      <c r="A36" s="356"/>
      <c r="B36" s="348"/>
      <c r="C36" s="348"/>
      <c r="D36" s="348"/>
      <c r="E36" s="348"/>
      <c r="F36" s="348"/>
      <c r="G36" s="348"/>
      <c r="H36" s="348"/>
      <c r="I36" s="348"/>
      <c r="J36" s="348"/>
      <c r="K36" s="348"/>
      <c r="L36" s="348"/>
      <c r="M36" s="348"/>
      <c r="N36" s="348"/>
      <c r="O36" s="348"/>
      <c r="P36" s="348"/>
      <c r="Q36" s="348"/>
      <c r="R36" s="348"/>
      <c r="S36" s="348"/>
      <c r="T36" s="348"/>
      <c r="U36" s="348"/>
      <c r="V36" s="348"/>
      <c r="W36" s="348"/>
      <c r="X36" s="348"/>
    </row>
    <row r="37" spans="1:24" ht="15.6">
      <c r="A37" s="356"/>
      <c r="B37" s="348"/>
      <c r="C37" s="348"/>
      <c r="D37" s="348"/>
      <c r="E37" s="348"/>
      <c r="F37" s="348"/>
      <c r="G37" s="348"/>
      <c r="H37" s="348"/>
      <c r="I37" s="348"/>
      <c r="J37" s="348"/>
      <c r="K37" s="348"/>
      <c r="L37" s="348"/>
      <c r="M37" s="348"/>
      <c r="N37" s="348"/>
      <c r="O37" s="348"/>
      <c r="P37" s="348"/>
      <c r="Q37" s="348"/>
      <c r="R37" s="348"/>
      <c r="S37" s="348"/>
      <c r="T37" s="348"/>
      <c r="U37" s="348"/>
      <c r="V37" s="348"/>
      <c r="W37" s="348"/>
      <c r="X37" s="348"/>
    </row>
    <row r="38" spans="1:24" ht="15.6">
      <c r="A38" s="356"/>
      <c r="B38" s="348"/>
      <c r="C38" s="348"/>
      <c r="D38" s="348"/>
      <c r="E38" s="348"/>
      <c r="F38" s="348"/>
      <c r="G38" s="348"/>
      <c r="H38" s="348"/>
      <c r="I38" s="348"/>
      <c r="J38" s="348"/>
      <c r="K38" s="348"/>
      <c r="L38" s="348"/>
      <c r="M38" s="348"/>
      <c r="N38" s="348"/>
      <c r="O38" s="348"/>
      <c r="P38" s="348"/>
      <c r="Q38" s="348"/>
      <c r="R38" s="348"/>
      <c r="S38" s="348"/>
      <c r="T38" s="348"/>
      <c r="U38" s="348"/>
      <c r="V38" s="348"/>
      <c r="W38" s="348"/>
      <c r="X38" s="348"/>
    </row>
    <row r="39" spans="1:24" ht="15.6">
      <c r="A39" s="356"/>
      <c r="B39" s="348"/>
      <c r="C39" s="348"/>
      <c r="D39" s="348"/>
      <c r="E39" s="348"/>
      <c r="F39" s="348"/>
      <c r="G39" s="348"/>
      <c r="H39" s="348"/>
      <c r="I39" s="348"/>
      <c r="J39" s="348"/>
      <c r="K39" s="348"/>
      <c r="L39" s="348"/>
      <c r="M39" s="348"/>
      <c r="N39" s="348"/>
      <c r="O39" s="348"/>
      <c r="P39" s="348"/>
      <c r="Q39" s="348"/>
      <c r="R39" s="348"/>
      <c r="S39" s="348"/>
      <c r="T39" s="348"/>
      <c r="U39" s="348"/>
      <c r="V39" s="348"/>
      <c r="W39" s="348"/>
      <c r="X39" s="348"/>
    </row>
    <row r="40" spans="1:24" ht="15.6">
      <c r="A40" s="356"/>
      <c r="B40" s="348"/>
      <c r="C40" s="348"/>
      <c r="D40" s="348"/>
      <c r="E40" s="348"/>
      <c r="F40" s="348"/>
      <c r="G40" s="348"/>
      <c r="H40" s="348"/>
      <c r="I40" s="348"/>
      <c r="J40" s="348"/>
      <c r="K40" s="348"/>
      <c r="L40" s="348"/>
      <c r="M40" s="348"/>
      <c r="N40" s="348"/>
      <c r="O40" s="348"/>
      <c r="P40" s="348"/>
      <c r="Q40" s="348"/>
      <c r="R40" s="348"/>
      <c r="S40" s="348"/>
      <c r="T40" s="348"/>
      <c r="U40" s="348"/>
      <c r="V40" s="348"/>
      <c r="W40" s="348"/>
      <c r="X40" s="348"/>
    </row>
    <row r="41" spans="1:24" ht="15.6">
      <c r="A41" s="356"/>
      <c r="B41" s="348"/>
      <c r="C41" s="348"/>
      <c r="D41" s="348"/>
      <c r="E41" s="348"/>
      <c r="F41" s="348"/>
      <c r="G41" s="348"/>
      <c r="H41" s="348"/>
      <c r="I41" s="348"/>
      <c r="J41" s="348"/>
      <c r="K41" s="348"/>
      <c r="L41" s="348"/>
      <c r="M41" s="348"/>
      <c r="N41" s="348"/>
      <c r="O41" s="348"/>
      <c r="P41" s="348"/>
      <c r="Q41" s="348"/>
      <c r="R41" s="348"/>
      <c r="S41" s="348"/>
      <c r="T41" s="348"/>
      <c r="U41" s="348"/>
      <c r="V41" s="348"/>
      <c r="W41" s="348"/>
      <c r="X41" s="348"/>
    </row>
    <row r="42" spans="1:24" ht="15.6">
      <c r="A42" s="356"/>
      <c r="B42" s="348"/>
      <c r="C42" s="348"/>
      <c r="D42" s="348"/>
      <c r="E42" s="348"/>
      <c r="F42" s="348"/>
      <c r="G42" s="348"/>
      <c r="H42" s="348"/>
      <c r="I42" s="348"/>
      <c r="J42" s="348"/>
      <c r="K42" s="348"/>
      <c r="L42" s="348"/>
      <c r="M42" s="348"/>
      <c r="N42" s="348"/>
      <c r="O42" s="348"/>
      <c r="P42" s="348"/>
      <c r="Q42" s="348"/>
      <c r="R42" s="348"/>
      <c r="S42" s="348"/>
      <c r="T42" s="348"/>
      <c r="U42" s="348"/>
      <c r="V42" s="348"/>
      <c r="W42" s="348"/>
      <c r="X42" s="348"/>
    </row>
    <row r="43" spans="1:24" ht="15.6">
      <c r="A43" s="356"/>
      <c r="B43" s="348"/>
      <c r="C43" s="348"/>
      <c r="D43" s="348"/>
      <c r="E43" s="348"/>
      <c r="F43" s="348"/>
      <c r="G43" s="348"/>
      <c r="H43" s="348"/>
      <c r="I43" s="348"/>
      <c r="J43" s="348"/>
      <c r="K43" s="348"/>
      <c r="L43" s="348"/>
      <c r="M43" s="348"/>
      <c r="N43" s="348"/>
      <c r="O43" s="348"/>
      <c r="P43" s="348"/>
      <c r="Q43" s="348"/>
      <c r="R43" s="348"/>
      <c r="S43" s="348"/>
      <c r="T43" s="348"/>
      <c r="U43" s="348"/>
      <c r="V43" s="348"/>
      <c r="W43" s="348"/>
      <c r="X43" s="348"/>
    </row>
    <row r="44" spans="1:24" ht="15.6">
      <c r="A44" s="356"/>
      <c r="B44" s="348"/>
      <c r="C44" s="348"/>
      <c r="D44" s="348"/>
      <c r="E44" s="348"/>
      <c r="F44" s="348"/>
      <c r="G44" s="348"/>
      <c r="H44" s="348"/>
      <c r="I44" s="348"/>
      <c r="J44" s="348"/>
      <c r="K44" s="348"/>
      <c r="L44" s="348"/>
      <c r="M44" s="348"/>
      <c r="N44" s="348"/>
      <c r="O44" s="348"/>
      <c r="P44" s="348"/>
      <c r="Q44" s="348"/>
      <c r="R44" s="348"/>
      <c r="S44" s="348"/>
      <c r="T44" s="348"/>
      <c r="U44" s="348"/>
      <c r="V44" s="348"/>
      <c r="W44" s="348"/>
      <c r="X44" s="348"/>
    </row>
    <row r="45" spans="1:24" ht="15.6">
      <c r="A45" s="356"/>
      <c r="B45" s="348"/>
      <c r="C45" s="348"/>
      <c r="D45" s="348"/>
      <c r="E45" s="348"/>
      <c r="F45" s="348"/>
      <c r="G45" s="348"/>
      <c r="H45" s="348"/>
      <c r="I45" s="348"/>
      <c r="J45" s="348"/>
      <c r="K45" s="348"/>
      <c r="L45" s="348"/>
      <c r="M45" s="348"/>
      <c r="N45" s="348"/>
      <c r="O45" s="348"/>
      <c r="P45" s="348"/>
      <c r="Q45" s="348"/>
      <c r="R45" s="348"/>
      <c r="S45" s="348"/>
      <c r="T45" s="348"/>
      <c r="U45" s="348"/>
      <c r="V45" s="348"/>
      <c r="W45" s="348"/>
      <c r="X45" s="348"/>
    </row>
    <row r="46" spans="1:24" ht="15.6">
      <c r="A46" s="356"/>
      <c r="B46" s="348"/>
      <c r="C46" s="348"/>
      <c r="D46" s="348"/>
      <c r="E46" s="348"/>
      <c r="F46" s="348"/>
      <c r="G46" s="348"/>
      <c r="H46" s="348"/>
      <c r="I46" s="348"/>
      <c r="J46" s="348"/>
      <c r="K46" s="348"/>
      <c r="L46" s="348"/>
      <c r="M46" s="348"/>
      <c r="N46" s="348"/>
      <c r="O46" s="348"/>
      <c r="P46" s="348"/>
      <c r="Q46" s="348"/>
      <c r="R46" s="348"/>
      <c r="S46" s="348"/>
      <c r="T46" s="348"/>
      <c r="U46" s="348"/>
      <c r="V46" s="348"/>
      <c r="W46" s="348"/>
      <c r="X46" s="348"/>
    </row>
    <row r="47" spans="1:24" ht="15.6">
      <c r="A47" s="356"/>
      <c r="B47" s="348"/>
      <c r="C47" s="348"/>
      <c r="D47" s="348"/>
      <c r="E47" s="348"/>
      <c r="F47" s="348"/>
      <c r="G47" s="348"/>
      <c r="H47" s="348"/>
      <c r="I47" s="348"/>
      <c r="J47" s="348"/>
      <c r="K47" s="348"/>
      <c r="L47" s="348"/>
      <c r="M47" s="348"/>
      <c r="N47" s="348"/>
      <c r="O47" s="348"/>
      <c r="P47" s="348"/>
      <c r="Q47" s="348"/>
      <c r="R47" s="348"/>
      <c r="S47" s="348"/>
      <c r="T47" s="348"/>
      <c r="U47" s="348"/>
      <c r="V47" s="348"/>
      <c r="W47" s="348"/>
      <c r="X47" s="348"/>
    </row>
    <row r="48" spans="1:24" ht="15.6">
      <c r="A48" s="356"/>
      <c r="B48" s="348"/>
      <c r="C48" s="348"/>
      <c r="D48" s="348"/>
      <c r="E48" s="348"/>
      <c r="F48" s="348"/>
      <c r="G48" s="348"/>
      <c r="H48" s="348"/>
      <c r="I48" s="348"/>
      <c r="J48" s="348"/>
      <c r="K48" s="348"/>
      <c r="L48" s="348"/>
      <c r="M48" s="348"/>
      <c r="N48" s="348"/>
      <c r="O48" s="348"/>
      <c r="P48" s="348"/>
      <c r="Q48" s="348"/>
      <c r="R48" s="348"/>
      <c r="S48" s="348"/>
      <c r="T48" s="348"/>
      <c r="U48" s="348"/>
      <c r="V48" s="348"/>
      <c r="W48" s="348"/>
      <c r="X48" s="348"/>
    </row>
    <row r="49" spans="1:24" ht="15.6">
      <c r="A49" s="356"/>
      <c r="B49" s="348"/>
      <c r="C49" s="348"/>
      <c r="D49" s="348"/>
      <c r="E49" s="348"/>
      <c r="F49" s="348"/>
      <c r="G49" s="348"/>
      <c r="H49" s="348"/>
      <c r="I49" s="348"/>
      <c r="J49" s="348"/>
      <c r="K49" s="348"/>
      <c r="L49" s="348"/>
      <c r="M49" s="348"/>
      <c r="N49" s="348"/>
      <c r="O49" s="348"/>
      <c r="P49" s="348"/>
      <c r="Q49" s="348"/>
      <c r="R49" s="348"/>
      <c r="S49" s="348"/>
      <c r="T49" s="348"/>
      <c r="U49" s="348"/>
      <c r="V49" s="348"/>
      <c r="W49" s="348"/>
      <c r="X49" s="348"/>
    </row>
    <row r="50" spans="1:24" ht="15.6">
      <c r="A50" s="356"/>
      <c r="B50" s="348"/>
      <c r="C50" s="348"/>
      <c r="D50" s="348"/>
      <c r="E50" s="348"/>
      <c r="F50" s="348"/>
      <c r="G50" s="348"/>
      <c r="H50" s="348"/>
      <c r="I50" s="348"/>
      <c r="J50" s="348"/>
      <c r="K50" s="348"/>
      <c r="L50" s="348"/>
      <c r="M50" s="348"/>
      <c r="N50" s="348"/>
      <c r="O50" s="348"/>
      <c r="P50" s="348"/>
      <c r="Q50" s="348"/>
      <c r="R50" s="348"/>
      <c r="S50" s="348"/>
      <c r="T50" s="348"/>
      <c r="U50" s="348"/>
      <c r="V50" s="348"/>
      <c r="W50" s="348"/>
      <c r="X50" s="348"/>
    </row>
    <row r="51" spans="1:24" ht="15.6">
      <c r="A51" s="356"/>
      <c r="B51" s="348"/>
      <c r="C51" s="348"/>
      <c r="D51" s="348"/>
      <c r="E51" s="348"/>
      <c r="F51" s="348"/>
      <c r="G51" s="348"/>
      <c r="H51" s="348"/>
      <c r="I51" s="348"/>
      <c r="J51" s="348"/>
      <c r="K51" s="348"/>
      <c r="L51" s="348"/>
      <c r="M51" s="348"/>
      <c r="N51" s="348"/>
      <c r="O51" s="348"/>
      <c r="P51" s="348"/>
      <c r="Q51" s="348"/>
      <c r="R51" s="348"/>
      <c r="S51" s="348"/>
      <c r="T51" s="348"/>
      <c r="U51" s="348"/>
      <c r="V51" s="348"/>
      <c r="W51" s="348"/>
      <c r="X51" s="348"/>
    </row>
    <row r="52" spans="1:24" ht="15.6">
      <c r="A52" s="356"/>
      <c r="B52" s="348"/>
      <c r="C52" s="348"/>
      <c r="D52" s="348"/>
      <c r="E52" s="348"/>
      <c r="F52" s="348"/>
      <c r="G52" s="348"/>
      <c r="H52" s="348"/>
      <c r="I52" s="348"/>
      <c r="J52" s="348"/>
      <c r="K52" s="348"/>
      <c r="L52" s="348"/>
      <c r="M52" s="348"/>
      <c r="N52" s="348"/>
      <c r="O52" s="348"/>
      <c r="P52" s="348"/>
      <c r="Q52" s="348"/>
      <c r="R52" s="348"/>
      <c r="S52" s="348"/>
      <c r="T52" s="348"/>
      <c r="U52" s="348"/>
      <c r="V52" s="348"/>
      <c r="W52" s="348"/>
      <c r="X52" s="348"/>
    </row>
    <row r="53" spans="1:24" ht="15.6">
      <c r="A53" s="356"/>
      <c r="B53" s="348"/>
      <c r="C53" s="348"/>
      <c r="D53" s="348"/>
      <c r="E53" s="348"/>
      <c r="F53" s="348"/>
      <c r="G53" s="348"/>
      <c r="H53" s="348"/>
      <c r="I53" s="348"/>
      <c r="J53" s="348"/>
      <c r="K53" s="348"/>
      <c r="L53" s="348"/>
      <c r="M53" s="348"/>
      <c r="N53" s="348"/>
      <c r="O53" s="348"/>
      <c r="P53" s="348"/>
      <c r="Q53" s="348"/>
      <c r="R53" s="348"/>
      <c r="S53" s="348"/>
      <c r="T53" s="348"/>
      <c r="U53" s="348"/>
      <c r="V53" s="348"/>
      <c r="W53" s="348"/>
      <c r="X53" s="348"/>
    </row>
    <row r="54" spans="1:24" ht="15.6">
      <c r="A54" s="356"/>
      <c r="B54" s="348"/>
      <c r="C54" s="348"/>
      <c r="D54" s="348"/>
      <c r="E54" s="348"/>
      <c r="F54" s="348"/>
      <c r="G54" s="348"/>
      <c r="H54" s="348"/>
      <c r="I54" s="348"/>
      <c r="J54" s="348"/>
      <c r="K54" s="348"/>
      <c r="L54" s="348"/>
      <c r="M54" s="348"/>
      <c r="N54" s="348"/>
      <c r="O54" s="348"/>
      <c r="P54" s="348"/>
      <c r="Q54" s="348"/>
      <c r="R54" s="348"/>
      <c r="S54" s="348"/>
      <c r="T54" s="348"/>
      <c r="U54" s="348"/>
      <c r="V54" s="348"/>
      <c r="W54" s="348"/>
      <c r="X54" s="348"/>
    </row>
    <row r="55" spans="1:24" ht="15.6">
      <c r="A55" s="356"/>
      <c r="B55" s="348"/>
      <c r="C55" s="348"/>
      <c r="D55" s="348"/>
      <c r="E55" s="348"/>
      <c r="F55" s="348"/>
      <c r="G55" s="348"/>
      <c r="H55" s="348"/>
      <c r="I55" s="348"/>
      <c r="J55" s="348"/>
      <c r="K55" s="348"/>
      <c r="L55" s="348"/>
      <c r="M55" s="348"/>
      <c r="N55" s="348"/>
      <c r="O55" s="348"/>
      <c r="P55" s="348"/>
      <c r="Q55" s="348"/>
      <c r="R55" s="348"/>
      <c r="S55" s="348"/>
      <c r="T55" s="348"/>
      <c r="U55" s="348"/>
      <c r="V55" s="348"/>
      <c r="W55" s="348"/>
      <c r="X55" s="348"/>
    </row>
    <row r="56" spans="1:24" ht="15.6">
      <c r="A56" s="356"/>
      <c r="B56" s="348"/>
      <c r="C56" s="348"/>
      <c r="D56" s="348"/>
      <c r="E56" s="348"/>
      <c r="F56" s="348"/>
      <c r="G56" s="348"/>
      <c r="H56" s="348"/>
      <c r="I56" s="348"/>
      <c r="J56" s="348"/>
      <c r="K56" s="348"/>
      <c r="L56" s="348"/>
      <c r="M56" s="348"/>
      <c r="N56" s="348"/>
      <c r="O56" s="348"/>
      <c r="P56" s="348"/>
      <c r="Q56" s="348"/>
      <c r="R56" s="348"/>
      <c r="S56" s="348"/>
      <c r="T56" s="348"/>
      <c r="U56" s="348"/>
      <c r="V56" s="348"/>
      <c r="W56" s="348"/>
      <c r="X56" s="348"/>
    </row>
    <row r="57" spans="1:24" ht="15.6">
      <c r="A57" s="356"/>
      <c r="B57" s="348"/>
      <c r="C57" s="348"/>
      <c r="D57" s="348"/>
      <c r="E57" s="348"/>
      <c r="F57" s="348"/>
      <c r="G57" s="348"/>
      <c r="H57" s="348"/>
      <c r="I57" s="348"/>
      <c r="J57" s="348"/>
      <c r="K57" s="348"/>
      <c r="L57" s="348"/>
      <c r="M57" s="348"/>
      <c r="N57" s="348"/>
      <c r="O57" s="348"/>
      <c r="P57" s="348"/>
      <c r="Q57" s="348"/>
      <c r="R57" s="348"/>
      <c r="S57" s="348"/>
      <c r="T57" s="348"/>
      <c r="U57" s="348"/>
      <c r="V57" s="348"/>
      <c r="W57" s="348"/>
      <c r="X57" s="348"/>
    </row>
    <row r="58" spans="1:24" ht="15.6">
      <c r="A58" s="356"/>
      <c r="B58" s="348"/>
      <c r="C58" s="348"/>
      <c r="D58" s="348"/>
      <c r="E58" s="348"/>
      <c r="F58" s="348"/>
      <c r="G58" s="348"/>
      <c r="H58" s="348"/>
      <c r="I58" s="348"/>
      <c r="J58" s="348"/>
      <c r="K58" s="348"/>
      <c r="L58" s="348"/>
      <c r="M58" s="348"/>
      <c r="N58" s="348"/>
      <c r="O58" s="348"/>
      <c r="P58" s="348"/>
      <c r="Q58" s="348"/>
      <c r="R58" s="348"/>
      <c r="S58" s="348"/>
      <c r="T58" s="348"/>
      <c r="U58" s="348"/>
      <c r="V58" s="348"/>
      <c r="W58" s="348"/>
      <c r="X58" s="348"/>
    </row>
    <row r="59" spans="1:24" ht="15.6">
      <c r="A59" s="356"/>
      <c r="B59" s="348"/>
      <c r="C59" s="348"/>
      <c r="D59" s="348"/>
      <c r="E59" s="348"/>
      <c r="F59" s="348"/>
      <c r="G59" s="348"/>
      <c r="H59" s="348"/>
      <c r="I59" s="348"/>
      <c r="J59" s="348"/>
      <c r="K59" s="348"/>
      <c r="L59" s="348"/>
      <c r="M59" s="348"/>
      <c r="N59" s="348"/>
      <c r="O59" s="348"/>
      <c r="P59" s="348"/>
      <c r="Q59" s="348"/>
      <c r="R59" s="348"/>
      <c r="S59" s="348"/>
      <c r="T59" s="348"/>
      <c r="U59" s="348"/>
      <c r="V59" s="348"/>
      <c r="W59" s="348"/>
      <c r="X59" s="348"/>
    </row>
    <row r="60" spans="1:24" ht="15.6">
      <c r="A60" s="356"/>
      <c r="B60" s="348"/>
      <c r="C60" s="348"/>
      <c r="D60" s="348"/>
      <c r="E60" s="348"/>
      <c r="F60" s="348"/>
      <c r="G60" s="348"/>
      <c r="H60" s="348"/>
      <c r="I60" s="348"/>
      <c r="J60" s="348"/>
      <c r="K60" s="348"/>
      <c r="L60" s="348"/>
      <c r="M60" s="348"/>
      <c r="N60" s="348"/>
      <c r="O60" s="348"/>
      <c r="P60" s="348"/>
      <c r="Q60" s="348"/>
      <c r="R60" s="348"/>
      <c r="S60" s="348"/>
      <c r="T60" s="348"/>
      <c r="U60" s="348"/>
      <c r="V60" s="348"/>
      <c r="W60" s="348"/>
      <c r="X60" s="348"/>
    </row>
    <row r="61" spans="1:24" ht="15.6">
      <c r="A61" s="356"/>
      <c r="B61" s="348"/>
      <c r="C61" s="348"/>
      <c r="D61" s="348"/>
      <c r="E61" s="348"/>
      <c r="F61" s="348"/>
      <c r="G61" s="348"/>
      <c r="H61" s="348"/>
      <c r="I61" s="348"/>
      <c r="J61" s="348"/>
      <c r="K61" s="348"/>
      <c r="L61" s="348"/>
      <c r="M61" s="348"/>
      <c r="N61" s="348"/>
      <c r="O61" s="348"/>
      <c r="P61" s="348"/>
      <c r="Q61" s="348"/>
      <c r="R61" s="348"/>
      <c r="S61" s="348"/>
      <c r="T61" s="348"/>
      <c r="U61" s="348"/>
      <c r="V61" s="348"/>
      <c r="W61" s="348"/>
      <c r="X61" s="348"/>
    </row>
    <row r="62" spans="1:24" ht="15.6">
      <c r="A62" s="356"/>
      <c r="B62" s="348"/>
      <c r="C62" s="348"/>
      <c r="D62" s="348"/>
      <c r="E62" s="348"/>
      <c r="F62" s="348"/>
      <c r="G62" s="348"/>
      <c r="H62" s="348"/>
      <c r="I62" s="348"/>
      <c r="J62" s="348"/>
      <c r="K62" s="348"/>
      <c r="L62" s="348"/>
      <c r="M62" s="348"/>
      <c r="N62" s="348"/>
      <c r="O62" s="348"/>
      <c r="P62" s="348"/>
      <c r="Q62" s="348"/>
      <c r="R62" s="348"/>
      <c r="S62" s="348"/>
      <c r="T62" s="348"/>
      <c r="U62" s="348"/>
      <c r="V62" s="348"/>
      <c r="W62" s="348"/>
      <c r="X62" s="348"/>
    </row>
    <row r="63" spans="1:24" ht="15.6">
      <c r="A63" s="356"/>
      <c r="B63" s="348"/>
      <c r="C63" s="348"/>
      <c r="D63" s="348"/>
      <c r="E63" s="348"/>
      <c r="F63" s="348"/>
      <c r="G63" s="348"/>
      <c r="H63" s="348"/>
      <c r="I63" s="348"/>
      <c r="J63" s="348"/>
      <c r="K63" s="348"/>
      <c r="L63" s="348"/>
      <c r="M63" s="348"/>
      <c r="N63" s="348"/>
      <c r="O63" s="348"/>
      <c r="P63" s="348"/>
      <c r="Q63" s="348"/>
      <c r="R63" s="348"/>
      <c r="S63" s="348"/>
      <c r="T63" s="348"/>
      <c r="U63" s="348"/>
      <c r="V63" s="348"/>
      <c r="W63" s="348"/>
      <c r="X63" s="348"/>
    </row>
    <row r="64" spans="1:24" ht="15.6">
      <c r="A64" s="356"/>
      <c r="B64" s="348"/>
      <c r="C64" s="348"/>
      <c r="D64" s="348"/>
      <c r="E64" s="348"/>
      <c r="F64" s="348"/>
      <c r="G64" s="348"/>
      <c r="H64" s="348"/>
      <c r="I64" s="348"/>
      <c r="J64" s="348"/>
      <c r="K64" s="348"/>
      <c r="L64" s="348"/>
      <c r="M64" s="348"/>
      <c r="N64" s="348"/>
      <c r="O64" s="348"/>
      <c r="P64" s="348"/>
      <c r="Q64" s="348"/>
      <c r="R64" s="348"/>
      <c r="S64" s="348"/>
      <c r="T64" s="348"/>
      <c r="U64" s="348"/>
      <c r="V64" s="348"/>
      <c r="W64" s="348"/>
      <c r="X64" s="348"/>
    </row>
    <row r="65" spans="1:24" ht="15.6">
      <c r="A65" s="356"/>
      <c r="B65" s="348"/>
      <c r="C65" s="348"/>
      <c r="D65" s="348"/>
      <c r="E65" s="348"/>
      <c r="F65" s="348"/>
      <c r="G65" s="348"/>
      <c r="H65" s="348"/>
      <c r="I65" s="348"/>
      <c r="J65" s="348"/>
      <c r="K65" s="348"/>
      <c r="L65" s="348"/>
      <c r="M65" s="348"/>
      <c r="N65" s="348"/>
      <c r="O65" s="348"/>
      <c r="P65" s="348"/>
      <c r="Q65" s="348"/>
      <c r="R65" s="348"/>
      <c r="S65" s="348"/>
      <c r="T65" s="348"/>
      <c r="U65" s="348"/>
      <c r="V65" s="348"/>
      <c r="W65" s="348"/>
      <c r="X65" s="348"/>
    </row>
    <row r="66" spans="1:24" ht="15.6">
      <c r="A66" s="356"/>
      <c r="B66" s="348"/>
      <c r="C66" s="348"/>
      <c r="D66" s="348"/>
      <c r="E66" s="348"/>
      <c r="F66" s="348"/>
      <c r="G66" s="348"/>
      <c r="H66" s="348"/>
      <c r="I66" s="348"/>
      <c r="J66" s="348"/>
      <c r="K66" s="348"/>
      <c r="L66" s="348"/>
      <c r="M66" s="348"/>
      <c r="N66" s="348"/>
      <c r="O66" s="348"/>
      <c r="P66" s="348"/>
      <c r="Q66" s="348"/>
      <c r="R66" s="348"/>
      <c r="S66" s="348"/>
      <c r="T66" s="348"/>
      <c r="U66" s="348"/>
      <c r="V66" s="348"/>
      <c r="W66" s="348"/>
      <c r="X66" s="348"/>
    </row>
    <row r="67" spans="1:24" ht="15.6">
      <c r="A67" s="356"/>
      <c r="B67" s="348"/>
      <c r="C67" s="348"/>
      <c r="D67" s="348"/>
      <c r="E67" s="348"/>
      <c r="F67" s="348"/>
      <c r="G67" s="348"/>
      <c r="H67" s="348"/>
      <c r="I67" s="348"/>
      <c r="J67" s="348"/>
      <c r="K67" s="348"/>
      <c r="L67" s="348"/>
      <c r="M67" s="348"/>
      <c r="N67" s="348"/>
      <c r="O67" s="348"/>
      <c r="P67" s="348"/>
      <c r="Q67" s="348"/>
      <c r="R67" s="348"/>
      <c r="S67" s="348"/>
      <c r="T67" s="348"/>
      <c r="U67" s="348"/>
      <c r="V67" s="348"/>
      <c r="W67" s="348"/>
      <c r="X67" s="348"/>
    </row>
    <row r="68" spans="1:24" ht="15.6">
      <c r="A68" s="356"/>
      <c r="B68" s="348"/>
      <c r="C68" s="348"/>
      <c r="D68" s="348"/>
      <c r="E68" s="348"/>
      <c r="F68" s="348"/>
      <c r="G68" s="348"/>
      <c r="H68" s="348"/>
      <c r="I68" s="348"/>
      <c r="J68" s="348"/>
      <c r="K68" s="348"/>
      <c r="L68" s="348"/>
      <c r="M68" s="348"/>
      <c r="N68" s="348"/>
      <c r="O68" s="348"/>
      <c r="P68" s="348"/>
      <c r="Q68" s="348"/>
      <c r="R68" s="348"/>
      <c r="S68" s="348"/>
      <c r="T68" s="348"/>
      <c r="U68" s="348"/>
      <c r="V68" s="348"/>
      <c r="W68" s="348"/>
      <c r="X68" s="348"/>
    </row>
    <row r="69" spans="1:24" ht="15.6">
      <c r="A69" s="356"/>
      <c r="B69" s="348"/>
      <c r="C69" s="348"/>
      <c r="D69" s="348"/>
      <c r="E69" s="348"/>
      <c r="F69" s="348"/>
      <c r="G69" s="348"/>
      <c r="H69" s="348"/>
      <c r="I69" s="348"/>
      <c r="J69" s="348"/>
      <c r="K69" s="348"/>
      <c r="L69" s="348"/>
      <c r="M69" s="348"/>
      <c r="N69" s="348"/>
      <c r="O69" s="348"/>
      <c r="P69" s="348"/>
      <c r="Q69" s="348"/>
      <c r="R69" s="348"/>
      <c r="S69" s="348"/>
      <c r="T69" s="348"/>
      <c r="U69" s="348"/>
      <c r="V69" s="348"/>
      <c r="W69" s="348"/>
      <c r="X69" s="348"/>
    </row>
    <row r="70" spans="1:24" ht="15.6">
      <c r="A70" s="356"/>
      <c r="B70" s="348"/>
      <c r="C70" s="348"/>
      <c r="D70" s="348"/>
      <c r="E70" s="348"/>
      <c r="F70" s="348"/>
      <c r="G70" s="348"/>
      <c r="H70" s="348"/>
      <c r="I70" s="348"/>
      <c r="J70" s="348"/>
      <c r="K70" s="348"/>
      <c r="L70" s="348"/>
      <c r="M70" s="348"/>
      <c r="N70" s="348"/>
      <c r="O70" s="348"/>
      <c r="P70" s="348"/>
      <c r="Q70" s="348"/>
      <c r="R70" s="348"/>
      <c r="S70" s="348"/>
      <c r="T70" s="348"/>
      <c r="U70" s="348"/>
      <c r="V70" s="348"/>
      <c r="W70" s="348"/>
      <c r="X70" s="348"/>
    </row>
    <row r="71" spans="1:24" ht="15.6">
      <c r="A71" s="356"/>
      <c r="B71" s="348"/>
      <c r="C71" s="348"/>
      <c r="D71" s="348"/>
      <c r="E71" s="348"/>
      <c r="F71" s="348"/>
      <c r="G71" s="348"/>
      <c r="H71" s="348"/>
      <c r="I71" s="348"/>
      <c r="J71" s="348"/>
      <c r="K71" s="348"/>
      <c r="L71" s="348"/>
      <c r="M71" s="348"/>
      <c r="N71" s="348"/>
      <c r="O71" s="348"/>
      <c r="P71" s="348"/>
      <c r="Q71" s="348"/>
      <c r="R71" s="348"/>
      <c r="S71" s="348"/>
      <c r="T71" s="348"/>
      <c r="U71" s="348"/>
      <c r="V71" s="348"/>
      <c r="W71" s="348"/>
      <c r="X71" s="348"/>
    </row>
    <row r="72" spans="1:24" ht="15.6">
      <c r="A72" s="356"/>
      <c r="B72" s="348"/>
      <c r="C72" s="348"/>
      <c r="D72" s="348"/>
      <c r="E72" s="348"/>
      <c r="F72" s="348"/>
      <c r="G72" s="348"/>
      <c r="H72" s="348"/>
      <c r="I72" s="348"/>
      <c r="J72" s="348"/>
      <c r="K72" s="348"/>
      <c r="L72" s="348"/>
      <c r="M72" s="348"/>
      <c r="N72" s="348"/>
      <c r="O72" s="348"/>
      <c r="P72" s="348"/>
      <c r="Q72" s="348"/>
      <c r="R72" s="348"/>
      <c r="S72" s="348"/>
      <c r="T72" s="348"/>
      <c r="U72" s="348"/>
      <c r="V72" s="348"/>
      <c r="W72" s="348"/>
      <c r="X72" s="348"/>
    </row>
    <row r="73" spans="1:24" ht="15.6">
      <c r="A73" s="356"/>
      <c r="B73" s="348"/>
      <c r="C73" s="348"/>
      <c r="D73" s="348"/>
      <c r="E73" s="348"/>
      <c r="F73" s="348"/>
      <c r="G73" s="348"/>
      <c r="H73" s="348"/>
      <c r="I73" s="348"/>
      <c r="J73" s="348"/>
      <c r="K73" s="348"/>
      <c r="L73" s="348"/>
      <c r="M73" s="348"/>
      <c r="N73" s="348"/>
      <c r="O73" s="348"/>
      <c r="P73" s="348"/>
      <c r="Q73" s="348"/>
      <c r="R73" s="348"/>
      <c r="S73" s="348"/>
      <c r="T73" s="348"/>
      <c r="U73" s="348"/>
      <c r="V73" s="348"/>
      <c r="W73" s="348"/>
      <c r="X73" s="348"/>
    </row>
    <row r="74" spans="1:24" ht="15.6">
      <c r="A74" s="356"/>
      <c r="B74" s="348"/>
      <c r="C74" s="348"/>
      <c r="D74" s="348"/>
      <c r="E74" s="348"/>
      <c r="F74" s="348"/>
      <c r="G74" s="348"/>
      <c r="H74" s="348"/>
      <c r="I74" s="348"/>
      <c r="J74" s="348"/>
      <c r="K74" s="348"/>
      <c r="L74" s="348"/>
      <c r="M74" s="348"/>
      <c r="N74" s="348"/>
      <c r="O74" s="348"/>
      <c r="P74" s="348"/>
      <c r="Q74" s="348"/>
      <c r="R74" s="348"/>
      <c r="S74" s="348"/>
      <c r="T74" s="348"/>
      <c r="U74" s="348"/>
      <c r="V74" s="348"/>
      <c r="W74" s="348"/>
      <c r="X74" s="348"/>
    </row>
    <row r="75" spans="1:24" ht="15.6">
      <c r="A75" s="356"/>
      <c r="B75" s="348"/>
      <c r="C75" s="348"/>
      <c r="D75" s="348"/>
      <c r="E75" s="348"/>
      <c r="F75" s="348"/>
      <c r="G75" s="348"/>
      <c r="H75" s="348"/>
      <c r="I75" s="348"/>
      <c r="J75" s="348"/>
      <c r="K75" s="348"/>
      <c r="L75" s="348"/>
      <c r="M75" s="348"/>
      <c r="N75" s="348"/>
      <c r="O75" s="348"/>
      <c r="P75" s="348"/>
      <c r="Q75" s="348"/>
      <c r="R75" s="348"/>
      <c r="S75" s="348"/>
      <c r="T75" s="348"/>
      <c r="U75" s="348"/>
      <c r="V75" s="348"/>
      <c r="W75" s="348"/>
      <c r="X75" s="348"/>
    </row>
    <row r="76" spans="1:24" ht="15.6">
      <c r="A76" s="356"/>
      <c r="B76" s="348"/>
      <c r="C76" s="348"/>
      <c r="D76" s="348"/>
      <c r="E76" s="348"/>
      <c r="F76" s="348"/>
      <c r="G76" s="348"/>
      <c r="H76" s="348"/>
      <c r="I76" s="348"/>
      <c r="J76" s="348"/>
      <c r="K76" s="348"/>
      <c r="L76" s="348"/>
      <c r="M76" s="348"/>
      <c r="N76" s="348"/>
      <c r="O76" s="348"/>
      <c r="P76" s="348"/>
      <c r="Q76" s="348"/>
      <c r="R76" s="348"/>
      <c r="S76" s="348"/>
      <c r="T76" s="348"/>
      <c r="U76" s="348"/>
      <c r="V76" s="348"/>
      <c r="W76" s="348"/>
      <c r="X76" s="348"/>
    </row>
    <row r="77" spans="1:24" ht="15.6">
      <c r="A77" s="356"/>
      <c r="B77" s="348"/>
      <c r="C77" s="348"/>
      <c r="D77" s="348"/>
      <c r="E77" s="348"/>
      <c r="F77" s="348"/>
      <c r="G77" s="348"/>
      <c r="H77" s="348"/>
      <c r="I77" s="348"/>
      <c r="J77" s="348"/>
      <c r="K77" s="348"/>
      <c r="L77" s="348"/>
      <c r="M77" s="348"/>
      <c r="N77" s="348"/>
      <c r="O77" s="348"/>
      <c r="P77" s="348"/>
      <c r="Q77" s="348"/>
      <c r="R77" s="348"/>
      <c r="S77" s="348"/>
      <c r="T77" s="348"/>
      <c r="U77" s="348"/>
      <c r="V77" s="348"/>
      <c r="W77" s="348"/>
      <c r="X77" s="348"/>
    </row>
    <row r="78" spans="1:24" ht="15.6">
      <c r="A78" s="356"/>
      <c r="B78" s="348"/>
      <c r="C78" s="348"/>
      <c r="D78" s="348"/>
      <c r="E78" s="348"/>
      <c r="F78" s="348"/>
      <c r="G78" s="348"/>
      <c r="H78" s="348"/>
      <c r="I78" s="348"/>
      <c r="J78" s="348"/>
      <c r="K78" s="348"/>
      <c r="L78" s="348"/>
      <c r="M78" s="348"/>
      <c r="N78" s="348"/>
      <c r="O78" s="348"/>
      <c r="P78" s="348"/>
      <c r="Q78" s="348"/>
      <c r="R78" s="348"/>
      <c r="S78" s="348"/>
      <c r="T78" s="348"/>
      <c r="U78" s="348"/>
      <c r="V78" s="348"/>
      <c r="W78" s="348"/>
      <c r="X78" s="348"/>
    </row>
    <row r="79" spans="1:24" ht="15.6">
      <c r="A79" s="356"/>
      <c r="B79" s="348"/>
      <c r="C79" s="348"/>
      <c r="D79" s="348"/>
      <c r="E79" s="348"/>
      <c r="F79" s="348"/>
      <c r="G79" s="348"/>
      <c r="H79" s="348"/>
      <c r="I79" s="348"/>
      <c r="J79" s="348"/>
      <c r="K79" s="348"/>
      <c r="L79" s="348"/>
      <c r="M79" s="348"/>
      <c r="N79" s="348"/>
      <c r="O79" s="348"/>
      <c r="P79" s="348"/>
      <c r="Q79" s="348"/>
      <c r="R79" s="348"/>
      <c r="S79" s="348"/>
      <c r="T79" s="348"/>
      <c r="U79" s="348"/>
      <c r="V79" s="348"/>
      <c r="W79" s="348"/>
      <c r="X79" s="348"/>
    </row>
    <row r="80" spans="1:24" ht="15.6">
      <c r="A80" s="356"/>
      <c r="B80" s="348"/>
      <c r="C80" s="348"/>
      <c r="D80" s="348"/>
      <c r="E80" s="348"/>
      <c r="F80" s="348"/>
      <c r="G80" s="348"/>
      <c r="H80" s="348"/>
      <c r="I80" s="348"/>
      <c r="J80" s="348"/>
      <c r="K80" s="348"/>
      <c r="L80" s="348"/>
      <c r="M80" s="348"/>
      <c r="N80" s="348"/>
      <c r="O80" s="348"/>
      <c r="P80" s="348"/>
      <c r="Q80" s="348"/>
      <c r="R80" s="348"/>
      <c r="S80" s="348"/>
      <c r="T80" s="348"/>
      <c r="U80" s="348"/>
      <c r="V80" s="348"/>
      <c r="W80" s="348"/>
      <c r="X80" s="348"/>
    </row>
    <row r="81" spans="1:24" ht="15.6">
      <c r="A81" s="356"/>
      <c r="B81" s="348"/>
      <c r="C81" s="348"/>
      <c r="D81" s="348"/>
      <c r="E81" s="348"/>
      <c r="F81" s="348"/>
      <c r="G81" s="348"/>
      <c r="H81" s="348"/>
      <c r="I81" s="348"/>
      <c r="J81" s="348"/>
      <c r="K81" s="348"/>
      <c r="L81" s="348"/>
      <c r="M81" s="348"/>
      <c r="N81" s="348"/>
      <c r="O81" s="348"/>
      <c r="P81" s="348"/>
      <c r="Q81" s="348"/>
      <c r="R81" s="348"/>
      <c r="S81" s="348"/>
      <c r="T81" s="348"/>
      <c r="U81" s="348"/>
      <c r="V81" s="348"/>
      <c r="W81" s="348"/>
      <c r="X81" s="348"/>
    </row>
    <row r="82" spans="1:24" ht="15.6">
      <c r="A82" s="356"/>
      <c r="B82" s="348"/>
      <c r="C82" s="348"/>
      <c r="D82" s="348"/>
      <c r="E82" s="348"/>
      <c r="F82" s="348"/>
      <c r="G82" s="348"/>
      <c r="H82" s="348"/>
      <c r="I82" s="348"/>
      <c r="J82" s="348"/>
      <c r="K82" s="348"/>
      <c r="L82" s="348"/>
      <c r="M82" s="348"/>
      <c r="N82" s="348"/>
      <c r="O82" s="348"/>
      <c r="P82" s="348"/>
      <c r="Q82" s="348"/>
      <c r="R82" s="348"/>
      <c r="S82" s="348"/>
      <c r="T82" s="348"/>
      <c r="U82" s="348"/>
      <c r="V82" s="348"/>
      <c r="W82" s="348"/>
      <c r="X82" s="348"/>
    </row>
    <row r="83" spans="1:24" ht="15.6">
      <c r="A83" s="356"/>
      <c r="B83" s="348"/>
      <c r="C83" s="348"/>
      <c r="D83" s="348"/>
      <c r="E83" s="348"/>
      <c r="F83" s="348"/>
      <c r="G83" s="348"/>
      <c r="H83" s="348"/>
      <c r="I83" s="348"/>
      <c r="J83" s="348"/>
      <c r="K83" s="348"/>
      <c r="L83" s="348"/>
      <c r="M83" s="348"/>
      <c r="N83" s="348"/>
      <c r="O83" s="348"/>
      <c r="P83" s="348"/>
      <c r="Q83" s="348"/>
      <c r="R83" s="348"/>
      <c r="S83" s="348"/>
      <c r="T83" s="348"/>
      <c r="U83" s="348"/>
      <c r="V83" s="348"/>
      <c r="W83" s="348"/>
      <c r="X83" s="348"/>
    </row>
    <row r="84" spans="1:24" ht="15.6">
      <c r="A84" s="356"/>
      <c r="B84" s="348"/>
      <c r="C84" s="348"/>
      <c r="D84" s="348"/>
      <c r="E84" s="348"/>
      <c r="F84" s="348"/>
      <c r="G84" s="348"/>
      <c r="H84" s="348"/>
      <c r="I84" s="348"/>
      <c r="J84" s="348"/>
      <c r="K84" s="348"/>
      <c r="L84" s="348"/>
      <c r="M84" s="348"/>
      <c r="N84" s="348"/>
      <c r="O84" s="348"/>
      <c r="P84" s="348"/>
      <c r="Q84" s="348"/>
      <c r="R84" s="348"/>
      <c r="S84" s="348"/>
      <c r="T84" s="348"/>
      <c r="U84" s="348"/>
      <c r="V84" s="348"/>
      <c r="W84" s="348"/>
      <c r="X84" s="348"/>
    </row>
    <row r="85" spans="1:24" ht="15.6">
      <c r="A85" s="356"/>
      <c r="B85" s="348"/>
      <c r="C85" s="348"/>
      <c r="D85" s="348"/>
      <c r="E85" s="348"/>
      <c r="F85" s="348"/>
      <c r="G85" s="348"/>
      <c r="H85" s="348"/>
      <c r="I85" s="348"/>
      <c r="J85" s="348"/>
      <c r="K85" s="348"/>
      <c r="L85" s="348"/>
      <c r="M85" s="348"/>
      <c r="N85" s="348"/>
      <c r="O85" s="348"/>
      <c r="P85" s="348"/>
      <c r="Q85" s="348"/>
      <c r="R85" s="348"/>
      <c r="S85" s="348"/>
      <c r="T85" s="348"/>
      <c r="U85" s="348"/>
      <c r="V85" s="348"/>
      <c r="W85" s="348"/>
      <c r="X85" s="348"/>
    </row>
    <row r="86" spans="1:24" ht="15.6">
      <c r="A86" s="356"/>
      <c r="B86" s="348"/>
      <c r="C86" s="348"/>
      <c r="D86" s="348"/>
      <c r="E86" s="348"/>
      <c r="F86" s="348"/>
      <c r="G86" s="348"/>
      <c r="H86" s="348"/>
      <c r="I86" s="348"/>
      <c r="J86" s="348"/>
      <c r="K86" s="348"/>
      <c r="L86" s="348"/>
      <c r="M86" s="348"/>
      <c r="N86" s="348"/>
      <c r="O86" s="348"/>
      <c r="P86" s="348"/>
      <c r="Q86" s="348"/>
      <c r="R86" s="348"/>
      <c r="S86" s="348"/>
      <c r="T86" s="348"/>
      <c r="U86" s="348"/>
      <c r="V86" s="348"/>
      <c r="W86" s="348"/>
      <c r="X86" s="348"/>
    </row>
    <row r="87" spans="1:24" ht="15.6">
      <c r="A87" s="356"/>
      <c r="B87" s="348"/>
      <c r="C87" s="348"/>
      <c r="D87" s="348"/>
      <c r="E87" s="348"/>
      <c r="F87" s="348"/>
      <c r="G87" s="348"/>
      <c r="H87" s="348"/>
      <c r="I87" s="348"/>
      <c r="J87" s="348"/>
      <c r="K87" s="348"/>
      <c r="L87" s="348"/>
      <c r="M87" s="348"/>
      <c r="N87" s="348"/>
      <c r="O87" s="348"/>
      <c r="P87" s="348"/>
      <c r="Q87" s="348"/>
      <c r="R87" s="348"/>
      <c r="S87" s="348"/>
      <c r="T87" s="348"/>
      <c r="U87" s="348"/>
      <c r="V87" s="348"/>
      <c r="W87" s="348"/>
      <c r="X87" s="348"/>
    </row>
    <row r="88" spans="1:24" ht="15.6">
      <c r="A88" s="356"/>
      <c r="B88" s="348"/>
      <c r="C88" s="348"/>
      <c r="D88" s="348"/>
      <c r="E88" s="348"/>
      <c r="F88" s="348"/>
      <c r="G88" s="348"/>
      <c r="H88" s="348"/>
      <c r="I88" s="348"/>
      <c r="J88" s="348"/>
      <c r="K88" s="348"/>
      <c r="L88" s="348"/>
      <c r="M88" s="348"/>
      <c r="N88" s="348"/>
      <c r="O88" s="348"/>
      <c r="P88" s="348"/>
      <c r="Q88" s="348"/>
      <c r="R88" s="348"/>
      <c r="S88" s="348"/>
      <c r="T88" s="348"/>
      <c r="U88" s="348"/>
      <c r="V88" s="348"/>
      <c r="W88" s="348"/>
      <c r="X88" s="348"/>
    </row>
    <row r="89" spans="1:24" ht="15.6">
      <c r="A89" s="356"/>
      <c r="B89" s="348"/>
      <c r="C89" s="348"/>
      <c r="D89" s="348"/>
      <c r="E89" s="348"/>
      <c r="F89" s="348"/>
      <c r="G89" s="348"/>
      <c r="H89" s="348"/>
      <c r="I89" s="348"/>
      <c r="J89" s="348"/>
      <c r="K89" s="348"/>
      <c r="L89" s="348"/>
      <c r="M89" s="348"/>
      <c r="N89" s="348"/>
      <c r="O89" s="348"/>
      <c r="P89" s="348"/>
      <c r="Q89" s="348"/>
      <c r="R89" s="348"/>
      <c r="S89" s="348"/>
      <c r="T89" s="348"/>
      <c r="U89" s="348"/>
      <c r="V89" s="348"/>
      <c r="W89" s="348"/>
      <c r="X89" s="348"/>
    </row>
    <row r="90" spans="1:24" ht="15.6">
      <c r="A90" s="356"/>
      <c r="B90" s="348"/>
      <c r="C90" s="348"/>
      <c r="D90" s="348"/>
      <c r="E90" s="348"/>
      <c r="F90" s="348"/>
      <c r="G90" s="348"/>
      <c r="H90" s="348"/>
      <c r="I90" s="348"/>
      <c r="J90" s="348"/>
      <c r="K90" s="348"/>
      <c r="L90" s="348"/>
      <c r="M90" s="348"/>
      <c r="N90" s="348"/>
      <c r="O90" s="348"/>
      <c r="P90" s="348"/>
      <c r="Q90" s="348"/>
      <c r="R90" s="348"/>
      <c r="S90" s="348"/>
      <c r="T90" s="348"/>
      <c r="U90" s="348"/>
      <c r="V90" s="348"/>
      <c r="W90" s="348"/>
      <c r="X90" s="348"/>
    </row>
    <row r="91" spans="1:24" ht="15.6">
      <c r="A91" s="356"/>
      <c r="B91" s="348"/>
      <c r="C91" s="348"/>
      <c r="D91" s="348"/>
      <c r="E91" s="348"/>
      <c r="F91" s="348"/>
      <c r="G91" s="348"/>
      <c r="H91" s="348"/>
      <c r="I91" s="348"/>
      <c r="J91" s="348"/>
      <c r="K91" s="348"/>
      <c r="L91" s="348"/>
      <c r="M91" s="348"/>
      <c r="N91" s="348"/>
      <c r="O91" s="348"/>
      <c r="P91" s="348"/>
      <c r="Q91" s="348"/>
      <c r="R91" s="348"/>
      <c r="S91" s="348"/>
      <c r="T91" s="348"/>
      <c r="U91" s="348"/>
      <c r="V91" s="348"/>
      <c r="W91" s="348"/>
      <c r="X91" s="348"/>
    </row>
    <row r="92" spans="1:24" ht="15.6">
      <c r="A92" s="356"/>
      <c r="B92" s="348"/>
      <c r="C92" s="348"/>
      <c r="D92" s="348"/>
      <c r="E92" s="348"/>
      <c r="F92" s="348"/>
      <c r="G92" s="348"/>
      <c r="H92" s="348"/>
      <c r="I92" s="348"/>
      <c r="J92" s="348"/>
      <c r="K92" s="348"/>
      <c r="L92" s="348"/>
      <c r="M92" s="348"/>
      <c r="N92" s="348"/>
      <c r="O92" s="348"/>
      <c r="P92" s="348"/>
      <c r="Q92" s="348"/>
      <c r="R92" s="348"/>
      <c r="S92" s="348"/>
      <c r="T92" s="348"/>
      <c r="U92" s="348"/>
      <c r="V92" s="348"/>
      <c r="W92" s="348"/>
      <c r="X92" s="348"/>
    </row>
    <row r="93" spans="1:24" ht="15.6">
      <c r="A93" s="356"/>
      <c r="B93" s="348"/>
      <c r="C93" s="348"/>
      <c r="D93" s="348"/>
      <c r="E93" s="348"/>
      <c r="F93" s="348"/>
      <c r="G93" s="348"/>
      <c r="H93" s="348"/>
      <c r="I93" s="348"/>
      <c r="J93" s="348"/>
      <c r="K93" s="348"/>
      <c r="L93" s="348"/>
      <c r="M93" s="348"/>
      <c r="N93" s="348"/>
      <c r="O93" s="348"/>
      <c r="P93" s="348"/>
      <c r="Q93" s="348"/>
      <c r="R93" s="348"/>
      <c r="S93" s="348"/>
      <c r="T93" s="348"/>
      <c r="U93" s="348"/>
      <c r="V93" s="348"/>
      <c r="W93" s="348"/>
      <c r="X93" s="348"/>
    </row>
    <row r="94" spans="1:24" ht="15.6">
      <c r="A94" s="356"/>
      <c r="B94" s="348"/>
      <c r="C94" s="348"/>
      <c r="D94" s="348"/>
      <c r="E94" s="348"/>
      <c r="F94" s="348"/>
      <c r="G94" s="348"/>
      <c r="H94" s="348"/>
      <c r="I94" s="348"/>
      <c r="J94" s="348"/>
      <c r="K94" s="348"/>
      <c r="L94" s="348"/>
      <c r="M94" s="348"/>
      <c r="N94" s="348"/>
      <c r="O94" s="348"/>
      <c r="P94" s="348"/>
      <c r="Q94" s="348"/>
      <c r="R94" s="348"/>
      <c r="S94" s="348"/>
      <c r="T94" s="348"/>
      <c r="U94" s="348"/>
      <c r="V94" s="348"/>
      <c r="W94" s="348"/>
      <c r="X94" s="348"/>
    </row>
    <row r="95" spans="1:24" ht="15.6">
      <c r="A95" s="356"/>
      <c r="B95" s="348"/>
      <c r="C95" s="348"/>
      <c r="D95" s="348"/>
      <c r="E95" s="348"/>
      <c r="F95" s="348"/>
      <c r="G95" s="348"/>
      <c r="H95" s="348"/>
      <c r="I95" s="348"/>
      <c r="J95" s="348"/>
      <c r="K95" s="348"/>
      <c r="L95" s="348"/>
      <c r="M95" s="348"/>
      <c r="N95" s="348"/>
      <c r="O95" s="348"/>
      <c r="P95" s="348"/>
      <c r="Q95" s="348"/>
      <c r="R95" s="348"/>
      <c r="S95" s="348"/>
      <c r="T95" s="348"/>
      <c r="U95" s="348"/>
      <c r="V95" s="348"/>
      <c r="W95" s="348"/>
      <c r="X95" s="348"/>
    </row>
    <row r="96" spans="1:24" ht="15.6">
      <c r="A96" s="356"/>
      <c r="B96" s="348"/>
      <c r="C96" s="348"/>
      <c r="D96" s="348"/>
      <c r="E96" s="348"/>
      <c r="F96" s="348"/>
      <c r="G96" s="348"/>
      <c r="H96" s="348"/>
      <c r="I96" s="348"/>
      <c r="J96" s="348"/>
      <c r="K96" s="348"/>
      <c r="L96" s="348"/>
      <c r="M96" s="348"/>
      <c r="N96" s="348"/>
      <c r="O96" s="348"/>
      <c r="P96" s="348"/>
      <c r="Q96" s="348"/>
      <c r="R96" s="348"/>
      <c r="S96" s="348"/>
      <c r="T96" s="348"/>
      <c r="U96" s="348"/>
      <c r="V96" s="348"/>
      <c r="W96" s="348"/>
      <c r="X96" s="348"/>
    </row>
    <row r="97" spans="1:24" ht="15.6">
      <c r="A97" s="356"/>
      <c r="B97" s="348"/>
      <c r="C97" s="348"/>
      <c r="D97" s="348"/>
      <c r="E97" s="348"/>
      <c r="F97" s="348"/>
      <c r="G97" s="348"/>
      <c r="H97" s="348"/>
      <c r="I97" s="348"/>
      <c r="J97" s="348"/>
      <c r="K97" s="348"/>
      <c r="L97" s="348"/>
      <c r="M97" s="348"/>
      <c r="N97" s="348"/>
      <c r="O97" s="348"/>
      <c r="P97" s="348"/>
      <c r="Q97" s="348"/>
      <c r="R97" s="348"/>
      <c r="S97" s="348"/>
      <c r="T97" s="348"/>
      <c r="U97" s="348"/>
      <c r="V97" s="348"/>
      <c r="W97" s="348"/>
      <c r="X97" s="348"/>
    </row>
    <row r="98" spans="1:24" ht="15.6">
      <c r="A98" s="356"/>
      <c r="B98" s="348"/>
      <c r="C98" s="348"/>
      <c r="D98" s="348"/>
      <c r="E98" s="348"/>
      <c r="F98" s="348"/>
      <c r="G98" s="348"/>
      <c r="H98" s="348"/>
      <c r="I98" s="348"/>
      <c r="J98" s="348"/>
      <c r="K98" s="348"/>
      <c r="L98" s="348"/>
      <c r="M98" s="348"/>
      <c r="N98" s="348"/>
      <c r="O98" s="348"/>
      <c r="P98" s="348"/>
      <c r="Q98" s="348"/>
      <c r="R98" s="348"/>
      <c r="S98" s="348"/>
      <c r="T98" s="348"/>
      <c r="U98" s="348"/>
      <c r="V98" s="348"/>
      <c r="W98" s="348"/>
      <c r="X98" s="348"/>
    </row>
    <row r="99" spans="1:24" ht="15.6">
      <c r="A99" s="356"/>
      <c r="B99" s="348"/>
      <c r="C99" s="348"/>
      <c r="D99" s="348"/>
      <c r="E99" s="348"/>
      <c r="F99" s="348"/>
      <c r="G99" s="348"/>
      <c r="H99" s="348"/>
      <c r="I99" s="348"/>
      <c r="J99" s="348"/>
      <c r="K99" s="348"/>
      <c r="L99" s="348"/>
      <c r="M99" s="348"/>
      <c r="N99" s="348"/>
      <c r="O99" s="348"/>
      <c r="P99" s="348"/>
      <c r="Q99" s="348"/>
      <c r="R99" s="348"/>
      <c r="S99" s="348"/>
      <c r="T99" s="348"/>
      <c r="U99" s="348"/>
      <c r="V99" s="348"/>
      <c r="W99" s="348"/>
      <c r="X99" s="348"/>
    </row>
    <row r="100" spans="1:24" ht="15.6">
      <c r="A100" s="356"/>
      <c r="B100" s="348"/>
      <c r="C100" s="348"/>
      <c r="D100" s="348"/>
      <c r="E100" s="348"/>
      <c r="F100" s="348"/>
      <c r="G100" s="348"/>
      <c r="H100" s="348"/>
      <c r="I100" s="348"/>
      <c r="J100" s="348"/>
      <c r="K100" s="348"/>
      <c r="L100" s="348"/>
      <c r="M100" s="348"/>
      <c r="N100" s="348"/>
      <c r="O100" s="348"/>
      <c r="P100" s="348"/>
      <c r="Q100" s="348"/>
      <c r="R100" s="348"/>
      <c r="S100" s="348"/>
      <c r="T100" s="348"/>
      <c r="U100" s="348"/>
      <c r="V100" s="348"/>
      <c r="W100" s="348"/>
      <c r="X100" s="348"/>
    </row>
    <row r="101" spans="1:24" ht="15.6">
      <c r="A101" s="356"/>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348"/>
      <c r="X101" s="348"/>
    </row>
    <row r="102" spans="1:24" ht="15.6">
      <c r="A102" s="356"/>
      <c r="B102" s="348"/>
      <c r="C102" s="348"/>
      <c r="D102" s="348"/>
      <c r="E102" s="348"/>
      <c r="F102" s="348"/>
      <c r="G102" s="348"/>
      <c r="H102" s="348"/>
      <c r="I102" s="348"/>
      <c r="J102" s="348"/>
      <c r="K102" s="348"/>
      <c r="L102" s="348"/>
      <c r="M102" s="348"/>
      <c r="N102" s="348"/>
      <c r="O102" s="348"/>
      <c r="P102" s="348"/>
      <c r="Q102" s="348"/>
      <c r="R102" s="348"/>
      <c r="S102" s="348"/>
      <c r="T102" s="348"/>
      <c r="U102" s="348"/>
      <c r="V102" s="348"/>
      <c r="W102" s="348"/>
      <c r="X102" s="348"/>
    </row>
    <row r="103" spans="1:24" ht="15.6">
      <c r="A103" s="356"/>
      <c r="B103" s="348"/>
      <c r="C103" s="348"/>
      <c r="D103" s="348"/>
      <c r="E103" s="348"/>
      <c r="F103" s="348"/>
      <c r="G103" s="348"/>
      <c r="H103" s="348"/>
      <c r="I103" s="348"/>
      <c r="J103" s="348"/>
      <c r="K103" s="348"/>
      <c r="L103" s="348"/>
      <c r="M103" s="348"/>
      <c r="N103" s="348"/>
      <c r="O103" s="348"/>
      <c r="P103" s="348"/>
      <c r="Q103" s="348"/>
      <c r="R103" s="348"/>
      <c r="S103" s="348"/>
      <c r="T103" s="348"/>
      <c r="U103" s="348"/>
      <c r="V103" s="348"/>
      <c r="W103" s="348"/>
      <c r="X103" s="348"/>
    </row>
    <row r="104" spans="1:24" ht="15.6">
      <c r="A104" s="356"/>
      <c r="B104" s="348"/>
      <c r="C104" s="348"/>
      <c r="D104" s="348"/>
      <c r="E104" s="348"/>
      <c r="F104" s="348"/>
      <c r="G104" s="348"/>
      <c r="H104" s="348"/>
      <c r="I104" s="348"/>
      <c r="J104" s="348"/>
      <c r="K104" s="348"/>
      <c r="L104" s="348"/>
      <c r="M104" s="348"/>
      <c r="N104" s="348"/>
      <c r="O104" s="348"/>
      <c r="P104" s="348"/>
      <c r="Q104" s="348"/>
      <c r="R104" s="348"/>
      <c r="S104" s="348"/>
      <c r="T104" s="348"/>
      <c r="U104" s="348"/>
      <c r="V104" s="348"/>
      <c r="W104" s="348"/>
      <c r="X104" s="348"/>
    </row>
    <row r="105" spans="1:24" ht="15.6">
      <c r="A105" s="356"/>
      <c r="B105" s="348"/>
      <c r="C105" s="348"/>
      <c r="D105" s="348"/>
      <c r="E105" s="348"/>
      <c r="F105" s="348"/>
      <c r="G105" s="348"/>
      <c r="H105" s="348"/>
      <c r="I105" s="348"/>
      <c r="J105" s="348"/>
      <c r="K105" s="348"/>
      <c r="L105" s="348"/>
      <c r="M105" s="348"/>
      <c r="N105" s="348"/>
      <c r="O105" s="348"/>
      <c r="P105" s="348"/>
      <c r="Q105" s="348"/>
      <c r="R105" s="348"/>
      <c r="S105" s="348"/>
      <c r="T105" s="348"/>
      <c r="U105" s="348"/>
      <c r="V105" s="348"/>
      <c r="W105" s="348"/>
      <c r="X105" s="348"/>
    </row>
    <row r="106" spans="1:24" ht="15.6">
      <c r="A106" s="356"/>
      <c r="B106" s="348"/>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row>
    <row r="107" spans="1:24" ht="15.6">
      <c r="A107" s="356"/>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row>
    <row r="108" spans="1:24" ht="15.6">
      <c r="A108" s="356"/>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row>
    <row r="109" spans="1:24" ht="15.6">
      <c r="A109" s="356"/>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row>
    <row r="110" spans="1:24" ht="15.6">
      <c r="A110" s="356"/>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row>
    <row r="111" spans="1:24" ht="15.6">
      <c r="A111" s="356"/>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row>
    <row r="112" spans="1:24" ht="15.6">
      <c r="A112" s="356"/>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row>
    <row r="113" spans="1:24" ht="15.6">
      <c r="A113" s="356"/>
      <c r="B113" s="348"/>
      <c r="C113" s="348"/>
      <c r="D113" s="348"/>
      <c r="E113" s="348"/>
      <c r="F113" s="348"/>
      <c r="G113" s="348"/>
      <c r="H113" s="348"/>
      <c r="I113" s="348"/>
      <c r="J113" s="348"/>
      <c r="K113" s="348"/>
      <c r="L113" s="348"/>
      <c r="M113" s="348"/>
      <c r="N113" s="348"/>
      <c r="O113" s="348"/>
      <c r="P113" s="348"/>
      <c r="Q113" s="348"/>
      <c r="R113" s="348"/>
      <c r="S113" s="348"/>
      <c r="T113" s="348"/>
      <c r="U113" s="348"/>
      <c r="V113" s="348"/>
      <c r="W113" s="348"/>
      <c r="X113" s="348"/>
    </row>
    <row r="114" spans="1:24" ht="15.6">
      <c r="A114" s="356"/>
      <c r="B114" s="348"/>
      <c r="C114" s="348"/>
      <c r="D114" s="348"/>
      <c r="E114" s="348"/>
      <c r="F114" s="348"/>
      <c r="G114" s="348"/>
      <c r="H114" s="348"/>
      <c r="I114" s="348"/>
      <c r="J114" s="348"/>
      <c r="K114" s="348"/>
      <c r="L114" s="348"/>
      <c r="M114" s="348"/>
      <c r="N114" s="348"/>
      <c r="O114" s="348"/>
      <c r="P114" s="348"/>
      <c r="Q114" s="348"/>
      <c r="R114" s="348"/>
      <c r="S114" s="348"/>
      <c r="T114" s="348"/>
      <c r="U114" s="348"/>
      <c r="V114" s="348"/>
      <c r="W114" s="348"/>
      <c r="X114" s="348"/>
    </row>
    <row r="115" spans="1:24" ht="15.6">
      <c r="A115" s="356"/>
      <c r="B115" s="348"/>
      <c r="C115" s="348"/>
      <c r="D115" s="348"/>
      <c r="E115" s="348"/>
      <c r="F115" s="348"/>
      <c r="G115" s="348"/>
      <c r="H115" s="348"/>
      <c r="I115" s="348"/>
      <c r="J115" s="348"/>
      <c r="K115" s="348"/>
      <c r="L115" s="348"/>
      <c r="M115" s="348"/>
      <c r="N115" s="348"/>
      <c r="O115" s="348"/>
      <c r="P115" s="348"/>
      <c r="Q115" s="348"/>
      <c r="R115" s="348"/>
      <c r="S115" s="348"/>
      <c r="T115" s="348"/>
      <c r="U115" s="348"/>
      <c r="V115" s="348"/>
      <c r="W115" s="348"/>
      <c r="X115" s="348"/>
    </row>
    <row r="116" spans="1:24" ht="15.6">
      <c r="A116" s="356"/>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8"/>
      <c r="X116" s="348"/>
    </row>
    <row r="117" spans="1:24" ht="15.6">
      <c r="A117" s="356"/>
      <c r="B117" s="348"/>
      <c r="C117" s="348"/>
      <c r="D117" s="348"/>
      <c r="E117" s="348"/>
      <c r="F117" s="348"/>
      <c r="G117" s="348"/>
      <c r="H117" s="348"/>
      <c r="I117" s="348"/>
      <c r="J117" s="348"/>
      <c r="K117" s="348"/>
      <c r="L117" s="348"/>
      <c r="M117" s="348"/>
      <c r="N117" s="348"/>
      <c r="O117" s="348"/>
      <c r="P117" s="348"/>
      <c r="Q117" s="348"/>
      <c r="R117" s="348"/>
      <c r="S117" s="348"/>
      <c r="T117" s="348"/>
      <c r="U117" s="348"/>
      <c r="V117" s="348"/>
      <c r="W117" s="348"/>
      <c r="X117" s="348"/>
    </row>
    <row r="118" spans="1:24" ht="15.6">
      <c r="A118" s="356"/>
      <c r="B118" s="348"/>
      <c r="C118" s="348"/>
      <c r="D118" s="348"/>
      <c r="E118" s="348"/>
      <c r="F118" s="348"/>
      <c r="G118" s="348"/>
      <c r="H118" s="348"/>
      <c r="I118" s="348"/>
      <c r="J118" s="348"/>
      <c r="K118" s="348"/>
      <c r="L118" s="348"/>
      <c r="M118" s="348"/>
      <c r="N118" s="348"/>
      <c r="O118" s="348"/>
      <c r="P118" s="348"/>
      <c r="Q118" s="348"/>
      <c r="R118" s="348"/>
      <c r="S118" s="348"/>
      <c r="T118" s="348"/>
      <c r="U118" s="348"/>
      <c r="V118" s="348"/>
      <c r="W118" s="348"/>
      <c r="X118" s="348"/>
    </row>
    <row r="119" spans="1:24" ht="15.6">
      <c r="A119" s="356"/>
      <c r="B119" s="348"/>
      <c r="C119" s="348"/>
      <c r="D119" s="348"/>
      <c r="E119" s="348"/>
      <c r="F119" s="348"/>
      <c r="G119" s="348"/>
      <c r="H119" s="348"/>
      <c r="I119" s="348"/>
      <c r="J119" s="348"/>
      <c r="K119" s="348"/>
      <c r="L119" s="348"/>
      <c r="M119" s="348"/>
      <c r="N119" s="348"/>
      <c r="O119" s="348"/>
      <c r="P119" s="348"/>
      <c r="Q119" s="348"/>
      <c r="R119" s="348"/>
      <c r="S119" s="348"/>
      <c r="T119" s="348"/>
      <c r="U119" s="348"/>
      <c r="V119" s="348"/>
      <c r="W119" s="348"/>
      <c r="X119" s="348"/>
    </row>
    <row r="120" spans="1:24" ht="15.6">
      <c r="A120" s="356"/>
      <c r="B120" s="348"/>
      <c r="C120" s="348"/>
      <c r="D120" s="348"/>
      <c r="E120" s="348"/>
      <c r="F120" s="348"/>
      <c r="G120" s="348"/>
      <c r="H120" s="348"/>
      <c r="I120" s="348"/>
      <c r="J120" s="348"/>
      <c r="K120" s="348"/>
      <c r="L120" s="348"/>
      <c r="M120" s="348"/>
      <c r="N120" s="348"/>
      <c r="O120" s="348"/>
      <c r="P120" s="348"/>
      <c r="Q120" s="348"/>
      <c r="R120" s="348"/>
      <c r="S120" s="348"/>
      <c r="T120" s="348"/>
      <c r="U120" s="348"/>
      <c r="V120" s="348"/>
      <c r="W120" s="348"/>
      <c r="X120" s="348"/>
    </row>
    <row r="121" spans="1:24" ht="15.6">
      <c r="A121" s="356"/>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8"/>
      <c r="X121" s="348"/>
    </row>
    <row r="122" spans="1:24" ht="15.6">
      <c r="A122" s="356"/>
      <c r="B122" s="348"/>
      <c r="C122" s="348"/>
      <c r="D122" s="348"/>
      <c r="E122" s="348"/>
      <c r="F122" s="348"/>
      <c r="G122" s="348"/>
      <c r="H122" s="348"/>
      <c r="I122" s="348"/>
      <c r="J122" s="348"/>
      <c r="K122" s="348"/>
      <c r="L122" s="348"/>
      <c r="M122" s="348"/>
      <c r="N122" s="348"/>
      <c r="O122" s="348"/>
      <c r="P122" s="348"/>
      <c r="Q122" s="348"/>
      <c r="R122" s="348"/>
      <c r="S122" s="348"/>
      <c r="T122" s="348"/>
      <c r="U122" s="348"/>
      <c r="V122" s="348"/>
      <c r="W122" s="348"/>
      <c r="X122" s="348"/>
    </row>
    <row r="123" spans="1:24" ht="15.6">
      <c r="A123" s="356"/>
      <c r="B123" s="348"/>
      <c r="C123" s="348"/>
      <c r="D123" s="348"/>
      <c r="E123" s="348"/>
      <c r="F123" s="348"/>
      <c r="G123" s="348"/>
      <c r="H123" s="348"/>
      <c r="I123" s="348"/>
      <c r="J123" s="348"/>
      <c r="K123" s="348"/>
      <c r="L123" s="348"/>
      <c r="M123" s="348"/>
      <c r="N123" s="348"/>
      <c r="O123" s="348"/>
      <c r="P123" s="348"/>
      <c r="Q123" s="348"/>
      <c r="R123" s="348"/>
      <c r="S123" s="348"/>
      <c r="T123" s="348"/>
      <c r="U123" s="348"/>
      <c r="V123" s="348"/>
      <c r="W123" s="348"/>
      <c r="X123" s="348"/>
    </row>
    <row r="124" spans="1:24" ht="15.6">
      <c r="A124" s="356"/>
      <c r="B124" s="348"/>
      <c r="C124" s="348"/>
      <c r="D124" s="348"/>
      <c r="E124" s="348"/>
      <c r="F124" s="348"/>
      <c r="G124" s="348"/>
      <c r="H124" s="348"/>
      <c r="I124" s="348"/>
      <c r="J124" s="348"/>
      <c r="K124" s="348"/>
      <c r="L124" s="348"/>
      <c r="M124" s="348"/>
      <c r="N124" s="348"/>
      <c r="O124" s="348"/>
      <c r="P124" s="348"/>
      <c r="Q124" s="348"/>
      <c r="R124" s="348"/>
      <c r="S124" s="348"/>
      <c r="T124" s="348"/>
      <c r="U124" s="348"/>
      <c r="V124" s="348"/>
      <c r="W124" s="348"/>
      <c r="X124" s="348"/>
    </row>
    <row r="125" spans="1:24" ht="15.6">
      <c r="A125" s="356"/>
      <c r="B125" s="348"/>
      <c r="C125" s="348"/>
      <c r="D125" s="348"/>
      <c r="E125" s="348"/>
      <c r="F125" s="348"/>
      <c r="G125" s="348"/>
      <c r="H125" s="348"/>
      <c r="I125" s="348"/>
      <c r="J125" s="348"/>
      <c r="K125" s="348"/>
      <c r="L125" s="348"/>
      <c r="M125" s="348"/>
      <c r="N125" s="348"/>
      <c r="O125" s="348"/>
      <c r="P125" s="348"/>
      <c r="Q125" s="348"/>
      <c r="R125" s="348"/>
      <c r="S125" s="348"/>
      <c r="T125" s="348"/>
      <c r="U125" s="348"/>
      <c r="V125" s="348"/>
      <c r="W125" s="348"/>
      <c r="X125" s="348"/>
    </row>
    <row r="126" spans="1:24" ht="15.6">
      <c r="A126" s="356"/>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8"/>
      <c r="X126" s="348"/>
    </row>
    <row r="127" spans="1:24" ht="15.6">
      <c r="A127" s="356"/>
      <c r="B127" s="348"/>
      <c r="C127" s="348"/>
      <c r="D127" s="348"/>
      <c r="E127" s="348"/>
      <c r="F127" s="348"/>
      <c r="G127" s="348"/>
      <c r="H127" s="348"/>
      <c r="I127" s="348"/>
      <c r="J127" s="348"/>
      <c r="K127" s="348"/>
      <c r="L127" s="348"/>
      <c r="M127" s="348"/>
      <c r="N127" s="348"/>
      <c r="O127" s="348"/>
      <c r="P127" s="348"/>
      <c r="Q127" s="348"/>
      <c r="R127" s="348"/>
      <c r="S127" s="348"/>
      <c r="T127" s="348"/>
      <c r="U127" s="348"/>
      <c r="V127" s="348"/>
      <c r="W127" s="348"/>
      <c r="X127" s="348"/>
    </row>
    <row r="128" spans="1:24" ht="15.6">
      <c r="A128" s="356"/>
      <c r="B128" s="348"/>
      <c r="C128" s="348"/>
      <c r="D128" s="348"/>
      <c r="E128" s="348"/>
      <c r="F128" s="348"/>
      <c r="G128" s="348"/>
      <c r="H128" s="348"/>
      <c r="I128" s="348"/>
      <c r="J128" s="348"/>
      <c r="K128" s="348"/>
      <c r="L128" s="348"/>
      <c r="M128" s="348"/>
      <c r="N128" s="348"/>
      <c r="O128" s="348"/>
      <c r="P128" s="348"/>
      <c r="Q128" s="348"/>
      <c r="R128" s="348"/>
      <c r="S128" s="348"/>
      <c r="T128" s="348"/>
      <c r="U128" s="348"/>
      <c r="V128" s="348"/>
      <c r="W128" s="348"/>
      <c r="X128" s="348"/>
    </row>
    <row r="129" spans="1:24" ht="15.6">
      <c r="A129" s="356"/>
      <c r="B129" s="348"/>
      <c r="C129" s="348"/>
      <c r="D129" s="348"/>
      <c r="E129" s="348"/>
      <c r="F129" s="348"/>
      <c r="G129" s="348"/>
      <c r="H129" s="348"/>
      <c r="I129" s="348"/>
      <c r="J129" s="348"/>
      <c r="K129" s="348"/>
      <c r="L129" s="348"/>
      <c r="M129" s="348"/>
      <c r="N129" s="348"/>
      <c r="O129" s="348"/>
      <c r="P129" s="348"/>
      <c r="Q129" s="348"/>
      <c r="R129" s="348"/>
      <c r="S129" s="348"/>
      <c r="T129" s="348"/>
      <c r="U129" s="348"/>
      <c r="V129" s="348"/>
      <c r="W129" s="348"/>
      <c r="X129" s="348"/>
    </row>
    <row r="130" spans="1:24" ht="15.6">
      <c r="A130" s="356"/>
      <c r="B130" s="348"/>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row>
    <row r="131" spans="1:24" ht="15.6">
      <c r="A131" s="356"/>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8"/>
      <c r="X131" s="348"/>
    </row>
    <row r="132" spans="1:24" ht="15.6">
      <c r="A132" s="356"/>
      <c r="B132" s="348"/>
      <c r="C132" s="348"/>
      <c r="D132" s="348"/>
      <c r="E132" s="348"/>
      <c r="F132" s="348"/>
      <c r="G132" s="348"/>
      <c r="H132" s="348"/>
      <c r="I132" s="348"/>
      <c r="J132" s="348"/>
      <c r="K132" s="348"/>
      <c r="L132" s="348"/>
      <c r="M132" s="348"/>
      <c r="N132" s="348"/>
      <c r="O132" s="348"/>
      <c r="P132" s="348"/>
      <c r="Q132" s="348"/>
      <c r="R132" s="348"/>
      <c r="S132" s="348"/>
      <c r="T132" s="348"/>
      <c r="U132" s="348"/>
      <c r="V132" s="348"/>
      <c r="W132" s="348"/>
      <c r="X132" s="348"/>
    </row>
    <row r="133" spans="1:24" ht="15.6">
      <c r="A133" s="356"/>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row>
    <row r="134" spans="1:24" ht="15.6">
      <c r="A134" s="356"/>
      <c r="B134" s="348"/>
      <c r="C134" s="348"/>
      <c r="D134" s="348"/>
      <c r="E134" s="348"/>
      <c r="F134" s="348"/>
      <c r="G134" s="348"/>
      <c r="H134" s="348"/>
      <c r="I134" s="348"/>
      <c r="J134" s="348"/>
      <c r="K134" s="348"/>
      <c r="L134" s="348"/>
      <c r="M134" s="348"/>
      <c r="N134" s="348"/>
      <c r="O134" s="348"/>
      <c r="P134" s="348"/>
      <c r="Q134" s="348"/>
      <c r="R134" s="348"/>
      <c r="S134" s="348"/>
      <c r="T134" s="348"/>
      <c r="U134" s="348"/>
      <c r="V134" s="348"/>
      <c r="W134" s="348"/>
      <c r="X134" s="348"/>
    </row>
    <row r="135" spans="1:24" ht="15.6">
      <c r="A135" s="356"/>
      <c r="B135" s="348"/>
      <c r="C135" s="348"/>
      <c r="D135" s="348"/>
      <c r="E135" s="348"/>
      <c r="F135" s="348"/>
      <c r="G135" s="348"/>
      <c r="H135" s="348"/>
      <c r="I135" s="348"/>
      <c r="J135" s="348"/>
      <c r="K135" s="348"/>
      <c r="L135" s="348"/>
      <c r="M135" s="348"/>
      <c r="N135" s="348"/>
      <c r="O135" s="348"/>
      <c r="P135" s="348"/>
      <c r="Q135" s="348"/>
      <c r="R135" s="348"/>
      <c r="S135" s="348"/>
      <c r="T135" s="348"/>
      <c r="U135" s="348"/>
      <c r="V135" s="348"/>
      <c r="W135" s="348"/>
      <c r="X135" s="348"/>
    </row>
    <row r="136" spans="1:24" ht="15.6">
      <c r="A136" s="356"/>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8"/>
      <c r="X136" s="348"/>
    </row>
    <row r="137" spans="1:24" ht="15.6">
      <c r="A137" s="356"/>
      <c r="B137" s="348"/>
      <c r="C137" s="348"/>
      <c r="D137" s="348"/>
      <c r="E137" s="348"/>
      <c r="F137" s="348"/>
      <c r="G137" s="348"/>
      <c r="H137" s="348"/>
      <c r="I137" s="348"/>
      <c r="J137" s="348"/>
      <c r="K137" s="348"/>
      <c r="L137" s="348"/>
      <c r="M137" s="348"/>
      <c r="N137" s="348"/>
      <c r="O137" s="348"/>
      <c r="P137" s="348"/>
      <c r="Q137" s="348"/>
      <c r="R137" s="348"/>
      <c r="S137" s="348"/>
      <c r="T137" s="348"/>
      <c r="U137" s="348"/>
      <c r="V137" s="348"/>
      <c r="W137" s="348"/>
      <c r="X137" s="348"/>
    </row>
    <row r="138" spans="1:24" ht="15.6">
      <c r="A138" s="356"/>
      <c r="B138" s="348"/>
      <c r="C138" s="348"/>
      <c r="D138" s="348"/>
      <c r="E138" s="348"/>
      <c r="F138" s="348"/>
      <c r="G138" s="348"/>
      <c r="H138" s="348"/>
      <c r="I138" s="348"/>
      <c r="J138" s="348"/>
      <c r="K138" s="348"/>
      <c r="L138" s="348"/>
      <c r="M138" s="348"/>
      <c r="N138" s="348"/>
      <c r="O138" s="348"/>
      <c r="P138" s="348"/>
      <c r="Q138" s="348"/>
      <c r="R138" s="348"/>
      <c r="S138" s="348"/>
      <c r="T138" s="348"/>
      <c r="U138" s="348"/>
      <c r="V138" s="348"/>
      <c r="W138" s="348"/>
      <c r="X138" s="348"/>
    </row>
    <row r="139" spans="1:24" ht="15.6">
      <c r="A139" s="356"/>
      <c r="B139" s="348"/>
      <c r="C139" s="348"/>
      <c r="D139" s="348"/>
      <c r="E139" s="348"/>
      <c r="F139" s="348"/>
      <c r="G139" s="348"/>
      <c r="H139" s="348"/>
      <c r="I139" s="348"/>
      <c r="J139" s="348"/>
      <c r="K139" s="348"/>
      <c r="L139" s="348"/>
      <c r="M139" s="348"/>
      <c r="N139" s="348"/>
      <c r="O139" s="348"/>
      <c r="P139" s="348"/>
      <c r="Q139" s="348"/>
      <c r="R139" s="348"/>
      <c r="S139" s="348"/>
      <c r="T139" s="348"/>
      <c r="U139" s="348"/>
      <c r="V139" s="348"/>
      <c r="W139" s="348"/>
      <c r="X139" s="348"/>
    </row>
    <row r="140" spans="1:24" ht="15.6">
      <c r="A140" s="356"/>
      <c r="B140" s="348"/>
      <c r="C140" s="348"/>
      <c r="D140" s="348"/>
      <c r="E140" s="348"/>
      <c r="F140" s="348"/>
      <c r="G140" s="348"/>
      <c r="H140" s="348"/>
      <c r="I140" s="348"/>
      <c r="J140" s="348"/>
      <c r="K140" s="348"/>
      <c r="L140" s="348"/>
      <c r="M140" s="348"/>
      <c r="N140" s="348"/>
      <c r="O140" s="348"/>
      <c r="P140" s="348"/>
      <c r="Q140" s="348"/>
      <c r="R140" s="348"/>
      <c r="S140" s="348"/>
      <c r="T140" s="348"/>
      <c r="U140" s="348"/>
      <c r="V140" s="348"/>
      <c r="W140" s="348"/>
      <c r="X140" s="348"/>
    </row>
    <row r="141" spans="1:24" ht="15.6">
      <c r="A141" s="356"/>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8"/>
      <c r="X141" s="348"/>
    </row>
    <row r="142" spans="1:24" ht="15.6">
      <c r="A142" s="356"/>
      <c r="B142" s="348"/>
      <c r="C142" s="348"/>
      <c r="D142" s="348"/>
      <c r="E142" s="348"/>
      <c r="F142" s="348"/>
      <c r="G142" s="348"/>
      <c r="H142" s="348"/>
      <c r="I142" s="348"/>
      <c r="J142" s="348"/>
      <c r="K142" s="348"/>
      <c r="L142" s="348"/>
      <c r="M142" s="348"/>
      <c r="N142" s="348"/>
      <c r="O142" s="348"/>
      <c r="P142" s="348"/>
      <c r="Q142" s="348"/>
      <c r="R142" s="348"/>
      <c r="S142" s="348"/>
      <c r="T142" s="348"/>
      <c r="U142" s="348"/>
      <c r="V142" s="348"/>
      <c r="W142" s="348"/>
      <c r="X142" s="348"/>
    </row>
    <row r="143" spans="1:24" ht="15.6">
      <c r="A143" s="356"/>
      <c r="B143" s="348"/>
      <c r="C143" s="348"/>
      <c r="D143" s="348"/>
      <c r="E143" s="348"/>
      <c r="F143" s="348"/>
      <c r="G143" s="348"/>
      <c r="H143" s="348"/>
      <c r="I143" s="348"/>
      <c r="J143" s="348"/>
      <c r="K143" s="348"/>
      <c r="L143" s="348"/>
      <c r="M143" s="348"/>
      <c r="N143" s="348"/>
      <c r="O143" s="348"/>
      <c r="P143" s="348"/>
      <c r="Q143" s="348"/>
      <c r="R143" s="348"/>
      <c r="S143" s="348"/>
      <c r="T143" s="348"/>
      <c r="U143" s="348"/>
      <c r="V143" s="348"/>
      <c r="W143" s="348"/>
      <c r="X143" s="348"/>
    </row>
    <row r="144" spans="1:24" ht="15.6">
      <c r="A144" s="356"/>
      <c r="B144" s="348"/>
      <c r="C144" s="348"/>
      <c r="D144" s="348"/>
      <c r="E144" s="348"/>
      <c r="F144" s="348"/>
      <c r="G144" s="348"/>
      <c r="H144" s="348"/>
      <c r="I144" s="348"/>
      <c r="J144" s="348"/>
      <c r="K144" s="348"/>
      <c r="L144" s="348"/>
      <c r="M144" s="348"/>
      <c r="N144" s="348"/>
      <c r="O144" s="348"/>
      <c r="P144" s="348"/>
      <c r="Q144" s="348"/>
      <c r="R144" s="348"/>
      <c r="S144" s="348"/>
      <c r="T144" s="348"/>
      <c r="U144" s="348"/>
      <c r="V144" s="348"/>
      <c r="W144" s="348"/>
      <c r="X144" s="348"/>
    </row>
    <row r="145" spans="1:24" ht="15.6">
      <c r="A145" s="356"/>
      <c r="B145" s="348"/>
      <c r="C145" s="348"/>
      <c r="D145" s="348"/>
      <c r="E145" s="348"/>
      <c r="F145" s="348"/>
      <c r="G145" s="348"/>
      <c r="H145" s="348"/>
      <c r="I145" s="348"/>
      <c r="J145" s="348"/>
      <c r="K145" s="348"/>
      <c r="L145" s="348"/>
      <c r="M145" s="348"/>
      <c r="N145" s="348"/>
      <c r="O145" s="348"/>
      <c r="P145" s="348"/>
      <c r="Q145" s="348"/>
      <c r="R145" s="348"/>
      <c r="S145" s="348"/>
      <c r="T145" s="348"/>
      <c r="U145" s="348"/>
      <c r="V145" s="348"/>
      <c r="W145" s="348"/>
      <c r="X145" s="348"/>
    </row>
    <row r="146" spans="1:24" ht="15.6">
      <c r="A146" s="356"/>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8"/>
      <c r="X146" s="348"/>
    </row>
    <row r="147" spans="1:24" ht="15.6">
      <c r="A147" s="356"/>
      <c r="B147" s="348"/>
      <c r="C147" s="348"/>
      <c r="D147" s="348"/>
      <c r="E147" s="348"/>
      <c r="F147" s="348"/>
      <c r="G147" s="348"/>
      <c r="H147" s="348"/>
      <c r="I147" s="348"/>
      <c r="J147" s="348"/>
      <c r="K147" s="348"/>
      <c r="L147" s="348"/>
      <c r="M147" s="348"/>
      <c r="N147" s="348"/>
      <c r="O147" s="348"/>
      <c r="P147" s="348"/>
      <c r="Q147" s="348"/>
      <c r="R147" s="348"/>
      <c r="S147" s="348"/>
      <c r="T147" s="348"/>
      <c r="U147" s="348"/>
      <c r="V147" s="348"/>
      <c r="W147" s="348"/>
      <c r="X147" s="348"/>
    </row>
    <row r="148" spans="1:24" ht="15.6">
      <c r="A148" s="356"/>
      <c r="B148" s="348"/>
      <c r="C148" s="348"/>
      <c r="D148" s="348"/>
      <c r="E148" s="348"/>
      <c r="F148" s="348"/>
      <c r="G148" s="348"/>
      <c r="H148" s="348"/>
      <c r="I148" s="348"/>
      <c r="J148" s="348"/>
      <c r="K148" s="348"/>
      <c r="L148" s="348"/>
      <c r="M148" s="348"/>
      <c r="N148" s="348"/>
      <c r="O148" s="348"/>
      <c r="P148" s="348"/>
      <c r="Q148" s="348"/>
      <c r="R148" s="348"/>
      <c r="S148" s="348"/>
      <c r="T148" s="348"/>
      <c r="U148" s="348"/>
      <c r="V148" s="348"/>
      <c r="W148" s="348"/>
      <c r="X148" s="348"/>
    </row>
    <row r="149" spans="1:24" ht="15.6">
      <c r="A149" s="356"/>
      <c r="B149" s="348"/>
      <c r="C149" s="348"/>
      <c r="D149" s="348"/>
      <c r="E149" s="348"/>
      <c r="F149" s="348"/>
      <c r="G149" s="348"/>
      <c r="H149" s="348"/>
      <c r="I149" s="348"/>
      <c r="J149" s="348"/>
      <c r="K149" s="348"/>
      <c r="L149" s="348"/>
      <c r="M149" s="348"/>
      <c r="N149" s="348"/>
      <c r="O149" s="348"/>
      <c r="P149" s="348"/>
      <c r="Q149" s="348"/>
      <c r="R149" s="348"/>
      <c r="S149" s="348"/>
      <c r="T149" s="348"/>
      <c r="U149" s="348"/>
      <c r="V149" s="348"/>
      <c r="W149" s="348"/>
      <c r="X149" s="348"/>
    </row>
    <row r="150" spans="1:24" ht="15.6">
      <c r="A150" s="356"/>
      <c r="B150" s="348"/>
      <c r="C150" s="348"/>
      <c r="D150" s="348"/>
      <c r="E150" s="348"/>
      <c r="F150" s="348"/>
      <c r="G150" s="348"/>
      <c r="H150" s="348"/>
      <c r="I150" s="348"/>
      <c r="J150" s="348"/>
      <c r="K150" s="348"/>
      <c r="L150" s="348"/>
      <c r="M150" s="348"/>
      <c r="N150" s="348"/>
      <c r="O150" s="348"/>
      <c r="P150" s="348"/>
      <c r="Q150" s="348"/>
      <c r="R150" s="348"/>
      <c r="S150" s="348"/>
      <c r="T150" s="348"/>
      <c r="U150" s="348"/>
      <c r="V150" s="348"/>
      <c r="W150" s="348"/>
      <c r="X150" s="348"/>
    </row>
    <row r="151" spans="1:24" ht="15.6">
      <c r="A151" s="356"/>
      <c r="B151" s="348"/>
      <c r="C151" s="348"/>
      <c r="D151" s="348"/>
      <c r="E151" s="348"/>
      <c r="F151" s="348"/>
      <c r="G151" s="348"/>
      <c r="H151" s="348"/>
      <c r="I151" s="348"/>
      <c r="J151" s="348"/>
      <c r="K151" s="348"/>
      <c r="L151" s="348"/>
      <c r="M151" s="348"/>
      <c r="N151" s="348"/>
      <c r="O151" s="348"/>
      <c r="P151" s="348"/>
      <c r="Q151" s="348"/>
      <c r="R151" s="348"/>
      <c r="S151" s="348"/>
      <c r="T151" s="348"/>
      <c r="U151" s="348"/>
      <c r="V151" s="348"/>
      <c r="W151" s="348"/>
      <c r="X151" s="348"/>
    </row>
    <row r="152" spans="1:24" ht="15.6">
      <c r="A152" s="356"/>
      <c r="B152" s="348"/>
      <c r="C152" s="348"/>
      <c r="D152" s="348"/>
      <c r="E152" s="348"/>
      <c r="F152" s="348"/>
      <c r="G152" s="348"/>
      <c r="H152" s="348"/>
      <c r="I152" s="348"/>
      <c r="J152" s="348"/>
      <c r="K152" s="348"/>
      <c r="L152" s="348"/>
      <c r="M152" s="348"/>
      <c r="N152" s="348"/>
      <c r="O152" s="348"/>
      <c r="P152" s="348"/>
      <c r="Q152" s="348"/>
      <c r="R152" s="348"/>
      <c r="S152" s="348"/>
      <c r="T152" s="348"/>
      <c r="U152" s="348"/>
      <c r="V152" s="348"/>
      <c r="W152" s="348"/>
      <c r="X152" s="348"/>
    </row>
    <row r="153" spans="1:24" ht="15.6">
      <c r="A153" s="356"/>
      <c r="B153" s="348"/>
      <c r="C153" s="348"/>
      <c r="D153" s="348"/>
      <c r="E153" s="348"/>
      <c r="F153" s="348"/>
      <c r="G153" s="348"/>
      <c r="H153" s="348"/>
      <c r="I153" s="348"/>
      <c r="J153" s="348"/>
      <c r="K153" s="348"/>
      <c r="L153" s="348"/>
      <c r="M153" s="348"/>
      <c r="N153" s="348"/>
      <c r="O153" s="348"/>
      <c r="P153" s="348"/>
      <c r="Q153" s="348"/>
      <c r="R153" s="348"/>
      <c r="S153" s="348"/>
      <c r="T153" s="348"/>
      <c r="U153" s="348"/>
      <c r="V153" s="348"/>
      <c r="W153" s="348"/>
      <c r="X153" s="348"/>
    </row>
    <row r="154" spans="1:24" ht="15.6">
      <c r="A154" s="356"/>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348"/>
      <c r="X154" s="348"/>
    </row>
    <row r="155" spans="1:24" ht="15.6">
      <c r="A155" s="356"/>
      <c r="B155" s="348"/>
      <c r="C155" s="348"/>
      <c r="D155" s="348"/>
      <c r="E155" s="348"/>
      <c r="F155" s="348"/>
      <c r="G155" s="348"/>
      <c r="H155" s="348"/>
      <c r="I155" s="348"/>
      <c r="J155" s="348"/>
      <c r="K155" s="348"/>
      <c r="L155" s="348"/>
      <c r="M155" s="348"/>
      <c r="N155" s="348"/>
      <c r="O155" s="348"/>
      <c r="P155" s="348"/>
      <c r="Q155" s="348"/>
      <c r="R155" s="348"/>
      <c r="S155" s="348"/>
      <c r="T155" s="348"/>
      <c r="U155" s="348"/>
      <c r="V155" s="348"/>
      <c r="W155" s="348"/>
      <c r="X155" s="348"/>
    </row>
    <row r="156" spans="1:24" ht="15.6">
      <c r="A156" s="356"/>
      <c r="B156" s="348"/>
      <c r="C156" s="348"/>
      <c r="D156" s="348"/>
      <c r="E156" s="348"/>
      <c r="F156" s="348"/>
      <c r="G156" s="348"/>
      <c r="H156" s="348"/>
      <c r="I156" s="348"/>
      <c r="J156" s="348"/>
      <c r="K156" s="348"/>
      <c r="L156" s="348"/>
      <c r="M156" s="348"/>
      <c r="N156" s="348"/>
      <c r="O156" s="348"/>
      <c r="P156" s="348"/>
      <c r="Q156" s="348"/>
      <c r="R156" s="348"/>
      <c r="S156" s="348"/>
      <c r="T156" s="348"/>
      <c r="U156" s="348"/>
      <c r="V156" s="348"/>
      <c r="W156" s="348"/>
      <c r="X156" s="348"/>
    </row>
    <row r="157" spans="1:24" ht="15.6">
      <c r="A157" s="356"/>
      <c r="B157" s="348"/>
      <c r="C157" s="348"/>
      <c r="D157" s="348"/>
      <c r="E157" s="348"/>
      <c r="F157" s="348"/>
      <c r="G157" s="348"/>
      <c r="H157" s="348"/>
      <c r="I157" s="348"/>
      <c r="J157" s="348"/>
      <c r="K157" s="348"/>
      <c r="L157" s="348"/>
      <c r="M157" s="348"/>
      <c r="N157" s="348"/>
      <c r="O157" s="348"/>
      <c r="P157" s="348"/>
      <c r="Q157" s="348"/>
      <c r="R157" s="348"/>
      <c r="S157" s="348"/>
      <c r="T157" s="348"/>
      <c r="U157" s="348"/>
      <c r="V157" s="348"/>
      <c r="W157" s="348"/>
      <c r="X157" s="348"/>
    </row>
    <row r="158" spans="1:24" ht="15.6">
      <c r="A158" s="356"/>
      <c r="B158" s="348"/>
      <c r="C158" s="348"/>
      <c r="D158" s="348"/>
      <c r="E158" s="348"/>
      <c r="F158" s="348"/>
      <c r="G158" s="348"/>
      <c r="H158" s="348"/>
      <c r="I158" s="348"/>
      <c r="J158" s="348"/>
      <c r="K158" s="348"/>
      <c r="L158" s="348"/>
      <c r="M158" s="348"/>
      <c r="N158" s="348"/>
      <c r="O158" s="348"/>
      <c r="P158" s="348"/>
      <c r="Q158" s="348"/>
      <c r="R158" s="348"/>
      <c r="S158" s="348"/>
      <c r="T158" s="348"/>
      <c r="U158" s="348"/>
      <c r="V158" s="348"/>
      <c r="W158" s="348"/>
      <c r="X158" s="348"/>
    </row>
    <row r="159" spans="1:24" ht="15.6">
      <c r="A159" s="356"/>
      <c r="B159" s="348"/>
      <c r="C159" s="348"/>
      <c r="D159" s="348"/>
      <c r="E159" s="348"/>
      <c r="F159" s="348"/>
      <c r="G159" s="348"/>
      <c r="H159" s="348"/>
      <c r="I159" s="348"/>
      <c r="J159" s="348"/>
      <c r="K159" s="348"/>
      <c r="L159" s="348"/>
      <c r="M159" s="348"/>
      <c r="N159" s="348"/>
      <c r="O159" s="348"/>
      <c r="P159" s="348"/>
      <c r="Q159" s="348"/>
      <c r="R159" s="348"/>
      <c r="S159" s="348"/>
      <c r="T159" s="348"/>
      <c r="U159" s="348"/>
      <c r="V159" s="348"/>
      <c r="W159" s="348"/>
      <c r="X159" s="348"/>
    </row>
    <row r="160" spans="1:24" ht="15.6">
      <c r="A160" s="356"/>
      <c r="B160" s="348"/>
      <c r="C160" s="348"/>
      <c r="D160" s="348"/>
      <c r="E160" s="348"/>
      <c r="F160" s="348"/>
      <c r="G160" s="348"/>
      <c r="H160" s="348"/>
      <c r="I160" s="348"/>
      <c r="J160" s="348"/>
      <c r="K160" s="348"/>
      <c r="L160" s="348"/>
      <c r="M160" s="348"/>
      <c r="N160" s="348"/>
      <c r="O160" s="348"/>
      <c r="P160" s="348"/>
      <c r="Q160" s="348"/>
      <c r="R160" s="348"/>
      <c r="S160" s="348"/>
      <c r="T160" s="348"/>
      <c r="U160" s="348"/>
      <c r="V160" s="348"/>
      <c r="W160" s="348"/>
      <c r="X160" s="348"/>
    </row>
    <row r="161" spans="1:24" ht="15.6">
      <c r="A161" s="356"/>
      <c r="B161" s="348"/>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row>
    <row r="162" spans="1:24" ht="15.6">
      <c r="A162" s="356"/>
      <c r="B162" s="348"/>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row>
    <row r="163" spans="1:24" ht="15.6">
      <c r="A163" s="356"/>
      <c r="B163" s="348"/>
      <c r="C163" s="348"/>
      <c r="D163" s="348"/>
      <c r="E163" s="348"/>
      <c r="F163" s="348"/>
      <c r="G163" s="348"/>
      <c r="H163" s="348"/>
      <c r="I163" s="348"/>
      <c r="J163" s="348"/>
      <c r="K163" s="348"/>
      <c r="L163" s="348"/>
      <c r="M163" s="348"/>
      <c r="N163" s="348"/>
      <c r="O163" s="348"/>
      <c r="P163" s="348"/>
      <c r="Q163" s="348"/>
      <c r="R163" s="348"/>
      <c r="S163" s="348"/>
      <c r="T163" s="348"/>
      <c r="U163" s="348"/>
      <c r="V163" s="348"/>
      <c r="W163" s="348"/>
      <c r="X163" s="348"/>
    </row>
    <row r="164" spans="1:24" ht="15.6">
      <c r="A164" s="356"/>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8"/>
      <c r="X164" s="348"/>
    </row>
    <row r="165" spans="1:24" ht="15.6">
      <c r="A165" s="356"/>
      <c r="B165" s="348"/>
      <c r="C165" s="348"/>
      <c r="D165" s="348"/>
      <c r="E165" s="348"/>
      <c r="F165" s="348"/>
      <c r="G165" s="348"/>
      <c r="H165" s="348"/>
      <c r="I165" s="348"/>
      <c r="J165" s="348"/>
      <c r="K165" s="348"/>
      <c r="L165" s="348"/>
      <c r="M165" s="348"/>
      <c r="N165" s="348"/>
      <c r="O165" s="348"/>
      <c r="P165" s="348"/>
      <c r="Q165" s="348"/>
      <c r="R165" s="348"/>
      <c r="S165" s="348"/>
      <c r="T165" s="348"/>
      <c r="U165" s="348"/>
      <c r="V165" s="348"/>
      <c r="W165" s="348"/>
      <c r="X165" s="348"/>
    </row>
    <row r="166" spans="1:24" ht="15.6">
      <c r="A166" s="356"/>
      <c r="B166" s="348"/>
      <c r="C166" s="348"/>
      <c r="D166" s="348"/>
      <c r="E166" s="348"/>
      <c r="F166" s="348"/>
      <c r="G166" s="348"/>
      <c r="H166" s="348"/>
      <c r="I166" s="348"/>
      <c r="J166" s="348"/>
      <c r="K166" s="348"/>
      <c r="L166" s="348"/>
      <c r="M166" s="348"/>
      <c r="N166" s="348"/>
      <c r="O166" s="348"/>
      <c r="P166" s="348"/>
      <c r="Q166" s="348"/>
      <c r="R166" s="348"/>
      <c r="S166" s="348"/>
      <c r="T166" s="348"/>
      <c r="U166" s="348"/>
      <c r="V166" s="348"/>
      <c r="W166" s="348"/>
      <c r="X166" s="348"/>
    </row>
    <row r="167" spans="1:24" ht="15.6">
      <c r="A167" s="356"/>
      <c r="B167" s="348"/>
      <c r="C167" s="348"/>
      <c r="D167" s="348"/>
      <c r="E167" s="348"/>
      <c r="F167" s="348"/>
      <c r="G167" s="348"/>
      <c r="H167" s="348"/>
      <c r="I167" s="348"/>
      <c r="J167" s="348"/>
      <c r="K167" s="348"/>
      <c r="L167" s="348"/>
      <c r="M167" s="348"/>
      <c r="N167" s="348"/>
      <c r="O167" s="348"/>
      <c r="P167" s="348"/>
      <c r="Q167" s="348"/>
      <c r="R167" s="348"/>
      <c r="S167" s="348"/>
      <c r="T167" s="348"/>
      <c r="U167" s="348"/>
      <c r="V167" s="348"/>
      <c r="W167" s="348"/>
      <c r="X167" s="348"/>
    </row>
    <row r="168" spans="1:24" ht="15.6">
      <c r="A168" s="356"/>
      <c r="B168" s="348"/>
      <c r="C168" s="348"/>
      <c r="D168" s="348"/>
      <c r="E168" s="348"/>
      <c r="F168" s="348"/>
      <c r="G168" s="348"/>
      <c r="H168" s="348"/>
      <c r="I168" s="348"/>
      <c r="J168" s="348"/>
      <c r="K168" s="348"/>
      <c r="L168" s="348"/>
      <c r="M168" s="348"/>
      <c r="N168" s="348"/>
      <c r="O168" s="348"/>
      <c r="P168" s="348"/>
      <c r="Q168" s="348"/>
      <c r="R168" s="348"/>
      <c r="S168" s="348"/>
      <c r="T168" s="348"/>
      <c r="U168" s="348"/>
      <c r="V168" s="348"/>
      <c r="W168" s="348"/>
      <c r="X168" s="348"/>
    </row>
    <row r="169" spans="1:24" ht="15.6">
      <c r="A169" s="356"/>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8"/>
      <c r="X169" s="348"/>
    </row>
    <row r="170" spans="1:24" ht="15.6">
      <c r="A170" s="356"/>
      <c r="B170" s="348"/>
      <c r="C170" s="348"/>
      <c r="D170" s="348"/>
      <c r="E170" s="348"/>
      <c r="F170" s="348"/>
      <c r="G170" s="348"/>
      <c r="H170" s="348"/>
      <c r="I170" s="348"/>
      <c r="J170" s="348"/>
      <c r="K170" s="348"/>
      <c r="L170" s="348"/>
      <c r="M170" s="348"/>
      <c r="N170" s="348"/>
      <c r="O170" s="348"/>
      <c r="P170" s="348"/>
      <c r="Q170" s="348"/>
      <c r="R170" s="348"/>
      <c r="S170" s="348"/>
      <c r="T170" s="348"/>
      <c r="U170" s="348"/>
      <c r="V170" s="348"/>
      <c r="W170" s="348"/>
      <c r="X170" s="348"/>
    </row>
    <row r="171" spans="1:24" ht="15.6">
      <c r="A171" s="356"/>
      <c r="B171" s="348"/>
      <c r="C171" s="348"/>
      <c r="D171" s="348"/>
      <c r="E171" s="348"/>
      <c r="F171" s="348"/>
      <c r="G171" s="348"/>
      <c r="H171" s="348"/>
      <c r="I171" s="348"/>
      <c r="J171" s="348"/>
      <c r="K171" s="348"/>
      <c r="L171" s="348"/>
      <c r="M171" s="348"/>
      <c r="N171" s="348"/>
      <c r="O171" s="348"/>
      <c r="P171" s="348"/>
      <c r="Q171" s="348"/>
      <c r="R171" s="348"/>
      <c r="S171" s="348"/>
      <c r="T171" s="348"/>
      <c r="U171" s="348"/>
      <c r="V171" s="348"/>
      <c r="W171" s="348"/>
      <c r="X171" s="348"/>
    </row>
    <row r="172" spans="1:24" ht="15.6">
      <c r="A172" s="356"/>
      <c r="B172" s="348"/>
      <c r="C172" s="348"/>
      <c r="D172" s="348"/>
      <c r="E172" s="348"/>
      <c r="F172" s="348"/>
      <c r="G172" s="348"/>
      <c r="H172" s="348"/>
      <c r="I172" s="348"/>
      <c r="J172" s="348"/>
      <c r="K172" s="348"/>
      <c r="L172" s="348"/>
      <c r="M172" s="348"/>
      <c r="N172" s="348"/>
      <c r="O172" s="348"/>
      <c r="P172" s="348"/>
      <c r="Q172" s="348"/>
      <c r="R172" s="348"/>
      <c r="S172" s="348"/>
      <c r="T172" s="348"/>
      <c r="U172" s="348"/>
      <c r="V172" s="348"/>
      <c r="W172" s="348"/>
      <c r="X172" s="348"/>
    </row>
    <row r="173" spans="1:24" ht="15.6">
      <c r="A173" s="356"/>
      <c r="B173" s="348"/>
      <c r="C173" s="348"/>
      <c r="D173" s="348"/>
      <c r="E173" s="348"/>
      <c r="F173" s="348"/>
      <c r="G173" s="348"/>
      <c r="H173" s="348"/>
      <c r="I173" s="348"/>
      <c r="J173" s="348"/>
      <c r="K173" s="348"/>
      <c r="L173" s="348"/>
      <c r="M173" s="348"/>
      <c r="N173" s="348"/>
      <c r="O173" s="348"/>
      <c r="P173" s="348"/>
      <c r="Q173" s="348"/>
      <c r="R173" s="348"/>
      <c r="S173" s="348"/>
      <c r="T173" s="348"/>
      <c r="U173" s="348"/>
      <c r="V173" s="348"/>
      <c r="W173" s="348"/>
      <c r="X173" s="348"/>
    </row>
    <row r="174" spans="1:24" ht="15.6">
      <c r="A174" s="356"/>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8"/>
      <c r="X174" s="348"/>
    </row>
    <row r="175" spans="1:24" ht="15.6">
      <c r="A175" s="356"/>
      <c r="B175" s="348"/>
      <c r="C175" s="348"/>
      <c r="D175" s="348"/>
      <c r="E175" s="348"/>
      <c r="F175" s="348"/>
      <c r="G175" s="348"/>
      <c r="H175" s="348"/>
      <c r="I175" s="348"/>
      <c r="J175" s="348"/>
      <c r="K175" s="348"/>
      <c r="L175" s="348"/>
      <c r="M175" s="348"/>
      <c r="N175" s="348"/>
      <c r="O175" s="348"/>
      <c r="P175" s="348"/>
      <c r="Q175" s="348"/>
      <c r="R175" s="348"/>
      <c r="S175" s="348"/>
      <c r="T175" s="348"/>
      <c r="U175" s="348"/>
      <c r="V175" s="348"/>
      <c r="W175" s="348"/>
      <c r="X175" s="348"/>
    </row>
    <row r="176" spans="1:24" ht="15.6">
      <c r="A176" s="356"/>
      <c r="B176" s="348"/>
      <c r="C176" s="348"/>
      <c r="D176" s="348"/>
      <c r="E176" s="348"/>
      <c r="F176" s="348"/>
      <c r="G176" s="348"/>
      <c r="H176" s="348"/>
      <c r="I176" s="348"/>
      <c r="J176" s="348"/>
      <c r="K176" s="348"/>
      <c r="L176" s="348"/>
      <c r="M176" s="348"/>
      <c r="N176" s="348"/>
      <c r="O176" s="348"/>
      <c r="P176" s="348"/>
      <c r="Q176" s="348"/>
      <c r="R176" s="348"/>
      <c r="S176" s="348"/>
      <c r="T176" s="348"/>
      <c r="U176" s="348"/>
      <c r="V176" s="348"/>
      <c r="W176" s="348"/>
      <c r="X176" s="348"/>
    </row>
    <row r="177" spans="1:24" ht="15.6">
      <c r="A177" s="356"/>
      <c r="B177" s="348"/>
      <c r="C177" s="348"/>
      <c r="D177" s="348"/>
      <c r="E177" s="348"/>
      <c r="F177" s="348"/>
      <c r="G177" s="348"/>
      <c r="H177" s="348"/>
      <c r="I177" s="348"/>
      <c r="J177" s="348"/>
      <c r="K177" s="348"/>
      <c r="L177" s="348"/>
      <c r="M177" s="348"/>
      <c r="N177" s="348"/>
      <c r="O177" s="348"/>
      <c r="P177" s="348"/>
      <c r="Q177" s="348"/>
      <c r="R177" s="348"/>
      <c r="S177" s="348"/>
      <c r="T177" s="348"/>
      <c r="U177" s="348"/>
      <c r="V177" s="348"/>
      <c r="W177" s="348"/>
      <c r="X177" s="348"/>
    </row>
    <row r="178" spans="1:24" ht="15.6">
      <c r="A178" s="356"/>
      <c r="B178" s="348"/>
      <c r="C178" s="348"/>
      <c r="D178" s="348"/>
      <c r="E178" s="348"/>
      <c r="F178" s="348"/>
      <c r="G178" s="348"/>
      <c r="H178" s="348"/>
      <c r="I178" s="348"/>
      <c r="J178" s="348"/>
      <c r="K178" s="348"/>
      <c r="L178" s="348"/>
      <c r="M178" s="348"/>
      <c r="N178" s="348"/>
      <c r="O178" s="348"/>
      <c r="P178" s="348"/>
      <c r="Q178" s="348"/>
      <c r="R178" s="348"/>
      <c r="S178" s="348"/>
      <c r="T178" s="348"/>
      <c r="U178" s="348"/>
      <c r="V178" s="348"/>
      <c r="W178" s="348"/>
      <c r="X178" s="348"/>
    </row>
    <row r="179" spans="1:24" ht="15.6">
      <c r="A179" s="356"/>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8"/>
      <c r="X179" s="348"/>
    </row>
    <row r="180" spans="1:24" ht="15.6">
      <c r="A180" s="356"/>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row>
    <row r="181" spans="1:24" ht="15.6">
      <c r="A181" s="356"/>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row>
    <row r="182" spans="1:24" ht="15.6">
      <c r="A182" s="356"/>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row>
    <row r="183" spans="1:24" ht="15.6">
      <c r="A183" s="356"/>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row>
    <row r="184" spans="1:24" ht="15.6">
      <c r="A184" s="356"/>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row>
    <row r="185" spans="1:24" ht="15.6">
      <c r="A185" s="356"/>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row>
    <row r="186" spans="1:24" ht="15.6">
      <c r="A186" s="356"/>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row>
    <row r="187" spans="1:24" ht="15.6">
      <c r="A187" s="356"/>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row>
    <row r="188" spans="1:24" ht="15.6">
      <c r="A188" s="356"/>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row>
    <row r="189" spans="1:24" ht="15.6">
      <c r="A189" s="356"/>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row>
    <row r="190" spans="1:24" ht="15.6">
      <c r="A190" s="356"/>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row>
    <row r="191" spans="1:24" ht="15.6">
      <c r="A191" s="356"/>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row>
    <row r="192" spans="1:24" ht="15.6">
      <c r="A192" s="356"/>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row>
    <row r="193" spans="1:24" ht="15.6">
      <c r="A193" s="356"/>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row>
    <row r="194" spans="1:24" ht="15.6">
      <c r="A194" s="356"/>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row>
    <row r="195" spans="1:24" ht="15.6">
      <c r="A195" s="356"/>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row>
    <row r="196" spans="1:24" ht="15.6">
      <c r="A196" s="356"/>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row>
    <row r="197" spans="1:24" ht="15.6">
      <c r="A197" s="356"/>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row>
    <row r="198" spans="1:24" ht="15.6">
      <c r="A198" s="356"/>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row>
    <row r="199" spans="1:24" ht="15.6">
      <c r="A199" s="356"/>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row>
    <row r="200" spans="1:24" ht="15.6">
      <c r="A200" s="356"/>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row>
    <row r="201" spans="1:24" ht="15.6">
      <c r="A201" s="356"/>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row>
    <row r="202" spans="1:24" ht="15.6">
      <c r="A202" s="356"/>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row>
    <row r="203" spans="1:24" ht="15.6">
      <c r="A203" s="356"/>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row>
    <row r="204" spans="1:24" ht="15.6">
      <c r="A204" s="356"/>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row>
    <row r="205" spans="1:24" ht="15.6">
      <c r="A205" s="356"/>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row>
    <row r="206" spans="1:24" ht="15.6">
      <c r="A206" s="356"/>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row>
    <row r="207" spans="1:24" ht="15.6">
      <c r="A207" s="356"/>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row>
    <row r="208" spans="1:24" ht="15.6">
      <c r="A208" s="356"/>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row>
    <row r="209" spans="1:24" ht="15.6">
      <c r="A209" s="356"/>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row>
    <row r="210" spans="1:24" ht="15.6">
      <c r="A210" s="356"/>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row>
    <row r="211" spans="1:24" ht="15.6">
      <c r="A211" s="356"/>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row>
    <row r="212" spans="1:24" ht="15.6">
      <c r="A212" s="356"/>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row>
    <row r="213" spans="1:24" ht="15.6">
      <c r="A213" s="356"/>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row>
    <row r="214" spans="1:24" ht="15.6">
      <c r="A214" s="356"/>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row>
    <row r="215" spans="1:24" ht="15.6">
      <c r="A215" s="356"/>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row>
    <row r="216" spans="1:24" ht="15.6">
      <c r="A216" s="356"/>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row>
    <row r="217" spans="1:24" ht="15.6">
      <c r="A217" s="356"/>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row>
    <row r="218" spans="1:24" ht="15.6">
      <c r="A218" s="356"/>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row>
    <row r="219" spans="1:24" ht="15.6">
      <c r="A219" s="356"/>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row>
    <row r="220" spans="1:24" ht="15.6">
      <c r="A220" s="356"/>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row>
    <row r="221" spans="1:24" ht="15.6">
      <c r="A221" s="356"/>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row>
    <row r="222" spans="1:24" ht="15.6">
      <c r="A222" s="356"/>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row>
    <row r="223" spans="1:24" ht="15.6">
      <c r="A223" s="356"/>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row>
    <row r="224" spans="1:24" ht="15.6">
      <c r="A224" s="356"/>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row>
    <row r="225" spans="1:24" ht="15.6">
      <c r="A225" s="356"/>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row>
    <row r="226" spans="1:24" ht="15.6">
      <c r="A226" s="356"/>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row>
    <row r="227" spans="1:24" ht="15.6">
      <c r="A227" s="356"/>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row>
    <row r="228" spans="1:24" ht="15.6">
      <c r="A228" s="356"/>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row>
    <row r="229" spans="1:24" ht="15.6">
      <c r="A229" s="356"/>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row>
    <row r="230" spans="1:24" ht="15.6">
      <c r="A230" s="356"/>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row>
    <row r="231" spans="1:24" ht="15.6">
      <c r="A231" s="356"/>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row>
    <row r="232" spans="1:24" ht="15.6">
      <c r="A232" s="356"/>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row>
    <row r="233" spans="1:24" ht="15.6">
      <c r="A233" s="356"/>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row>
    <row r="234" spans="1:24" ht="15.6">
      <c r="A234" s="356"/>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row>
    <row r="235" spans="1:24" ht="15.6">
      <c r="A235" s="356"/>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row>
    <row r="236" spans="1:24" ht="15.6">
      <c r="A236" s="356"/>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row>
    <row r="237" spans="1:24" ht="15.6">
      <c r="A237" s="356"/>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row>
    <row r="238" spans="1:24" ht="15.6">
      <c r="A238" s="356"/>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row>
    <row r="239" spans="1:24" ht="15.6">
      <c r="A239" s="356"/>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row>
    <row r="240" spans="1:24" ht="15.6">
      <c r="A240" s="356"/>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row>
    <row r="241" spans="1:24" ht="15.6">
      <c r="A241" s="356"/>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row>
    <row r="242" spans="1:24" ht="15.6">
      <c r="A242" s="356"/>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row>
    <row r="243" spans="1:24" ht="15.6">
      <c r="A243" s="356"/>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row>
    <row r="244" spans="1:24" ht="15.6">
      <c r="A244" s="356"/>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row>
    <row r="245" spans="1:24" ht="15.6">
      <c r="A245" s="356"/>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row>
    <row r="246" spans="1:24" ht="15.6">
      <c r="A246" s="356"/>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row>
    <row r="247" spans="1:24" ht="15.6">
      <c r="A247" s="356"/>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row>
    <row r="248" spans="1:24" ht="15.6">
      <c r="A248" s="356"/>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row>
    <row r="249" spans="1:24" ht="15.6">
      <c r="A249" s="356"/>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row>
    <row r="250" spans="1:24" ht="15.6">
      <c r="A250" s="356"/>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row>
    <row r="251" spans="1:24" ht="15.6">
      <c r="A251" s="356"/>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row>
    <row r="252" spans="1:24" ht="15.6">
      <c r="A252" s="356"/>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row>
    <row r="253" spans="1:24" ht="15.6">
      <c r="A253" s="356"/>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row>
    <row r="254" spans="1:24" ht="15.6">
      <c r="A254" s="356"/>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row>
    <row r="255" spans="1:24" ht="15.6">
      <c r="A255" s="356"/>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row>
    <row r="256" spans="1:24" ht="15.6">
      <c r="A256" s="356"/>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row>
    <row r="257" spans="1:24" ht="15.6">
      <c r="A257" s="356"/>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row>
    <row r="258" spans="1:24" ht="15.6">
      <c r="A258" s="356"/>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row>
    <row r="259" spans="1:24" ht="15.6">
      <c r="A259" s="356"/>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row>
    <row r="260" spans="1:24" ht="15.6">
      <c r="A260" s="356"/>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row>
    <row r="261" spans="1:24" ht="15.6">
      <c r="A261" s="356"/>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row>
    <row r="262" spans="1:24" ht="15.6">
      <c r="A262" s="356"/>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row>
    <row r="263" spans="1:24" ht="15.6">
      <c r="A263" s="356"/>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row>
    <row r="264" spans="1:24" ht="15.6">
      <c r="A264" s="356"/>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row>
    <row r="265" spans="1:24" ht="15.6">
      <c r="A265" s="356"/>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row>
    <row r="266" spans="1:24" ht="15.6">
      <c r="A266" s="356"/>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row>
    <row r="267" spans="1:24" ht="15.6">
      <c r="A267" s="356"/>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row>
    <row r="268" spans="1:24" ht="15.6">
      <c r="A268" s="356"/>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row>
    <row r="269" spans="1:24" ht="15.6">
      <c r="A269" s="356"/>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row>
    <row r="270" spans="1:24" ht="15.6">
      <c r="A270" s="356"/>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row>
    <row r="271" spans="1:24" ht="15.6">
      <c r="A271" s="356"/>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row>
    <row r="272" spans="1:24" ht="15.6">
      <c r="A272" s="356"/>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row>
    <row r="273" spans="1:24" ht="15.6">
      <c r="A273" s="356"/>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row>
    <row r="274" spans="1:24" ht="15.6">
      <c r="A274" s="356"/>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row>
    <row r="275" spans="1:24" ht="15.6">
      <c r="A275" s="356"/>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row>
    <row r="276" spans="1:24" ht="15.6">
      <c r="A276" s="356"/>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row>
    <row r="277" spans="1:24" ht="15.6">
      <c r="A277" s="356"/>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row>
    <row r="278" spans="1:24" ht="15.6">
      <c r="A278" s="356"/>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row>
    <row r="279" spans="1:24" ht="15.6">
      <c r="A279" s="356"/>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row>
    <row r="280" spans="1:24" ht="15.6">
      <c r="A280" s="356"/>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row>
    <row r="281" spans="1:24" ht="15.6">
      <c r="A281" s="356"/>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row>
    <row r="282" spans="1:24" ht="15.6">
      <c r="A282" s="356"/>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row>
    <row r="283" spans="1:24" ht="15.6">
      <c r="A283" s="356"/>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row>
    <row r="284" spans="1:24" ht="15.6">
      <c r="A284" s="356"/>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row>
    <row r="285" spans="1:24" ht="15.6">
      <c r="A285" s="356"/>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row>
    <row r="286" spans="1:24" ht="15.6">
      <c r="A286" s="356"/>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row>
    <row r="287" spans="1:24" ht="15.6">
      <c r="A287" s="356"/>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row>
    <row r="288" spans="1:24" ht="15.6">
      <c r="A288" s="356"/>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row>
    <row r="289" spans="1:24" ht="15.6">
      <c r="A289" s="356"/>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row>
    <row r="290" spans="1:24" ht="15.6">
      <c r="A290" s="356"/>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row>
    <row r="291" spans="1:24" ht="15.6">
      <c r="A291" s="356"/>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row>
    <row r="292" spans="1:24" ht="15.6">
      <c r="A292" s="356"/>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row>
    <row r="293" spans="1:24" ht="15.6">
      <c r="A293" s="356"/>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row>
    <row r="294" spans="1:24" ht="15.6">
      <c r="A294" s="356"/>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row>
    <row r="295" spans="1:24" ht="15.6">
      <c r="A295" s="356"/>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row>
    <row r="296" spans="1:24" ht="15.6">
      <c r="A296" s="356"/>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row>
    <row r="297" spans="1:24" ht="15.6">
      <c r="A297" s="356"/>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row>
    <row r="298" spans="1:24" ht="15.6">
      <c r="A298" s="356"/>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row>
    <row r="299" spans="1:24" ht="15.6">
      <c r="A299" s="356"/>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row>
    <row r="300" spans="1:24" ht="15.6">
      <c r="A300" s="356"/>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row>
    <row r="301" spans="1:24" ht="15.6">
      <c r="A301" s="356"/>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row>
    <row r="302" spans="1:24" ht="15.6">
      <c r="A302" s="356"/>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row>
    <row r="303" spans="1:24" ht="15.6">
      <c r="A303" s="356"/>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row>
    <row r="304" spans="1:24" ht="15.6">
      <c r="A304" s="356"/>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row>
    <row r="305" spans="1:24" ht="15.6">
      <c r="A305" s="356"/>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row>
    <row r="306" spans="1:24" ht="15.6">
      <c r="A306" s="356"/>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row>
    <row r="307" spans="1:24" ht="15.6">
      <c r="A307" s="356"/>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row>
    <row r="308" spans="1:24" ht="15.6">
      <c r="A308" s="356"/>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row>
    <row r="309" spans="1:24" ht="15.6">
      <c r="A309" s="356"/>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row>
    <row r="310" spans="1:24" ht="15.6">
      <c r="A310" s="356"/>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row>
    <row r="311" spans="1:24" ht="15.6">
      <c r="A311" s="356"/>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row>
    <row r="312" spans="1:24" ht="15.6">
      <c r="A312" s="356"/>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row>
    <row r="313" spans="1:24" ht="15.6">
      <c r="A313" s="356"/>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row>
    <row r="314" spans="1:24" ht="15.6">
      <c r="A314" s="356"/>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row>
    <row r="315" spans="1:24" ht="15.6">
      <c r="A315" s="356"/>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row>
    <row r="316" spans="1:24" ht="15.6">
      <c r="A316" s="356"/>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row>
    <row r="317" spans="1:24" ht="15.6">
      <c r="A317" s="356"/>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row>
    <row r="318" spans="1:24" ht="15.6">
      <c r="A318" s="356"/>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row>
    <row r="319" spans="1:24" ht="15.6">
      <c r="A319" s="356"/>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row>
    <row r="320" spans="1:24" ht="15.6">
      <c r="A320" s="356"/>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row>
    <row r="321" spans="1:24" ht="15.6">
      <c r="A321" s="356"/>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row>
    <row r="322" spans="1:24" ht="15.6">
      <c r="A322" s="356"/>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row>
    <row r="323" spans="1:24" ht="15.6">
      <c r="A323" s="356"/>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row>
    <row r="324" spans="1:24" ht="15.6">
      <c r="A324" s="356"/>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row>
    <row r="325" spans="1:24" ht="15.6">
      <c r="A325" s="356"/>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row>
    <row r="326" spans="1:24" ht="15.6">
      <c r="A326" s="356"/>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row>
    <row r="327" spans="1:24" ht="15.6">
      <c r="A327" s="356"/>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row>
    <row r="328" spans="1:24" ht="15.6">
      <c r="A328" s="356"/>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row>
    <row r="329" spans="1:24" ht="15.6">
      <c r="A329" s="356"/>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row>
    <row r="330" spans="1:24" ht="15.6">
      <c r="A330" s="356"/>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row>
    <row r="331" spans="1:24" ht="15.6">
      <c r="A331" s="356"/>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row>
    <row r="332" spans="1:24" ht="15.6">
      <c r="A332" s="356"/>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row>
    <row r="333" spans="1:24" ht="15.6">
      <c r="A333" s="356"/>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row>
    <row r="334" spans="1:24" ht="15.6">
      <c r="A334" s="356"/>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row>
    <row r="335" spans="1:24" ht="15.6">
      <c r="A335" s="356"/>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row>
    <row r="336" spans="1:24" ht="15.6">
      <c r="A336" s="356"/>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row>
    <row r="337" spans="1:24" ht="15.6">
      <c r="A337" s="356"/>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row>
    <row r="338" spans="1:24" ht="15.6">
      <c r="A338" s="356"/>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row>
    <row r="339" spans="1:24" ht="15.6">
      <c r="A339" s="356"/>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row>
    <row r="340" spans="1:24" ht="15.6">
      <c r="A340" s="356"/>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row>
    <row r="341" spans="1:24" ht="15.6">
      <c r="A341" s="356"/>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row>
    <row r="342" spans="1:24" ht="15.6">
      <c r="A342" s="356"/>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row>
    <row r="343" spans="1:24" ht="15.6">
      <c r="A343" s="356"/>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row>
    <row r="344" spans="1:24" ht="15.6">
      <c r="A344" s="356"/>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row>
    <row r="345" spans="1:24" ht="15.6">
      <c r="A345" s="356"/>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row>
    <row r="346" spans="1:24" ht="15.6">
      <c r="A346" s="356"/>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row>
    <row r="347" spans="1:24" ht="15.6">
      <c r="A347" s="356"/>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row>
    <row r="348" spans="1:24" ht="15.6">
      <c r="A348" s="356"/>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row>
    <row r="349" spans="1:24" ht="15.6">
      <c r="A349" s="356"/>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row>
    <row r="350" spans="1:24" ht="15.6">
      <c r="A350" s="356"/>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row>
    <row r="351" spans="1:24" ht="15.6">
      <c r="A351" s="356"/>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row>
    <row r="352" spans="1:24" ht="15.6">
      <c r="A352" s="356"/>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row>
    <row r="353" spans="1:24" ht="15.6">
      <c r="A353" s="356"/>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row>
    <row r="354" spans="1:24" ht="15.6">
      <c r="A354" s="356"/>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row>
    <row r="355" spans="1:24" ht="15.6">
      <c r="A355" s="356"/>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row>
    <row r="356" spans="1:24" ht="15.6">
      <c r="A356" s="356"/>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row>
    <row r="357" spans="1:24" ht="15.6">
      <c r="A357" s="356"/>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row>
    <row r="358" spans="1:24" ht="15.6">
      <c r="A358" s="356"/>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row>
    <row r="359" spans="1:24" ht="15.6">
      <c r="A359" s="356"/>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row>
    <row r="360" spans="1:24" ht="15.6">
      <c r="A360" s="356"/>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row>
    <row r="361" spans="1:24" ht="15.6">
      <c r="A361" s="356"/>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row>
    <row r="362" spans="1:24" ht="15.6">
      <c r="A362" s="356"/>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row>
    <row r="363" spans="1:24" ht="15.6">
      <c r="A363" s="356"/>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row>
    <row r="364" spans="1:24" ht="15.6">
      <c r="A364" s="356"/>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row>
    <row r="365" spans="1:24" ht="15.6">
      <c r="A365" s="356"/>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row>
    <row r="366" spans="1:24" ht="15.6">
      <c r="A366" s="356"/>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row>
    <row r="367" spans="1:24" ht="15.6">
      <c r="A367" s="356"/>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row>
    <row r="368" spans="1:24" ht="15.6">
      <c r="A368" s="356"/>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row>
    <row r="369" spans="1:24" ht="15.6">
      <c r="A369" s="356"/>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row>
    <row r="370" spans="1:24" ht="15.6">
      <c r="A370" s="356"/>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row>
    <row r="371" spans="1:24" ht="15.6">
      <c r="A371" s="356"/>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row>
    <row r="372" spans="1:24" ht="15.6">
      <c r="A372" s="356"/>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row>
    <row r="373" spans="1:24" ht="15.6">
      <c r="A373" s="356"/>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row>
    <row r="374" spans="1:24" ht="15.6">
      <c r="A374" s="356"/>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row>
    <row r="375" spans="1:24" ht="15.6">
      <c r="A375" s="356"/>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row>
    <row r="376" spans="1:24" ht="15.6">
      <c r="A376" s="356"/>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row>
    <row r="377" spans="1:24" ht="15.6">
      <c r="A377" s="356"/>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row>
    <row r="378" spans="1:24" ht="15.6">
      <c r="A378" s="356"/>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row>
    <row r="379" spans="1:24" ht="15.6">
      <c r="A379" s="356"/>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row>
    <row r="380" spans="1:24" ht="15.6">
      <c r="A380" s="356"/>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row>
    <row r="381" spans="1:24" ht="15.6">
      <c r="A381" s="356"/>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row>
    <row r="382" spans="1:24" ht="15.6">
      <c r="A382" s="356"/>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row>
    <row r="383" spans="1:24" ht="15.6">
      <c r="A383" s="356"/>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row>
    <row r="384" spans="1:24" ht="15.6">
      <c r="A384" s="356"/>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row>
    <row r="385" spans="1:24" ht="15.6">
      <c r="A385" s="356"/>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row>
    <row r="386" spans="1:24" ht="15.6">
      <c r="A386" s="356"/>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row>
    <row r="387" spans="1:24" ht="15.6">
      <c r="A387" s="356"/>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row>
    <row r="388" spans="1:24" ht="15.6">
      <c r="A388" s="356"/>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row>
    <row r="389" spans="1:24" ht="15.6">
      <c r="A389" s="356"/>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row>
    <row r="390" spans="1:24" ht="15.6">
      <c r="A390" s="356"/>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row>
    <row r="391" spans="1:24" ht="15.6">
      <c r="A391" s="356"/>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row>
    <row r="392" spans="1:24" ht="15.6">
      <c r="A392" s="356"/>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row>
    <row r="393" spans="1:24" ht="15.6">
      <c r="A393" s="356"/>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row>
    <row r="394" spans="1:24" ht="15.6">
      <c r="A394" s="356"/>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row>
    <row r="395" spans="1:24" ht="15.6">
      <c r="A395" s="356"/>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row>
    <row r="396" spans="1:24" ht="15.6">
      <c r="A396" s="356"/>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row>
    <row r="397" spans="1:24" ht="15.6">
      <c r="A397" s="356"/>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row>
    <row r="398" spans="1:24" ht="15.6">
      <c r="A398" s="356"/>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row>
    <row r="399" spans="1:24" ht="15.6">
      <c r="A399" s="356"/>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row>
    <row r="400" spans="1:24" ht="15.6">
      <c r="A400" s="356"/>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row>
    <row r="401" spans="1:24" ht="15.6">
      <c r="A401" s="356"/>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row>
    <row r="402" spans="1:24" ht="15.6">
      <c r="A402" s="356"/>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row>
    <row r="403" spans="1:24" ht="15.6">
      <c r="A403" s="356"/>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row>
    <row r="404" spans="1:24" ht="15.6">
      <c r="A404" s="356"/>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row>
    <row r="405" spans="1:24" ht="15.6">
      <c r="A405" s="356"/>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row>
    <row r="406" spans="1:24" ht="15.6">
      <c r="A406" s="356"/>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row>
    <row r="407" spans="1:24" ht="15.6">
      <c r="A407" s="356"/>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row>
    <row r="408" spans="1:24" ht="15.6">
      <c r="A408" s="356"/>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row>
    <row r="409" spans="1:24" ht="15.6">
      <c r="A409" s="356"/>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row>
    <row r="410" spans="1:24" ht="15.6">
      <c r="A410" s="356"/>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row>
    <row r="411" spans="1:24" ht="15.6">
      <c r="A411" s="356"/>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row>
    <row r="412" spans="1:24" ht="15.6">
      <c r="A412" s="356"/>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row>
    <row r="413" spans="1:24" ht="15.6">
      <c r="A413" s="356"/>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row>
    <row r="414" spans="1:24" ht="15.6">
      <c r="A414" s="356"/>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row>
    <row r="415" spans="1:24" ht="15.6">
      <c r="A415" s="356"/>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row>
    <row r="416" spans="1:24" ht="15.6">
      <c r="A416" s="356"/>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row>
    <row r="417" spans="1:24" ht="15.6">
      <c r="A417" s="356"/>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row>
    <row r="418" spans="1:24" ht="15.6">
      <c r="A418" s="356"/>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row>
    <row r="419" spans="1:24" ht="15.6">
      <c r="A419" s="356"/>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row>
    <row r="420" spans="1:24" ht="15.6">
      <c r="A420" s="356"/>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row>
    <row r="421" spans="1:24" ht="15.6">
      <c r="A421" s="356"/>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row>
    <row r="422" spans="1:24" ht="15.6">
      <c r="A422" s="356"/>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row>
    <row r="423" spans="1:24" ht="15.6">
      <c r="A423" s="356"/>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row>
    <row r="424" spans="1:24" ht="15.6">
      <c r="A424" s="356"/>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row>
    <row r="425" spans="1:24" ht="15.6">
      <c r="A425" s="356"/>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row>
    <row r="426" spans="1:24" ht="15.6">
      <c r="A426" s="356"/>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row>
    <row r="427" spans="1:24" ht="15.6">
      <c r="A427" s="356"/>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row>
    <row r="428" spans="1:24" ht="15.6">
      <c r="A428" s="356"/>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row>
    <row r="429" spans="1:24" ht="15.6">
      <c r="A429" s="356"/>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row>
    <row r="430" spans="1:24" ht="15.6">
      <c r="A430" s="356"/>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row>
    <row r="431" spans="1:24" ht="15.6">
      <c r="A431" s="356"/>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row>
    <row r="432" spans="1:24" ht="15.6">
      <c r="A432" s="356"/>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row>
    <row r="433" spans="1:24" ht="15.6">
      <c r="A433" s="356"/>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row>
    <row r="434" spans="1:24" ht="15.6">
      <c r="A434" s="356"/>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row>
    <row r="435" spans="1:24" ht="15.6">
      <c r="A435" s="356"/>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row>
    <row r="436" spans="1:24" ht="15.6">
      <c r="A436" s="356"/>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row>
    <row r="437" spans="1:24" ht="15.6">
      <c r="A437" s="356"/>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row>
    <row r="438" spans="1:24" ht="15.6">
      <c r="A438" s="356"/>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row>
    <row r="439" spans="1:24" ht="15.6">
      <c r="A439" s="356"/>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row>
    <row r="440" spans="1:24" ht="15.6">
      <c r="A440" s="356"/>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row>
    <row r="441" spans="1:24" ht="15.6">
      <c r="A441" s="356"/>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row>
    <row r="442" spans="1:24" ht="15.6">
      <c r="A442" s="356"/>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row>
    <row r="443" spans="1:24" ht="15.6">
      <c r="A443" s="356"/>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row>
    <row r="444" spans="1:24" ht="15.6">
      <c r="A444" s="356"/>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row>
    <row r="445" spans="1:24" ht="15.6">
      <c r="A445" s="356"/>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row>
    <row r="446" spans="1:24" ht="15.6">
      <c r="A446" s="356"/>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row>
    <row r="447" spans="1:24" ht="15.6">
      <c r="A447" s="356"/>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row>
    <row r="448" spans="1:24" ht="15.6">
      <c r="A448" s="356"/>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row>
    <row r="449" spans="1:24" ht="15.6">
      <c r="A449" s="356"/>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row>
    <row r="450" spans="1:24" ht="15.6">
      <c r="A450" s="356"/>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row>
    <row r="451" spans="1:24" ht="15.6">
      <c r="A451" s="356"/>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row>
    <row r="452" spans="1:24" ht="15.6">
      <c r="A452" s="356"/>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row>
    <row r="453" spans="1:24" ht="15.6">
      <c r="A453" s="356"/>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row>
    <row r="454" spans="1:24" ht="15.6">
      <c r="A454" s="356"/>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row>
    <row r="455" spans="1:24" ht="15.6">
      <c r="A455" s="356"/>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row>
    <row r="456" spans="1:24" ht="15.6">
      <c r="A456" s="356"/>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row>
    <row r="457" spans="1:24" ht="15.6">
      <c r="A457" s="356"/>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row>
    <row r="458" spans="1:24" ht="15.6">
      <c r="A458" s="356"/>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row>
    <row r="459" spans="1:24" ht="15.6">
      <c r="A459" s="356"/>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row>
    <row r="460" spans="1:24" ht="15.6">
      <c r="A460" s="356"/>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row>
    <row r="461" spans="1:24" ht="15.6">
      <c r="A461" s="356"/>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row>
    <row r="462" spans="1:24" ht="15.6">
      <c r="A462" s="356"/>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row>
    <row r="463" spans="1:24" ht="15.6">
      <c r="A463" s="356"/>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row>
    <row r="464" spans="1:24" ht="15.6">
      <c r="A464" s="356"/>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row>
    <row r="465" spans="1:24" ht="15.6">
      <c r="A465" s="356"/>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row>
    <row r="466" spans="1:24" ht="15.6">
      <c r="A466" s="356"/>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row>
    <row r="467" spans="1:24" ht="15.6">
      <c r="A467" s="356"/>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row>
    <row r="468" spans="1:24" ht="15.6">
      <c r="A468" s="356"/>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row>
    <row r="469" spans="1:24" ht="15.6">
      <c r="A469" s="356"/>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row>
    <row r="470" spans="1:24" ht="15.6">
      <c r="A470" s="356"/>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row>
    <row r="471" spans="1:24" ht="15.6">
      <c r="A471" s="356"/>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row>
    <row r="472" spans="1:24" ht="15.6">
      <c r="A472" s="356"/>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row>
    <row r="473" spans="1:24" ht="15.6">
      <c r="A473" s="356"/>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row>
    <row r="474" spans="1:24" ht="15.6">
      <c r="A474" s="356"/>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row>
    <row r="475" spans="1:24" ht="15.6">
      <c r="A475" s="356"/>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row>
    <row r="476" spans="1:24" ht="15.6">
      <c r="A476" s="356"/>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row>
    <row r="477" spans="1:24" ht="15.6">
      <c r="A477" s="356"/>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row>
    <row r="478" spans="1:24" ht="15.6">
      <c r="A478" s="356"/>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row>
    <row r="479" spans="1:24" ht="15.6">
      <c r="A479" s="356"/>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row>
    <row r="480" spans="1:24" ht="15.6">
      <c r="A480" s="356"/>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row>
    <row r="481" spans="1:24" ht="15.6">
      <c r="A481" s="356"/>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row>
    <row r="482" spans="1:24" ht="15.6">
      <c r="A482" s="356"/>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row>
    <row r="483" spans="1:24" ht="15.6">
      <c r="A483" s="356"/>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row>
    <row r="484" spans="1:24" ht="15.6">
      <c r="A484" s="356"/>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row>
    <row r="485" spans="1:24" ht="15.6">
      <c r="A485" s="356"/>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row>
    <row r="486" spans="1:24" ht="15.6">
      <c r="A486" s="356"/>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row>
    <row r="487" spans="1:24" ht="15.6">
      <c r="A487" s="356"/>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row>
    <row r="488" spans="1:24" ht="15.6">
      <c r="A488" s="356"/>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row>
    <row r="489" spans="1:24" ht="15.6">
      <c r="A489" s="356"/>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row>
    <row r="490" spans="1:24" ht="15.6">
      <c r="A490" s="356"/>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row>
    <row r="491" spans="1:24" ht="15.6">
      <c r="A491" s="356"/>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row>
    <row r="492" spans="1:24" ht="15.6">
      <c r="A492" s="356"/>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row>
    <row r="493" spans="1:24" ht="15.6">
      <c r="A493" s="356"/>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row>
    <row r="494" spans="1:24" ht="15.6">
      <c r="A494" s="356"/>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row>
    <row r="495" spans="1:24" ht="15.6">
      <c r="A495" s="356"/>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row>
    <row r="496" spans="1:24" ht="15.6">
      <c r="A496" s="356"/>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row>
    <row r="497" spans="1:24" ht="15.6">
      <c r="A497" s="356"/>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row>
    <row r="498" spans="1:24" ht="15.6">
      <c r="A498" s="356"/>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row>
    <row r="499" spans="1:24" ht="15.6">
      <c r="A499" s="356"/>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row>
    <row r="500" spans="1:24" ht="15.6">
      <c r="A500" s="356"/>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row>
    <row r="501" spans="1:24" ht="15.6">
      <c r="A501" s="356"/>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row>
    <row r="502" spans="1:24" ht="15.6">
      <c r="A502" s="356"/>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row>
    <row r="503" spans="1:24" ht="15.6">
      <c r="A503" s="356"/>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row>
    <row r="504" spans="1:24" ht="15.6">
      <c r="A504" s="356"/>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row>
    <row r="505" spans="1:24" ht="15.6">
      <c r="A505" s="356"/>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row>
    <row r="506" spans="1:24" ht="15.6">
      <c r="A506" s="356"/>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row>
    <row r="507" spans="1:24" ht="15.6">
      <c r="A507" s="356"/>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row>
    <row r="508" spans="1:24" ht="15.6">
      <c r="A508" s="356"/>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row>
    <row r="509" spans="1:24" ht="15.6">
      <c r="A509" s="356"/>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row>
    <row r="510" spans="1:24" ht="15.6">
      <c r="A510" s="356"/>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row>
    <row r="511" spans="1:24" ht="15.6">
      <c r="A511" s="356"/>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row>
    <row r="512" spans="1:24" ht="15.6">
      <c r="A512" s="356"/>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row>
    <row r="513" spans="1:24" ht="15.6">
      <c r="A513" s="356"/>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row>
    <row r="514" spans="1:24" ht="15.6">
      <c r="A514" s="356"/>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row>
    <row r="515" spans="1:24" ht="15.6">
      <c r="A515" s="356"/>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row>
    <row r="516" spans="1:24" ht="15.6">
      <c r="A516" s="356"/>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row>
    <row r="517" spans="1:24" ht="15.6">
      <c r="A517" s="356"/>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row>
    <row r="518" spans="1:24" ht="15.6">
      <c r="A518" s="356"/>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row>
    <row r="519" spans="1:24" ht="15.6">
      <c r="A519" s="356"/>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row>
    <row r="520" spans="1:24" ht="15.6">
      <c r="A520" s="356"/>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row>
    <row r="521" spans="1:24" ht="15.6">
      <c r="A521" s="356"/>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row>
    <row r="522" spans="1:24" ht="15.6">
      <c r="A522" s="356"/>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row>
    <row r="523" spans="1:24" ht="15.6">
      <c r="A523" s="356"/>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row>
    <row r="524" spans="1:24" ht="15.6">
      <c r="A524" s="356"/>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row>
    <row r="525" spans="1:24" ht="15.6">
      <c r="A525" s="356"/>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row>
    <row r="526" spans="1:24" ht="15.6">
      <c r="A526" s="356"/>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row>
    <row r="527" spans="1:24" ht="15.6">
      <c r="A527" s="356"/>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row>
    <row r="528" spans="1:24" ht="15.6">
      <c r="A528" s="356"/>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row>
    <row r="529" spans="1:24" ht="15.6">
      <c r="A529" s="356"/>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row>
    <row r="530" spans="1:24" ht="15.6">
      <c r="A530" s="356"/>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row>
    <row r="531" spans="1:24" ht="15.6">
      <c r="A531" s="356"/>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row>
    <row r="532" spans="1:24" ht="15.6">
      <c r="A532" s="356"/>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row>
    <row r="533" spans="1:24" ht="15.6">
      <c r="A533" s="356"/>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row>
    <row r="534" spans="1:24" ht="15.6">
      <c r="A534" s="356"/>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row>
    <row r="535" spans="1:24" ht="15.6">
      <c r="A535" s="356"/>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row>
    <row r="536" spans="1:24" ht="15.6">
      <c r="A536" s="356"/>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row>
    <row r="537" spans="1:24" ht="15.6">
      <c r="A537" s="356"/>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row>
    <row r="538" spans="1:24" ht="15.6">
      <c r="A538" s="356"/>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row>
    <row r="539" spans="1:24" ht="15.6">
      <c r="A539" s="356"/>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row>
    <row r="540" spans="1:24" ht="15.6">
      <c r="A540" s="356"/>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row>
    <row r="541" spans="1:24" ht="15.6">
      <c r="A541" s="356"/>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row>
    <row r="542" spans="1:24" ht="15.6">
      <c r="A542" s="356"/>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row>
    <row r="543" spans="1:24" ht="15.6">
      <c r="A543" s="356"/>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row>
    <row r="544" spans="1:24" ht="15.6">
      <c r="A544" s="356"/>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row>
    <row r="545" spans="1:24" ht="15.6">
      <c r="A545" s="356"/>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row>
    <row r="546" spans="1:24" ht="15.6">
      <c r="A546" s="356"/>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row>
    <row r="547" spans="1:24" ht="15.6">
      <c r="A547" s="356"/>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row>
    <row r="548" spans="1:24" ht="15.6">
      <c r="A548" s="356"/>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row>
    <row r="549" spans="1:24" ht="15.6">
      <c r="A549" s="356"/>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row>
    <row r="550" spans="1:24" ht="15.6">
      <c r="A550" s="356"/>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row>
    <row r="551" spans="1:24" ht="15.6">
      <c r="A551" s="356"/>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row>
    <row r="552" spans="1:24" ht="15.6">
      <c r="A552" s="356"/>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row>
    <row r="553" spans="1:24" ht="15.6">
      <c r="A553" s="356"/>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row>
    <row r="554" spans="1:24" ht="15.6">
      <c r="A554" s="356"/>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row>
    <row r="555" spans="1:24" ht="15.6">
      <c r="A555" s="356"/>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row>
    <row r="556" spans="1:24" ht="15.6">
      <c r="A556" s="356"/>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row>
    <row r="557" spans="1:24" ht="15.6">
      <c r="A557" s="356"/>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row>
    <row r="558" spans="1:24" ht="15.6">
      <c r="A558" s="356"/>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row>
    <row r="559" spans="1:24" ht="15.6">
      <c r="A559" s="356"/>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row>
    <row r="560" spans="1:24" ht="15.6">
      <c r="A560" s="356"/>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row>
    <row r="561" spans="1:24" ht="15.6">
      <c r="A561" s="356"/>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row>
    <row r="562" spans="1:24" ht="15.6">
      <c r="A562" s="356"/>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row>
    <row r="563" spans="1:24" ht="15.6">
      <c r="A563" s="356"/>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row>
    <row r="564" spans="1:24" ht="15.6">
      <c r="A564" s="356"/>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row>
    <row r="565" spans="1:24" ht="15.6">
      <c r="A565" s="356"/>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row>
    <row r="566" spans="1:24" ht="15.6">
      <c r="A566" s="356"/>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row>
    <row r="567" spans="1:24" ht="15.6">
      <c r="A567" s="356"/>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row>
    <row r="568" spans="1:24" ht="15.6">
      <c r="A568" s="356"/>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row>
    <row r="569" spans="1:24" ht="15.6">
      <c r="A569" s="356"/>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row>
    <row r="570" spans="1:24" ht="15.6">
      <c r="A570" s="356"/>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row>
    <row r="571" spans="1:24" ht="15.6">
      <c r="A571" s="356"/>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row>
    <row r="572" spans="1:24" ht="15.6">
      <c r="A572" s="356"/>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row>
    <row r="573" spans="1:24" ht="15.6">
      <c r="A573" s="356"/>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row>
    <row r="574" spans="1:24" ht="15.6">
      <c r="A574" s="356"/>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row>
    <row r="575" spans="1:24" ht="15.6">
      <c r="A575" s="356"/>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row>
    <row r="576" spans="1:24" ht="15.6">
      <c r="A576" s="356"/>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row>
    <row r="577" spans="1:24" ht="15.6">
      <c r="A577" s="356"/>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row>
    <row r="578" spans="1:24" ht="15.6">
      <c r="A578" s="356"/>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row>
    <row r="579" spans="1:24" ht="15.6">
      <c r="A579" s="356"/>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row>
    <row r="580" spans="1:24" ht="15.6">
      <c r="A580" s="356"/>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row>
    <row r="581" spans="1:24" ht="15.6">
      <c r="A581" s="356"/>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row>
    <row r="582" spans="1:24" ht="15.6">
      <c r="A582" s="356"/>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row>
    <row r="583" spans="1:24" ht="15.6">
      <c r="A583" s="356"/>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row>
    <row r="584" spans="1:24" ht="15.6">
      <c r="A584" s="356"/>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row>
    <row r="585" spans="1:24" ht="15.6">
      <c r="A585" s="356"/>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row>
    <row r="586" spans="1:24" ht="15.6">
      <c r="A586" s="356"/>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row>
    <row r="587" spans="1:24" ht="15.6">
      <c r="A587" s="356"/>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row>
    <row r="588" spans="1:24" ht="15.6">
      <c r="A588" s="356"/>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row>
    <row r="589" spans="1:24" ht="15.6">
      <c r="A589" s="356"/>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row>
    <row r="590" spans="1:24" ht="15.6">
      <c r="A590" s="356"/>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row>
    <row r="591" spans="1:24" ht="15.6">
      <c r="A591" s="356"/>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row>
    <row r="592" spans="1:24" ht="15.6">
      <c r="A592" s="356"/>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row>
    <row r="593" spans="1:24" ht="15.6">
      <c r="A593" s="356"/>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row>
    <row r="594" spans="1:24" ht="15.6">
      <c r="A594" s="356"/>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row>
    <row r="595" spans="1:24" ht="15.6">
      <c r="A595" s="356"/>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row>
    <row r="596" spans="1:24" ht="15.6">
      <c r="A596" s="356"/>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row>
    <row r="597" spans="1:24" ht="15.6">
      <c r="A597" s="356"/>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row>
    <row r="598" spans="1:24" ht="15.6">
      <c r="A598" s="356"/>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row>
    <row r="599" spans="1:24" ht="15.6">
      <c r="A599" s="356"/>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row>
    <row r="600" spans="1:24" ht="15.6">
      <c r="A600" s="356"/>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row>
    <row r="601" spans="1:24" ht="15.6">
      <c r="A601" s="356"/>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row>
    <row r="602" spans="1:24" ht="15.6">
      <c r="A602" s="356"/>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row>
    <row r="603" spans="1:24" ht="15.6">
      <c r="A603" s="356"/>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row>
    <row r="604" spans="1:24" ht="15.6">
      <c r="A604" s="356"/>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row>
    <row r="605" spans="1:24" ht="15.6">
      <c r="A605" s="356"/>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row>
    <row r="606" spans="1:24" ht="15.6">
      <c r="A606" s="356"/>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row>
    <row r="607" spans="1:24" ht="15.6">
      <c r="A607" s="356"/>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row>
    <row r="608" spans="1:24" ht="15.6">
      <c r="A608" s="356"/>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row>
    <row r="609" spans="1:24" ht="15.6">
      <c r="A609" s="356"/>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row>
    <row r="610" spans="1:24" ht="15.6">
      <c r="A610" s="356"/>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row>
    <row r="611" spans="1:24" ht="15.6">
      <c r="A611" s="356"/>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row>
    <row r="612" spans="1:24" ht="15.6">
      <c r="A612" s="356"/>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row>
    <row r="613" spans="1:24" ht="15.6">
      <c r="A613" s="356"/>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row>
    <row r="614" spans="1:24" ht="15.6">
      <c r="A614" s="356"/>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row>
    <row r="615" spans="1:24" ht="15.6">
      <c r="A615" s="356"/>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row>
    <row r="616" spans="1:24" ht="15.6">
      <c r="A616" s="356"/>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row>
    <row r="617" spans="1:24" ht="15.6">
      <c r="A617" s="356"/>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row>
    <row r="618" spans="1:24" ht="15.6">
      <c r="A618" s="356"/>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row>
    <row r="619" spans="1:24" ht="15.6">
      <c r="A619" s="356"/>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row>
    <row r="620" spans="1:24" ht="15.6">
      <c r="A620" s="356"/>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row>
    <row r="621" spans="1:24" ht="15.6">
      <c r="A621" s="356"/>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row>
    <row r="622" spans="1:24" ht="15.6">
      <c r="A622" s="356"/>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row>
    <row r="623" spans="1:24" ht="15.6">
      <c r="A623" s="356"/>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row>
    <row r="624" spans="1:24" ht="15.6">
      <c r="A624" s="356"/>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row>
    <row r="625" spans="1:24" ht="15.6">
      <c r="A625" s="356"/>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row>
    <row r="626" spans="1:24" ht="15.6">
      <c r="A626" s="356"/>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row>
    <row r="627" spans="1:24" ht="15.6">
      <c r="A627" s="356"/>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row>
    <row r="628" spans="1:24" ht="15.6">
      <c r="A628" s="356"/>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row>
    <row r="629" spans="1:24" ht="15.6">
      <c r="A629" s="356"/>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row>
    <row r="630" spans="1:24" ht="15.6">
      <c r="A630" s="356"/>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row>
    <row r="631" spans="1:24" ht="15.6">
      <c r="A631" s="356"/>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row>
    <row r="632" spans="1:24" ht="15.6">
      <c r="A632" s="356"/>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row>
    <row r="633" spans="1:24" ht="15.6">
      <c r="A633" s="356"/>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row>
    <row r="634" spans="1:24" ht="15.6">
      <c r="A634" s="356"/>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row>
    <row r="635" spans="1:24" ht="15.6">
      <c r="A635" s="356"/>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row>
    <row r="636" spans="1:24" ht="15.6">
      <c r="A636" s="356"/>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row>
    <row r="637" spans="1:24" ht="15.6">
      <c r="A637" s="356"/>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row>
    <row r="638" spans="1:24" ht="15.6">
      <c r="A638" s="356"/>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row>
    <row r="639" spans="1:24" ht="15.6">
      <c r="A639" s="356"/>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row>
    <row r="640" spans="1:24" ht="15.6">
      <c r="A640" s="356"/>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row>
    <row r="641" spans="1:24" ht="15.6">
      <c r="A641" s="356"/>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row>
    <row r="642" spans="1:24" ht="15.6">
      <c r="A642" s="356"/>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row>
    <row r="643" spans="1:24" ht="15.6">
      <c r="A643" s="356"/>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row>
    <row r="644" spans="1:24" ht="15.6">
      <c r="A644" s="356"/>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row>
    <row r="645" spans="1:24" ht="15.6">
      <c r="A645" s="356"/>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row>
    <row r="646" spans="1:24" ht="15.6">
      <c r="A646" s="356"/>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row>
    <row r="647" spans="1:24" ht="15.6">
      <c r="A647" s="356"/>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row>
    <row r="648" spans="1:24" ht="15.6">
      <c r="A648" s="356"/>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row>
    <row r="649" spans="1:24" ht="15.6">
      <c r="A649" s="356"/>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row>
    <row r="650" spans="1:24" ht="15.6">
      <c r="A650" s="356"/>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row>
    <row r="651" spans="1:24" ht="15.6">
      <c r="A651" s="356"/>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row>
    <row r="652" spans="1:24" ht="15.6">
      <c r="A652" s="356"/>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row>
    <row r="653" spans="1:24" ht="15.6">
      <c r="A653" s="356"/>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row>
    <row r="654" spans="1:24" ht="15.6">
      <c r="A654" s="356"/>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row>
    <row r="655" spans="1:24" ht="15.6">
      <c r="A655" s="356"/>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row>
    <row r="656" spans="1:24" ht="15.6">
      <c r="A656" s="356"/>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row>
    <row r="657" spans="1:24" ht="15.6">
      <c r="A657" s="356"/>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row>
    <row r="658" spans="1:24" ht="15.6">
      <c r="A658" s="356"/>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row>
    <row r="659" spans="1:24" ht="15.6">
      <c r="A659" s="356"/>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row>
    <row r="660" spans="1:24" ht="15.6">
      <c r="A660" s="356"/>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row>
    <row r="661" spans="1:24" ht="15.6">
      <c r="A661" s="356"/>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row>
    <row r="662" spans="1:24" ht="15.6">
      <c r="A662" s="356"/>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row>
    <row r="663" spans="1:24" ht="15.6">
      <c r="A663" s="356"/>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row>
    <row r="664" spans="1:24" ht="15.6">
      <c r="A664" s="356"/>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row>
    <row r="665" spans="1:24" ht="15.6">
      <c r="A665" s="356"/>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row>
    <row r="666" spans="1:24" ht="15.6">
      <c r="A666" s="356"/>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row>
    <row r="667" spans="1:24" ht="15.6">
      <c r="A667" s="356"/>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row>
    <row r="668" spans="1:24" ht="15.6">
      <c r="A668" s="356"/>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row>
    <row r="669" spans="1:24" ht="15.6">
      <c r="A669" s="356"/>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row>
    <row r="670" spans="1:24" ht="15.6">
      <c r="A670" s="356"/>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row>
    <row r="671" spans="1:24" ht="15.6">
      <c r="A671" s="356"/>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row>
    <row r="672" spans="1:24" ht="15.6">
      <c r="A672" s="356"/>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row>
    <row r="673" spans="1:24" ht="15.6">
      <c r="A673" s="356"/>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row>
    <row r="674" spans="1:24" ht="15.6">
      <c r="A674" s="356"/>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row>
    <row r="675" spans="1:24" ht="15.6">
      <c r="A675" s="356"/>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row>
    <row r="676" spans="1:24" ht="15.6">
      <c r="A676" s="356"/>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row>
    <row r="677" spans="1:24" ht="15.6">
      <c r="A677" s="356"/>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row>
    <row r="678" spans="1:24" ht="15.6">
      <c r="A678" s="356"/>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row>
    <row r="679" spans="1:24" ht="15.6">
      <c r="A679" s="356"/>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row>
    <row r="680" spans="1:24" ht="15.6">
      <c r="A680" s="356"/>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row>
    <row r="681" spans="1:24" ht="15.6">
      <c r="A681" s="356"/>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row>
    <row r="682" spans="1:24" ht="15.6">
      <c r="A682" s="356"/>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row>
    <row r="683" spans="1:24" ht="15.6">
      <c r="A683" s="356"/>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row>
    <row r="684" spans="1:24" ht="15.6">
      <c r="A684" s="356"/>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row>
    <row r="685" spans="1:24" ht="15.6">
      <c r="A685" s="356"/>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row>
    <row r="686" spans="1:24" ht="15.6">
      <c r="A686" s="356"/>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row>
    <row r="687" spans="1:24" ht="15.6">
      <c r="A687" s="356"/>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row>
    <row r="688" spans="1:24" ht="15.6">
      <c r="A688" s="356"/>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row>
    <row r="689" spans="1:24" ht="15.6">
      <c r="A689" s="356"/>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row>
    <row r="690" spans="1:24" ht="15.6">
      <c r="A690" s="356"/>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row>
    <row r="691" spans="1:24" ht="15.6">
      <c r="A691" s="356"/>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row>
    <row r="692" spans="1:24" ht="15.6">
      <c r="A692" s="356"/>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row>
    <row r="693" spans="1:24" ht="15.6">
      <c r="A693" s="356"/>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row>
    <row r="694" spans="1:24" ht="15.6">
      <c r="A694" s="356"/>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row>
    <row r="695" spans="1:24" ht="15.6">
      <c r="A695" s="356"/>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row>
    <row r="696" spans="1:24" ht="15.6">
      <c r="A696" s="356"/>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row>
    <row r="697" spans="1:24" ht="15.6">
      <c r="A697" s="356"/>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row>
    <row r="698" spans="1:24" ht="15.6">
      <c r="A698" s="356"/>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row>
    <row r="699" spans="1:24" ht="15.6">
      <c r="A699" s="356"/>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row>
    <row r="700" spans="1:24" ht="15.6">
      <c r="A700" s="356"/>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row>
    <row r="701" spans="1:24" ht="15.6">
      <c r="A701" s="356"/>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row>
    <row r="702" spans="1:24" ht="15.6">
      <c r="A702" s="356"/>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row>
    <row r="703" spans="1:24" ht="15.6">
      <c r="A703" s="356"/>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row>
    <row r="704" spans="1:24" ht="15.6">
      <c r="A704" s="356"/>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row>
    <row r="705" spans="1:24" ht="15.6">
      <c r="A705" s="356"/>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row>
    <row r="706" spans="1:24" ht="15.6">
      <c r="A706" s="356"/>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row>
    <row r="707" spans="1:24" ht="15.6">
      <c r="A707" s="356"/>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row>
    <row r="708" spans="1:24" ht="15.6">
      <c r="A708" s="356"/>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row>
    <row r="709" spans="1:24" ht="15.6">
      <c r="A709" s="356"/>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row>
    <row r="710" spans="1:24" ht="15.6">
      <c r="A710" s="356"/>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row>
    <row r="711" spans="1:24" ht="15.6">
      <c r="A711" s="356"/>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row>
    <row r="712" spans="1:24" ht="15.6">
      <c r="A712" s="356"/>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row>
    <row r="713" spans="1:24" ht="15.6">
      <c r="A713" s="356"/>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row>
    <row r="714" spans="1:24" ht="15.6">
      <c r="A714" s="356"/>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row>
    <row r="715" spans="1:24" ht="15.6">
      <c r="A715" s="356"/>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row>
    <row r="716" spans="1:24" ht="15.6">
      <c r="A716" s="356"/>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row>
    <row r="717" spans="1:24" ht="15.6">
      <c r="A717" s="356"/>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row>
    <row r="718" spans="1:24" ht="15.6">
      <c r="A718" s="356"/>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row>
    <row r="719" spans="1:24" ht="15.6">
      <c r="A719" s="356"/>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row>
    <row r="720" spans="1:24" ht="15.6">
      <c r="A720" s="356"/>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row>
    <row r="721" spans="1:24" ht="15.6">
      <c r="A721" s="356"/>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row>
    <row r="722" spans="1:24" ht="15.6">
      <c r="A722" s="356"/>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row>
    <row r="723" spans="1:24" ht="15.6">
      <c r="A723" s="356"/>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row>
    <row r="724" spans="1:24" ht="15.6">
      <c r="A724" s="356"/>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row>
    <row r="725" spans="1:24" ht="15.6">
      <c r="A725" s="356"/>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row>
    <row r="726" spans="1:24" ht="15.6">
      <c r="A726" s="356"/>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row>
    <row r="727" spans="1:24" ht="15.6">
      <c r="A727" s="356"/>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row>
    <row r="728" spans="1:24" ht="15.6">
      <c r="A728" s="356"/>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row>
    <row r="729" spans="1:24" ht="15.6">
      <c r="A729" s="356"/>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row>
    <row r="730" spans="1:24" ht="15.6">
      <c r="A730" s="356"/>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row>
    <row r="731" spans="1:24" ht="15.6">
      <c r="A731" s="356"/>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row>
    <row r="732" spans="1:24" ht="15.6">
      <c r="A732" s="356"/>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row>
    <row r="733" spans="1:24" ht="15.6">
      <c r="A733" s="356"/>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row>
    <row r="734" spans="1:24" ht="15.6">
      <c r="A734" s="356"/>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row>
    <row r="735" spans="1:24" ht="15.6">
      <c r="A735" s="356"/>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row>
    <row r="736" spans="1:24" ht="15.6">
      <c r="A736" s="356"/>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row>
    <row r="737" spans="1:24" ht="15.6">
      <c r="A737" s="356"/>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row>
    <row r="738" spans="1:24" ht="15.6">
      <c r="A738" s="356"/>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row>
    <row r="739" spans="1:24" ht="15.6">
      <c r="A739" s="356"/>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row>
    <row r="740" spans="1:24" ht="15.6">
      <c r="A740" s="356"/>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row>
    <row r="741" spans="1:24" ht="15.6">
      <c r="A741" s="356"/>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row>
    <row r="742" spans="1:24" ht="15.6">
      <c r="A742" s="356"/>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row>
    <row r="743" spans="1:24" ht="15.6">
      <c r="A743" s="356"/>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row>
    <row r="744" spans="1:24" ht="15.6">
      <c r="A744" s="356"/>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row>
    <row r="745" spans="1:24" ht="15.6">
      <c r="A745" s="356"/>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row>
    <row r="746" spans="1:24" ht="15.6">
      <c r="A746" s="356"/>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row>
    <row r="747" spans="1:24" ht="15.6">
      <c r="A747" s="356"/>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row>
    <row r="748" spans="1:24" ht="15.6">
      <c r="A748" s="356"/>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row>
    <row r="749" spans="1:24" ht="15.6">
      <c r="A749" s="356"/>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row>
    <row r="750" spans="1:24" ht="15.6">
      <c r="A750" s="356"/>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row>
    <row r="751" spans="1:24" ht="15.6">
      <c r="A751" s="356"/>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row>
    <row r="752" spans="1:24" ht="15.6">
      <c r="A752" s="356"/>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row>
    <row r="753" spans="1:24" ht="15.6">
      <c r="A753" s="356"/>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row>
    <row r="754" spans="1:24" ht="15.6">
      <c r="A754" s="356"/>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row>
    <row r="755" spans="1:24" ht="15.6">
      <c r="A755" s="356"/>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row>
    <row r="756" spans="1:24" ht="15.6">
      <c r="A756" s="356"/>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row>
    <row r="757" spans="1:24" ht="15.6">
      <c r="A757" s="356"/>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row>
    <row r="758" spans="1:24" ht="15.6">
      <c r="A758" s="356"/>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row>
    <row r="759" spans="1:24" ht="15.6">
      <c r="A759" s="356"/>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row>
    <row r="760" spans="1:24" ht="15.6">
      <c r="A760" s="356"/>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row>
    <row r="761" spans="1:24" ht="15.6">
      <c r="A761" s="356"/>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row>
    <row r="762" spans="1:24" ht="15.6">
      <c r="A762" s="356"/>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row>
    <row r="763" spans="1:24" ht="15.6">
      <c r="A763" s="356"/>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row>
    <row r="764" spans="1:24" ht="15.6">
      <c r="A764" s="356"/>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row>
    <row r="765" spans="1:24" ht="15.6">
      <c r="A765" s="356"/>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row>
    <row r="766" spans="1:24" ht="15.6">
      <c r="A766" s="356"/>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row>
    <row r="767" spans="1:24" ht="15.6">
      <c r="A767" s="356"/>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row>
    <row r="768" spans="1:24" ht="15.6">
      <c r="A768" s="356"/>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row>
    <row r="769" spans="1:24" ht="15.6">
      <c r="A769" s="356"/>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row>
    <row r="770" spans="1:24" ht="15.6">
      <c r="A770" s="356"/>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row>
    <row r="771" spans="1:24" ht="15.6">
      <c r="A771" s="356"/>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row>
    <row r="772" spans="1:24" ht="15.6">
      <c r="A772" s="356"/>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row>
    <row r="773" spans="1:24" ht="15.6">
      <c r="A773" s="356"/>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row>
    <row r="774" spans="1:24" ht="15.6">
      <c r="A774" s="356"/>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row>
    <row r="775" spans="1:24" ht="15.6">
      <c r="A775" s="356"/>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row>
    <row r="776" spans="1:24" ht="15.6">
      <c r="A776" s="356"/>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row>
    <row r="777" spans="1:24" ht="15.6">
      <c r="A777" s="356"/>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row>
    <row r="778" spans="1:24" ht="15.6">
      <c r="A778" s="356"/>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row>
    <row r="779" spans="1:24" ht="15.6">
      <c r="A779" s="356"/>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row>
    <row r="780" spans="1:24" ht="15.6">
      <c r="A780" s="356"/>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row>
    <row r="781" spans="1:24" ht="15.6">
      <c r="A781" s="356"/>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row>
    <row r="782" spans="1:24" ht="15.6">
      <c r="A782" s="356"/>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row>
    <row r="783" spans="1:24" ht="15.6">
      <c r="A783" s="356"/>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row>
    <row r="784" spans="1:24" ht="15.6">
      <c r="A784" s="356"/>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row>
    <row r="785" spans="1:24" ht="15.6">
      <c r="A785" s="356"/>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row>
    <row r="786" spans="1:24" ht="15.6">
      <c r="A786" s="356"/>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row>
    <row r="787" spans="1:24" ht="15.6">
      <c r="A787" s="356"/>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row>
    <row r="788" spans="1:24" ht="15.6">
      <c r="A788" s="356"/>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row>
    <row r="789" spans="1:24" ht="15.6">
      <c r="A789" s="356"/>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row>
    <row r="790" spans="1:24" ht="15.6">
      <c r="A790" s="356"/>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row>
    <row r="791" spans="1:24" ht="15.6">
      <c r="A791" s="356"/>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row>
    <row r="792" spans="1:24" ht="15.6">
      <c r="A792" s="356"/>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row>
    <row r="793" spans="1:24" ht="15.6">
      <c r="A793" s="356"/>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row>
    <row r="794" spans="1:24" ht="15.6">
      <c r="A794" s="356"/>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row>
    <row r="795" spans="1:24" ht="15.6">
      <c r="A795" s="356"/>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row>
    <row r="796" spans="1:24" ht="15.6">
      <c r="A796" s="356"/>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row>
    <row r="797" spans="1:24" ht="15.6">
      <c r="A797" s="356"/>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row>
    <row r="798" spans="1:24" ht="15.6">
      <c r="A798" s="356"/>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row>
    <row r="799" spans="1:24" ht="15.6">
      <c r="A799" s="356"/>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row>
    <row r="800" spans="1:24" ht="15.6">
      <c r="A800" s="356"/>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row>
    <row r="801" spans="1:24" ht="15.6">
      <c r="A801" s="356"/>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row>
    <row r="802" spans="1:24" ht="15.6">
      <c r="A802" s="356"/>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row>
    <row r="803" spans="1:24" ht="15.6">
      <c r="A803" s="356"/>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row>
    <row r="804" spans="1:24" ht="15.6">
      <c r="A804" s="356"/>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row>
    <row r="805" spans="1:24" ht="15.6">
      <c r="A805" s="356"/>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row>
    <row r="806" spans="1:24" ht="15.6">
      <c r="A806" s="356"/>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row>
    <row r="807" spans="1:24" ht="15.6">
      <c r="A807" s="356"/>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row>
    <row r="808" spans="1:24" ht="15.6">
      <c r="A808" s="356"/>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row>
    <row r="809" spans="1:24" ht="15.6">
      <c r="A809" s="356"/>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row>
    <row r="810" spans="1:24" ht="15.6">
      <c r="A810" s="356"/>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row>
    <row r="811" spans="1:24" ht="15.6">
      <c r="A811" s="356"/>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row>
    <row r="812" spans="1:24" ht="15.6">
      <c r="A812" s="356"/>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row>
    <row r="813" spans="1:24" ht="15.6">
      <c r="A813" s="356"/>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row>
    <row r="814" spans="1:24" ht="15.6">
      <c r="A814" s="356"/>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row>
    <row r="815" spans="1:24" ht="15.6">
      <c r="A815" s="356"/>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row>
    <row r="816" spans="1:24" ht="15.6">
      <c r="A816" s="356"/>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row>
    <row r="817" spans="1:24" ht="15.6">
      <c r="A817" s="356"/>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row>
    <row r="818" spans="1:24" ht="15.6">
      <c r="A818" s="356"/>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row>
    <row r="819" spans="1:24" ht="15.6">
      <c r="A819" s="356"/>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row>
    <row r="820" spans="1:24" ht="15.6">
      <c r="A820" s="356"/>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row>
    <row r="821" spans="1:24" ht="15.6">
      <c r="A821" s="356"/>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row>
    <row r="822" spans="1:24" ht="15.6">
      <c r="A822" s="356"/>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row>
    <row r="823" spans="1:24" ht="15.6">
      <c r="A823" s="356"/>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row>
    <row r="824" spans="1:24" ht="15.6">
      <c r="A824" s="356"/>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row>
    <row r="825" spans="1:24" ht="15.6">
      <c r="A825" s="356"/>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row>
    <row r="826" spans="1:24" ht="15.6">
      <c r="A826" s="356"/>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row>
    <row r="827" spans="1:24" ht="15.6">
      <c r="A827" s="356"/>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row>
    <row r="828" spans="1:24" ht="15.6">
      <c r="A828" s="356"/>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row>
    <row r="829" spans="1:24" ht="15.6">
      <c r="A829" s="356"/>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row>
    <row r="830" spans="1:24" ht="15.6">
      <c r="A830" s="356"/>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row>
    <row r="831" spans="1:24" ht="15.6">
      <c r="A831" s="356"/>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row>
    <row r="832" spans="1:24" ht="15.6">
      <c r="A832" s="356"/>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row>
    <row r="833" spans="1:24" ht="15.6">
      <c r="A833" s="356"/>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row>
    <row r="834" spans="1:24" ht="15.6">
      <c r="A834" s="356"/>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row>
    <row r="835" spans="1:24" ht="15.6">
      <c r="A835" s="356"/>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row>
    <row r="836" spans="1:24" ht="15.6">
      <c r="A836" s="356"/>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row>
    <row r="837" spans="1:24" ht="15.6">
      <c r="A837" s="356"/>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row>
    <row r="838" spans="1:24" ht="15.6">
      <c r="A838" s="356"/>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row>
    <row r="839" spans="1:24" ht="15.6">
      <c r="A839" s="356"/>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row>
    <row r="840" spans="1:24" ht="15.6">
      <c r="A840" s="356"/>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row>
    <row r="841" spans="1:24" ht="15.6">
      <c r="A841" s="356"/>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row>
    <row r="842" spans="1:24" ht="15.6">
      <c r="A842" s="356"/>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row>
    <row r="843" spans="1:24" ht="15.6">
      <c r="A843" s="356"/>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row>
    <row r="844" spans="1:24" ht="15.6">
      <c r="A844" s="356"/>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row>
    <row r="845" spans="1:24" ht="15.6">
      <c r="A845" s="356"/>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row>
    <row r="846" spans="1:24" ht="15.6">
      <c r="A846" s="356"/>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row>
    <row r="847" spans="1:24" ht="15.6">
      <c r="A847" s="356"/>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row>
    <row r="848" spans="1:24" ht="15.6">
      <c r="A848" s="356"/>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row>
    <row r="849" spans="1:24" ht="15.6">
      <c r="A849" s="356"/>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row>
    <row r="850" spans="1:24" ht="15.6">
      <c r="A850" s="356"/>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row>
    <row r="851" spans="1:24" ht="15.6">
      <c r="A851" s="356"/>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row>
    <row r="852" spans="1:24" ht="15.6">
      <c r="A852" s="356"/>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row>
    <row r="853" spans="1:24" ht="15.6">
      <c r="A853" s="356"/>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row>
    <row r="854" spans="1:24" ht="15.6">
      <c r="A854" s="356"/>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row>
    <row r="855" spans="1:24" ht="15.6">
      <c r="A855" s="356"/>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row>
    <row r="856" spans="1:24" ht="15.6">
      <c r="A856" s="356"/>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row>
    <row r="857" spans="1:24" ht="15.6">
      <c r="A857" s="356"/>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row>
    <row r="858" spans="1:24" ht="15.6">
      <c r="A858" s="356"/>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row>
    <row r="859" spans="1:24" ht="15.6">
      <c r="A859" s="356"/>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row>
    <row r="860" spans="1:24" ht="15.6">
      <c r="A860" s="356"/>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row>
    <row r="861" spans="1:24" ht="15.6">
      <c r="A861" s="356"/>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row>
    <row r="862" spans="1:24" ht="15.6">
      <c r="A862" s="356"/>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row>
    <row r="863" spans="1:24" ht="15.6">
      <c r="A863" s="356"/>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row>
    <row r="864" spans="1:24" ht="15.6">
      <c r="A864" s="356"/>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row>
    <row r="865" spans="1:24" ht="15.6">
      <c r="A865" s="356"/>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row>
    <row r="866" spans="1:24" ht="15.6">
      <c r="A866" s="356"/>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row>
    <row r="867" spans="1:24" ht="15.6">
      <c r="A867" s="356"/>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row>
    <row r="868" spans="1:24" ht="15.6">
      <c r="A868" s="356"/>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row>
    <row r="869" spans="1:24" ht="15.6">
      <c r="A869" s="356"/>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row>
    <row r="870" spans="1:24" ht="15.6">
      <c r="A870" s="356"/>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row>
    <row r="871" spans="1:24" ht="15.6">
      <c r="A871" s="356"/>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row>
    <row r="872" spans="1:24" ht="15.6">
      <c r="A872" s="356"/>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row>
    <row r="873" spans="1:24" ht="15.6">
      <c r="A873" s="356"/>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row>
    <row r="874" spans="1:24" ht="15.6">
      <c r="A874" s="356"/>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row>
    <row r="875" spans="1:24" ht="15.6">
      <c r="A875" s="356"/>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row>
    <row r="876" spans="1:24" ht="15.6">
      <c r="A876" s="356"/>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row>
    <row r="877" spans="1:24" ht="15.6">
      <c r="A877" s="356"/>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row>
    <row r="878" spans="1:24" ht="15.6">
      <c r="A878" s="356"/>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row>
    <row r="879" spans="1:24" ht="15.6">
      <c r="A879" s="356"/>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row>
    <row r="880" spans="1:24" ht="15.6">
      <c r="A880" s="356"/>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row>
    <row r="881" spans="1:24" ht="15.6">
      <c r="A881" s="356"/>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row>
    <row r="882" spans="1:24" ht="15.6">
      <c r="A882" s="356"/>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row>
    <row r="883" spans="1:24" ht="15.6">
      <c r="A883" s="356"/>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row>
    <row r="884" spans="1:24" ht="15.6">
      <c r="A884" s="356"/>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row>
    <row r="885" spans="1:24" ht="15.6">
      <c r="A885" s="356"/>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row>
    <row r="886" spans="1:24" ht="15.6">
      <c r="A886" s="356"/>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row>
    <row r="887" spans="1:24" ht="15.6">
      <c r="A887" s="356"/>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row>
    <row r="888" spans="1:24" ht="15.6">
      <c r="A888" s="356"/>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row>
    <row r="889" spans="1:24" ht="15.6">
      <c r="A889" s="356"/>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row>
    <row r="890" spans="1:24" ht="15.6">
      <c r="A890" s="356"/>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row>
    <row r="891" spans="1:24" ht="15.6">
      <c r="A891" s="356"/>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row>
    <row r="892" spans="1:24" ht="15.6">
      <c r="A892" s="356"/>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row>
    <row r="893" spans="1:24" ht="15.6">
      <c r="A893" s="356"/>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row>
    <row r="894" spans="1:24" ht="15.6">
      <c r="A894" s="356"/>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row>
    <row r="895" spans="1:24" ht="15.6">
      <c r="A895" s="356"/>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row>
    <row r="896" spans="1:24" ht="15.6">
      <c r="A896" s="356"/>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row>
    <row r="897" spans="1:24" ht="15.6">
      <c r="A897" s="356"/>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row>
    <row r="898" spans="1:24" ht="15.6">
      <c r="A898" s="356"/>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row>
    <row r="899" spans="1:24" ht="15.6">
      <c r="A899" s="356"/>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row>
    <row r="900" spans="1:24" ht="15.6">
      <c r="A900" s="356"/>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row>
    <row r="901" spans="1:24" ht="15.6">
      <c r="A901" s="356"/>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row>
    <row r="902" spans="1:24" ht="15.6">
      <c r="A902" s="356"/>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row>
    <row r="903" spans="1:24" ht="15.6">
      <c r="A903" s="356"/>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row>
    <row r="904" spans="1:24" ht="15.6">
      <c r="A904" s="356"/>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row>
    <row r="905" spans="1:24" ht="15.6">
      <c r="A905" s="356"/>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row>
    <row r="906" spans="1:24" ht="15.6">
      <c r="A906" s="356"/>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row>
    <row r="907" spans="1:24" ht="15.6">
      <c r="A907" s="356"/>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row>
    <row r="908" spans="1:24" ht="15.6">
      <c r="A908" s="356"/>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row>
    <row r="909" spans="1:24" ht="15.6">
      <c r="A909" s="356"/>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row>
    <row r="910" spans="1:24" ht="15.6">
      <c r="A910" s="356"/>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row>
    <row r="911" spans="1:24" ht="15.6">
      <c r="A911" s="356"/>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row>
    <row r="912" spans="1:24" ht="15.6">
      <c r="A912" s="356"/>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row>
    <row r="913" spans="1:24" ht="15.6">
      <c r="A913" s="356"/>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row>
    <row r="914" spans="1:24" ht="15.6">
      <c r="A914" s="356"/>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row>
    <row r="915" spans="1:24" ht="15.6">
      <c r="A915" s="356"/>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row>
    <row r="916" spans="1:24" ht="15.6">
      <c r="A916" s="356"/>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row>
    <row r="917" spans="1:24" ht="15.6">
      <c r="A917" s="356"/>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row>
    <row r="918" spans="1:24" ht="15.6">
      <c r="A918" s="356"/>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row>
    <row r="919" spans="1:24" ht="15.6">
      <c r="A919" s="356"/>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row>
    <row r="920" spans="1:24" ht="15.6">
      <c r="A920" s="356"/>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row>
    <row r="921" spans="1:24" ht="15.6">
      <c r="A921" s="356"/>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row>
    <row r="922" spans="1:24" ht="15.6">
      <c r="A922" s="356"/>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row>
    <row r="923" spans="1:24" ht="15.6">
      <c r="A923" s="356"/>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row>
    <row r="924" spans="1:24" ht="15.6">
      <c r="A924" s="356"/>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row>
    <row r="925" spans="1:24" ht="15.6">
      <c r="A925" s="356"/>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row>
    <row r="926" spans="1:24" ht="15.6">
      <c r="A926" s="356"/>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row>
    <row r="927" spans="1:24" ht="15.6">
      <c r="A927" s="356"/>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row>
    <row r="928" spans="1:24" ht="15.6">
      <c r="A928" s="356"/>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row>
    <row r="929" spans="1:24" ht="15.6">
      <c r="A929" s="356"/>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row>
    <row r="930" spans="1:24" ht="15.6">
      <c r="A930" s="356"/>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row>
    <row r="931" spans="1:24" ht="15.6">
      <c r="A931" s="356"/>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row>
    <row r="932" spans="1:24" ht="15.6">
      <c r="A932" s="356"/>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row>
    <row r="933" spans="1:24" ht="15.6">
      <c r="A933" s="356"/>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row>
    <row r="934" spans="1:24" ht="15.6">
      <c r="A934" s="356"/>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row>
    <row r="935" spans="1:24" ht="15.6">
      <c r="A935" s="356"/>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row>
    <row r="936" spans="1:24" ht="15.6">
      <c r="A936" s="356"/>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row>
    <row r="937" spans="1:24" ht="15.6">
      <c r="A937" s="356"/>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row>
    <row r="938" spans="1:24" ht="15.6">
      <c r="A938" s="356"/>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row>
    <row r="939" spans="1:24" ht="15.6">
      <c r="A939" s="356"/>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row>
    <row r="940" spans="1:24" ht="15.6">
      <c r="A940" s="356"/>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row>
    <row r="941" spans="1:24" ht="15.6">
      <c r="A941" s="356"/>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row>
    <row r="942" spans="1:24" ht="15.6">
      <c r="A942" s="356"/>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row>
    <row r="943" spans="1:24" ht="15.6">
      <c r="A943" s="356"/>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row>
    <row r="944" spans="1:24" ht="15.6">
      <c r="A944" s="356"/>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row>
    <row r="945" spans="1:24" ht="15.6">
      <c r="A945" s="356"/>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row>
    <row r="946" spans="1:24" ht="15.6">
      <c r="A946" s="356"/>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row>
    <row r="947" spans="1:24" ht="15.6">
      <c r="A947" s="356"/>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row>
    <row r="948" spans="1:24" ht="15.6">
      <c r="A948" s="356"/>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row>
    <row r="949" spans="1:24" ht="15.6">
      <c r="A949" s="356"/>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row>
    <row r="950" spans="1:24" ht="15.6">
      <c r="A950" s="356"/>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row>
    <row r="951" spans="1:24" ht="15.6">
      <c r="A951" s="356"/>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row>
    <row r="952" spans="1:24" ht="15.6">
      <c r="A952" s="356"/>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row>
    <row r="953" spans="1:24" ht="15.6">
      <c r="A953" s="356"/>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row>
    <row r="954" spans="1:24" ht="15.6">
      <c r="A954" s="356"/>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row>
    <row r="955" spans="1:24" ht="15.6">
      <c r="A955" s="356"/>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row>
    <row r="956" spans="1:24" ht="15.6">
      <c r="A956" s="356"/>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row>
    <row r="957" spans="1:24" ht="15.6">
      <c r="A957" s="356"/>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row>
    <row r="958" spans="1:24" ht="15.6">
      <c r="A958" s="356"/>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row>
    <row r="959" spans="1:24" ht="15.6">
      <c r="A959" s="356"/>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row>
    <row r="960" spans="1:24" ht="15.6">
      <c r="A960" s="356"/>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row>
    <row r="961" spans="1:24" ht="15.6">
      <c r="A961" s="356"/>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row>
    <row r="962" spans="1:24" ht="15.6">
      <c r="A962" s="356"/>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row>
    <row r="963" spans="1:24" ht="15.6">
      <c r="A963" s="356"/>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row>
    <row r="964" spans="1:24" ht="15.6">
      <c r="A964" s="356"/>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row>
    <row r="965" spans="1:24" ht="15.6">
      <c r="A965" s="356"/>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row>
    <row r="966" spans="1:24" ht="15.6">
      <c r="A966" s="356"/>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row>
    <row r="967" spans="1:24" ht="15.6">
      <c r="A967" s="356"/>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row>
    <row r="968" spans="1:24" ht="15.6">
      <c r="A968" s="356"/>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row>
    <row r="969" spans="1:24" ht="15.6">
      <c r="A969" s="356"/>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row>
    <row r="970" spans="1:24" ht="15.6">
      <c r="A970" s="356"/>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row>
    <row r="971" spans="1:24" ht="15.6">
      <c r="A971" s="356"/>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row>
    <row r="972" spans="1:24" ht="15.6">
      <c r="A972" s="356"/>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row>
    <row r="973" spans="1:24" ht="15.6">
      <c r="A973" s="356"/>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row>
    <row r="974" spans="1:24" ht="15.6">
      <c r="A974" s="356"/>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row>
    <row r="975" spans="1:24" ht="15.6">
      <c r="A975" s="356"/>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row>
    <row r="976" spans="1:24" ht="15.6">
      <c r="A976" s="356"/>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row>
    <row r="977" spans="1:24" ht="15.6">
      <c r="A977" s="356"/>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row>
    <row r="978" spans="1:24" ht="15.6">
      <c r="A978" s="356"/>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row>
    <row r="979" spans="1:24" ht="15.6">
      <c r="A979" s="356"/>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row>
    <row r="980" spans="1:24" ht="15.6">
      <c r="A980" s="356"/>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row>
    <row r="981" spans="1:24" ht="15.6">
      <c r="A981" s="356"/>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row>
    <row r="982" spans="1:24" ht="15.6">
      <c r="A982" s="356"/>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row>
    <row r="983" spans="1:24" ht="15.6">
      <c r="A983" s="356"/>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row>
    <row r="984" spans="1:24" ht="15.6">
      <c r="A984" s="356"/>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row>
    <row r="985" spans="1:24" ht="15.6">
      <c r="A985" s="356"/>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row>
    <row r="986" spans="1:24" ht="15.6">
      <c r="A986" s="356"/>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row>
    <row r="987" spans="1:24" ht="15.6">
      <c r="A987" s="356"/>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row>
    <row r="988" spans="1:24" ht="15.6">
      <c r="A988" s="356"/>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row>
    <row r="989" spans="1:24" ht="15.6">
      <c r="A989" s="356"/>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row>
    <row r="990" spans="1:24" ht="15.6">
      <c r="A990" s="356"/>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row>
    <row r="991" spans="1:24" ht="15.6">
      <c r="A991" s="356"/>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row>
    <row r="992" spans="1:24" ht="15.6">
      <c r="A992" s="356"/>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row>
    <row r="993" spans="1:24" ht="15.6">
      <c r="A993" s="356"/>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row>
    <row r="994" spans="1:24" ht="15.6">
      <c r="A994" s="356"/>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row>
    <row r="995" spans="1:24" ht="15.6">
      <c r="A995" s="356"/>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row>
    <row r="996" spans="1:24" ht="15.6">
      <c r="A996" s="356"/>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row>
    <row r="997" spans="1:24" ht="15.6">
      <c r="A997" s="356"/>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row>
    <row r="998" spans="1:24" ht="15.6">
      <c r="A998" s="356"/>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row>
    <row r="999" spans="1:24" ht="15.6">
      <c r="A999" s="356"/>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row>
    <row r="1000" spans="1:24" ht="15.6">
      <c r="A1000" s="356"/>
      <c r="B1000" s="348"/>
      <c r="C1000" s="348"/>
      <c r="D1000" s="348"/>
      <c r="E1000" s="348"/>
      <c r="F1000" s="348"/>
      <c r="G1000" s="348"/>
      <c r="H1000" s="348"/>
      <c r="I1000" s="348"/>
      <c r="J1000" s="348"/>
      <c r="K1000" s="348"/>
      <c r="L1000" s="348"/>
      <c r="M1000" s="348"/>
      <c r="N1000" s="348"/>
      <c r="O1000" s="348"/>
      <c r="P1000" s="348"/>
      <c r="Q1000" s="348"/>
      <c r="R1000" s="348"/>
      <c r="S1000" s="348"/>
      <c r="T1000" s="348"/>
      <c r="U1000" s="348"/>
      <c r="V1000" s="348"/>
      <c r="W1000" s="348"/>
      <c r="X1000" s="348"/>
    </row>
    <row r="1001" spans="1:24" ht="15.6">
      <c r="A1001" s="356"/>
      <c r="B1001" s="348"/>
      <c r="C1001" s="348"/>
      <c r="D1001" s="348"/>
      <c r="E1001" s="348"/>
      <c r="F1001" s="348"/>
      <c r="G1001" s="348"/>
      <c r="H1001" s="348"/>
      <c r="I1001" s="348"/>
      <c r="J1001" s="348"/>
      <c r="K1001" s="348"/>
      <c r="L1001" s="348"/>
      <c r="M1001" s="348"/>
      <c r="N1001" s="348"/>
      <c r="O1001" s="348"/>
      <c r="P1001" s="348"/>
      <c r="Q1001" s="348"/>
      <c r="R1001" s="348"/>
      <c r="S1001" s="348"/>
      <c r="T1001" s="348"/>
      <c r="U1001" s="348"/>
      <c r="V1001" s="348"/>
      <c r="W1001" s="348"/>
      <c r="X1001" s="348"/>
    </row>
    <row r="1002" spans="1:24" ht="15.6">
      <c r="A1002" s="356"/>
      <c r="B1002" s="348"/>
      <c r="C1002" s="348"/>
      <c r="D1002" s="348"/>
      <c r="E1002" s="348"/>
      <c r="F1002" s="348"/>
      <c r="G1002" s="348"/>
      <c r="H1002" s="348"/>
      <c r="I1002" s="348"/>
      <c r="J1002" s="348"/>
      <c r="K1002" s="348"/>
      <c r="L1002" s="348"/>
      <c r="M1002" s="348"/>
      <c r="N1002" s="348"/>
      <c r="O1002" s="348"/>
      <c r="P1002" s="348"/>
      <c r="Q1002" s="348"/>
      <c r="R1002" s="348"/>
      <c r="S1002" s="348"/>
      <c r="T1002" s="348"/>
      <c r="U1002" s="348"/>
      <c r="V1002" s="348"/>
      <c r="W1002" s="348"/>
      <c r="X1002" s="348"/>
    </row>
    <row r="1003" spans="1:24" ht="15.6">
      <c r="A1003" s="356"/>
      <c r="B1003" s="348"/>
      <c r="C1003" s="348"/>
      <c r="D1003" s="348"/>
      <c r="E1003" s="348"/>
      <c r="F1003" s="348"/>
      <c r="G1003" s="348"/>
      <c r="H1003" s="348"/>
      <c r="I1003" s="348"/>
      <c r="J1003" s="348"/>
      <c r="K1003" s="348"/>
      <c r="L1003" s="348"/>
      <c r="M1003" s="348"/>
      <c r="N1003" s="348"/>
      <c r="O1003" s="348"/>
      <c r="P1003" s="348"/>
      <c r="Q1003" s="348"/>
      <c r="R1003" s="348"/>
      <c r="S1003" s="348"/>
      <c r="T1003" s="348"/>
      <c r="U1003" s="348"/>
      <c r="V1003" s="348"/>
      <c r="W1003" s="348"/>
      <c r="X1003" s="348"/>
    </row>
    <row r="1004" spans="1:24" ht="15.6">
      <c r="A1004" s="356"/>
      <c r="B1004" s="348"/>
      <c r="C1004" s="348"/>
      <c r="D1004" s="348"/>
      <c r="E1004" s="348"/>
      <c r="F1004" s="348"/>
      <c r="G1004" s="348"/>
      <c r="H1004" s="348"/>
      <c r="I1004" s="348"/>
      <c r="J1004" s="348"/>
      <c r="K1004" s="348"/>
      <c r="L1004" s="348"/>
      <c r="M1004" s="348"/>
      <c r="N1004" s="348"/>
      <c r="O1004" s="348"/>
      <c r="P1004" s="348"/>
      <c r="Q1004" s="348"/>
      <c r="R1004" s="348"/>
      <c r="S1004" s="348"/>
      <c r="T1004" s="348"/>
      <c r="U1004" s="348"/>
      <c r="V1004" s="348"/>
      <c r="W1004" s="348"/>
      <c r="X1004" s="348"/>
    </row>
    <row r="1005" spans="1:24" ht="15.6">
      <c r="A1005" s="356"/>
      <c r="B1005" s="348"/>
      <c r="C1005" s="348"/>
      <c r="D1005" s="348"/>
      <c r="E1005" s="348"/>
      <c r="F1005" s="348"/>
      <c r="G1005" s="348"/>
      <c r="H1005" s="348"/>
      <c r="I1005" s="348"/>
      <c r="J1005" s="348"/>
      <c r="K1005" s="348"/>
      <c r="L1005" s="348"/>
      <c r="M1005" s="348"/>
      <c r="N1005" s="348"/>
      <c r="O1005" s="348"/>
      <c r="P1005" s="348"/>
      <c r="Q1005" s="348"/>
      <c r="R1005" s="348"/>
      <c r="S1005" s="348"/>
      <c r="T1005" s="348"/>
      <c r="U1005" s="348"/>
      <c r="V1005" s="348"/>
      <c r="W1005" s="348"/>
      <c r="X1005" s="348"/>
    </row>
    <row r="1006" spans="1:24" ht="15.6">
      <c r="A1006" s="356"/>
      <c r="B1006" s="348"/>
      <c r="C1006" s="348"/>
      <c r="D1006" s="348"/>
      <c r="E1006" s="348"/>
      <c r="F1006" s="348"/>
      <c r="G1006" s="348"/>
      <c r="H1006" s="348"/>
      <c r="I1006" s="348"/>
      <c r="J1006" s="348"/>
      <c r="K1006" s="348"/>
      <c r="L1006" s="348"/>
      <c r="M1006" s="348"/>
      <c r="N1006" s="348"/>
      <c r="O1006" s="348"/>
      <c r="P1006" s="348"/>
      <c r="Q1006" s="348"/>
      <c r="R1006" s="348"/>
      <c r="S1006" s="348"/>
      <c r="T1006" s="348"/>
      <c r="U1006" s="348"/>
      <c r="V1006" s="348"/>
      <c r="W1006" s="348"/>
      <c r="X1006" s="348"/>
    </row>
    <row r="1007" spans="1:24" ht="15.6">
      <c r="A1007" s="356"/>
      <c r="B1007" s="348"/>
      <c r="C1007" s="348"/>
      <c r="D1007" s="348"/>
      <c r="E1007" s="348"/>
      <c r="F1007" s="348"/>
      <c r="G1007" s="348"/>
      <c r="H1007" s="348"/>
      <c r="I1007" s="348"/>
      <c r="J1007" s="348"/>
      <c r="K1007" s="348"/>
      <c r="L1007" s="348"/>
      <c r="M1007" s="348"/>
      <c r="N1007" s="348"/>
      <c r="O1007" s="348"/>
      <c r="P1007" s="348"/>
      <c r="Q1007" s="348"/>
      <c r="R1007" s="348"/>
      <c r="S1007" s="348"/>
      <c r="T1007" s="348"/>
      <c r="U1007" s="348"/>
      <c r="V1007" s="348"/>
      <c r="W1007" s="348"/>
      <c r="X1007" s="348"/>
    </row>
    <row r="1008" spans="1:24" ht="15.6">
      <c r="A1008" s="356"/>
      <c r="B1008" s="348"/>
      <c r="C1008" s="348"/>
      <c r="D1008" s="348"/>
      <c r="E1008" s="348"/>
      <c r="F1008" s="348"/>
      <c r="G1008" s="348"/>
      <c r="H1008" s="348"/>
      <c r="I1008" s="348"/>
      <c r="J1008" s="348"/>
      <c r="K1008" s="348"/>
      <c r="L1008" s="348"/>
      <c r="M1008" s="348"/>
      <c r="N1008" s="348"/>
      <c r="O1008" s="348"/>
      <c r="P1008" s="348"/>
      <c r="Q1008" s="348"/>
      <c r="R1008" s="348"/>
      <c r="S1008" s="348"/>
      <c r="T1008" s="348"/>
      <c r="U1008" s="348"/>
      <c r="V1008" s="348"/>
      <c r="W1008" s="348"/>
      <c r="X1008" s="348"/>
    </row>
    <row r="1009" spans="1:24" ht="15.6">
      <c r="A1009" s="356"/>
      <c r="B1009" s="348"/>
      <c r="C1009" s="348"/>
      <c r="D1009" s="348"/>
      <c r="E1009" s="348"/>
      <c r="F1009" s="348"/>
      <c r="G1009" s="348"/>
      <c r="H1009" s="348"/>
      <c r="I1009" s="348"/>
      <c r="J1009" s="348"/>
      <c r="K1009" s="348"/>
      <c r="L1009" s="348"/>
      <c r="M1009" s="348"/>
      <c r="N1009" s="348"/>
      <c r="O1009" s="348"/>
      <c r="P1009" s="348"/>
      <c r="Q1009" s="348"/>
      <c r="R1009" s="348"/>
      <c r="S1009" s="348"/>
      <c r="T1009" s="348"/>
      <c r="U1009" s="348"/>
      <c r="V1009" s="348"/>
      <c r="W1009" s="348"/>
      <c r="X1009" s="348"/>
    </row>
    <row r="1010" spans="1:24" ht="15.6">
      <c r="A1010" s="356"/>
      <c r="B1010" s="348"/>
      <c r="C1010" s="348"/>
      <c r="D1010" s="348"/>
      <c r="E1010" s="348"/>
      <c r="F1010" s="348"/>
      <c r="G1010" s="348"/>
      <c r="H1010" s="348"/>
      <c r="I1010" s="348"/>
      <c r="J1010" s="348"/>
      <c r="K1010" s="348"/>
      <c r="L1010" s="348"/>
      <c r="M1010" s="348"/>
      <c r="N1010" s="348"/>
      <c r="O1010" s="348"/>
      <c r="P1010" s="348"/>
      <c r="Q1010" s="348"/>
      <c r="R1010" s="348"/>
      <c r="S1010" s="348"/>
      <c r="T1010" s="348"/>
      <c r="U1010" s="348"/>
      <c r="V1010" s="348"/>
      <c r="W1010" s="348"/>
      <c r="X1010" s="348"/>
    </row>
    <row r="1011" spans="1:24" ht="15.6">
      <c r="A1011" s="356"/>
      <c r="B1011" s="348"/>
      <c r="C1011" s="348"/>
      <c r="D1011" s="348"/>
      <c r="E1011" s="348"/>
      <c r="F1011" s="348"/>
      <c r="G1011" s="348"/>
      <c r="H1011" s="348"/>
      <c r="I1011" s="348"/>
      <c r="J1011" s="348"/>
      <c r="K1011" s="348"/>
      <c r="L1011" s="348"/>
      <c r="M1011" s="348"/>
      <c r="N1011" s="348"/>
      <c r="O1011" s="348"/>
      <c r="P1011" s="348"/>
      <c r="Q1011" s="348"/>
      <c r="R1011" s="348"/>
      <c r="S1011" s="348"/>
      <c r="T1011" s="348"/>
      <c r="U1011" s="348"/>
      <c r="V1011" s="348"/>
      <c r="W1011" s="348"/>
      <c r="X1011" s="348"/>
    </row>
    <row r="1012" spans="1:24" ht="15.6">
      <c r="A1012" s="356"/>
      <c r="B1012" s="348"/>
      <c r="C1012" s="348"/>
      <c r="D1012" s="348"/>
      <c r="E1012" s="348"/>
      <c r="F1012" s="348"/>
      <c r="G1012" s="348"/>
      <c r="H1012" s="348"/>
      <c r="I1012" s="348"/>
      <c r="J1012" s="348"/>
      <c r="K1012" s="348"/>
      <c r="L1012" s="348"/>
      <c r="M1012" s="348"/>
      <c r="N1012" s="348"/>
      <c r="O1012" s="348"/>
      <c r="P1012" s="348"/>
      <c r="Q1012" s="348"/>
      <c r="R1012" s="348"/>
      <c r="S1012" s="348"/>
      <c r="T1012" s="348"/>
      <c r="U1012" s="348"/>
      <c r="V1012" s="348"/>
      <c r="W1012" s="348"/>
      <c r="X1012" s="348"/>
    </row>
    <row r="1013" spans="1:24" ht="15.6">
      <c r="A1013" s="356"/>
      <c r="B1013" s="348"/>
      <c r="C1013" s="348"/>
      <c r="D1013" s="348"/>
      <c r="E1013" s="348"/>
      <c r="F1013" s="348"/>
      <c r="G1013" s="348"/>
      <c r="H1013" s="348"/>
      <c r="I1013" s="348"/>
      <c r="J1013" s="348"/>
      <c r="K1013" s="348"/>
      <c r="L1013" s="348"/>
      <c r="M1013" s="348"/>
      <c r="N1013" s="348"/>
      <c r="O1013" s="348"/>
      <c r="P1013" s="348"/>
      <c r="Q1013" s="348"/>
      <c r="R1013" s="348"/>
      <c r="S1013" s="348"/>
      <c r="T1013" s="348"/>
      <c r="U1013" s="348"/>
      <c r="V1013" s="348"/>
      <c r="W1013" s="348"/>
      <c r="X1013" s="348"/>
    </row>
  </sheetData>
  <mergeCells count="20">
    <mergeCell ref="B24:F24"/>
    <mergeCell ref="B26:F26"/>
    <mergeCell ref="B22:F22"/>
    <mergeCell ref="B12:F12"/>
    <mergeCell ref="B13:F13"/>
    <mergeCell ref="B14:F14"/>
    <mergeCell ref="B15:F15"/>
    <mergeCell ref="B17:F17"/>
    <mergeCell ref="B18:F18"/>
    <mergeCell ref="B20:F20"/>
    <mergeCell ref="B7:F7"/>
    <mergeCell ref="B8:F8"/>
    <mergeCell ref="B9:F9"/>
    <mergeCell ref="B10:F10"/>
    <mergeCell ref="B11:F11"/>
    <mergeCell ref="A1:F1"/>
    <mergeCell ref="B3:F3"/>
    <mergeCell ref="B4:F4"/>
    <mergeCell ref="B5:F5"/>
    <mergeCell ref="B6:F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005"/>
  <sheetViews>
    <sheetView showGridLines="0" workbookViewId="0">
      <pane xSplit="1" ySplit="1" topLeftCell="B2" activePane="bottomRight" state="frozen"/>
      <selection pane="topRight" activeCell="B1" sqref="B1"/>
      <selection pane="bottomLeft" activeCell="A2" sqref="A2"/>
      <selection pane="bottomRight" activeCell="F14" sqref="F14"/>
    </sheetView>
  </sheetViews>
  <sheetFormatPr defaultColWidth="11.19921875" defaultRowHeight="15" customHeight="1"/>
  <cols>
    <col min="1" max="1" width="37.8984375" customWidth="1"/>
    <col min="2" max="5" width="8.796875" customWidth="1"/>
    <col min="6" max="6" width="10.296875" customWidth="1"/>
    <col min="7" max="7" width="11.19921875" customWidth="1"/>
    <col min="8" max="10" width="9.296875" customWidth="1"/>
    <col min="11" max="11" width="8.296875" customWidth="1"/>
    <col min="12" max="12" width="0.59765625" hidden="1" customWidth="1"/>
    <col min="13" max="14" width="24.3984375" customWidth="1"/>
    <col min="15" max="17" width="8.796875" customWidth="1"/>
    <col min="18" max="18" width="10.69921875" customWidth="1"/>
    <col min="19" max="19" width="12" customWidth="1"/>
    <col min="20" max="24" width="8.796875" customWidth="1"/>
    <col min="25" max="25" width="8.59765625" customWidth="1"/>
  </cols>
  <sheetData>
    <row r="1" spans="1:25" ht="23.25" customHeight="1">
      <c r="A1" s="357" t="s">
        <v>71</v>
      </c>
      <c r="B1" s="358">
        <v>2016</v>
      </c>
      <c r="C1" s="359">
        <v>2017</v>
      </c>
      <c r="D1" s="359">
        <v>2018</v>
      </c>
      <c r="E1" s="359">
        <v>2019</v>
      </c>
      <c r="F1" s="359">
        <v>2020</v>
      </c>
      <c r="G1" s="360" t="s">
        <v>64</v>
      </c>
      <c r="H1" s="360" t="s">
        <v>65</v>
      </c>
      <c r="I1" s="360" t="s">
        <v>66</v>
      </c>
      <c r="J1" s="360" t="s">
        <v>67</v>
      </c>
      <c r="K1" s="360" t="s">
        <v>68</v>
      </c>
      <c r="L1" s="254"/>
      <c r="M1" s="254"/>
      <c r="N1" s="245"/>
      <c r="O1" s="739" t="s">
        <v>316</v>
      </c>
      <c r="P1" s="739"/>
      <c r="Q1" s="739"/>
      <c r="R1" s="739"/>
      <c r="V1" s="245"/>
      <c r="W1" s="245"/>
      <c r="X1" s="245"/>
      <c r="Y1" s="254"/>
    </row>
    <row r="2" spans="1:25" ht="15.6">
      <c r="A2" s="361"/>
      <c r="B2" s="362"/>
      <c r="C2" s="363"/>
      <c r="D2" s="363"/>
      <c r="E2" s="363"/>
      <c r="F2" s="363"/>
      <c r="G2" s="363"/>
      <c r="H2" s="363"/>
      <c r="I2" s="363"/>
      <c r="J2" s="363"/>
      <c r="K2" s="364"/>
      <c r="L2" s="365"/>
      <c r="M2" s="383"/>
      <c r="Y2" s="365"/>
    </row>
    <row r="3" spans="1:25" ht="15.6">
      <c r="A3" s="366" t="s">
        <v>317</v>
      </c>
      <c r="B3" s="367"/>
      <c r="C3" s="254"/>
      <c r="D3" s="254"/>
      <c r="E3" s="254"/>
      <c r="F3" s="254"/>
      <c r="G3" s="254"/>
      <c r="H3" s="254"/>
      <c r="I3" s="254"/>
      <c r="J3" s="254"/>
      <c r="K3" s="368"/>
      <c r="L3" s="365"/>
      <c r="M3" s="383"/>
      <c r="S3" s="754"/>
      <c r="T3" s="754"/>
      <c r="U3" s="754"/>
      <c r="Y3" s="365"/>
    </row>
    <row r="4" spans="1:25" ht="15.6">
      <c r="A4" s="369" t="s">
        <v>318</v>
      </c>
      <c r="B4" s="367"/>
      <c r="C4" s="254"/>
      <c r="D4" s="254"/>
      <c r="E4" s="254"/>
      <c r="F4" s="254"/>
      <c r="G4" s="254"/>
      <c r="H4" s="254"/>
      <c r="I4" s="254"/>
      <c r="J4" s="254"/>
      <c r="K4" s="368"/>
      <c r="L4" s="365"/>
      <c r="M4" s="383"/>
      <c r="N4" s="753"/>
      <c r="O4" s="750">
        <v>2016</v>
      </c>
      <c r="P4" s="750">
        <v>2017</v>
      </c>
      <c r="Q4" s="750">
        <v>2018</v>
      </c>
      <c r="R4" s="750">
        <v>2019</v>
      </c>
      <c r="S4" s="750">
        <v>2020</v>
      </c>
      <c r="T4" s="751" t="s">
        <v>64</v>
      </c>
      <c r="U4" s="751" t="s">
        <v>65</v>
      </c>
      <c r="V4" s="751" t="s">
        <v>66</v>
      </c>
      <c r="W4" s="751" t="s">
        <v>67</v>
      </c>
      <c r="X4" s="752" t="s">
        <v>68</v>
      </c>
      <c r="Y4" s="365"/>
    </row>
    <row r="5" spans="1:25" ht="15.6">
      <c r="A5" s="370" t="s">
        <v>319</v>
      </c>
      <c r="B5" s="367"/>
      <c r="C5" s="254"/>
      <c r="D5" s="254"/>
      <c r="E5" s="254">
        <v>60</v>
      </c>
      <c r="F5" s="254">
        <v>60</v>
      </c>
      <c r="G5" s="254">
        <v>60</v>
      </c>
      <c r="H5" s="254">
        <v>60</v>
      </c>
      <c r="I5" s="254">
        <v>60</v>
      </c>
      <c r="J5" s="254">
        <v>60</v>
      </c>
      <c r="K5" s="368">
        <v>60</v>
      </c>
      <c r="L5" s="365"/>
      <c r="M5" s="383"/>
      <c r="N5" s="741" t="s">
        <v>320</v>
      </c>
      <c r="O5" s="254"/>
      <c r="P5" s="254"/>
      <c r="Q5" s="254">
        <v>37.299999999999997</v>
      </c>
      <c r="R5" s="254">
        <v>678</v>
      </c>
      <c r="S5" s="254">
        <v>895</v>
      </c>
      <c r="T5" s="371">
        <v>827</v>
      </c>
      <c r="U5" s="371">
        <v>942</v>
      </c>
      <c r="V5" s="371">
        <v>987</v>
      </c>
      <c r="W5" s="371">
        <v>987</v>
      </c>
      <c r="X5" s="742">
        <v>987</v>
      </c>
      <c r="Y5" s="365"/>
    </row>
    <row r="6" spans="1:25" ht="15.6">
      <c r="A6" s="370" t="s">
        <v>321</v>
      </c>
      <c r="B6" s="367"/>
      <c r="C6" s="254"/>
      <c r="D6" s="372"/>
      <c r="E6" s="372">
        <f t="shared" ref="E6:K6" si="0">E5/$P$19</f>
        <v>0.14814814814814814</v>
      </c>
      <c r="F6" s="372">
        <f t="shared" si="0"/>
        <v>0.14814814814814814</v>
      </c>
      <c r="G6" s="372">
        <f t="shared" si="0"/>
        <v>0.14814814814814814</v>
      </c>
      <c r="H6" s="372">
        <f t="shared" si="0"/>
        <v>0.14814814814814814</v>
      </c>
      <c r="I6" s="372">
        <f t="shared" si="0"/>
        <v>0.14814814814814814</v>
      </c>
      <c r="J6" s="372">
        <f t="shared" si="0"/>
        <v>0.14814814814814814</v>
      </c>
      <c r="K6" s="373">
        <f t="shared" si="0"/>
        <v>0.14814814814814814</v>
      </c>
      <c r="L6" s="365"/>
      <c r="M6" s="383"/>
      <c r="N6" s="740" t="s">
        <v>322</v>
      </c>
      <c r="O6" s="254"/>
      <c r="P6" s="254"/>
      <c r="Q6" s="374">
        <v>23.6</v>
      </c>
      <c r="R6" s="254">
        <v>272</v>
      </c>
      <c r="S6" s="254">
        <v>405</v>
      </c>
      <c r="T6" s="254">
        <v>405</v>
      </c>
      <c r="U6" s="254">
        <v>405</v>
      </c>
      <c r="V6" s="254">
        <v>405</v>
      </c>
      <c r="W6" s="254">
        <v>405</v>
      </c>
      <c r="X6" s="743">
        <v>405</v>
      </c>
      <c r="Y6" s="365"/>
    </row>
    <row r="7" spans="1:25" ht="15.6">
      <c r="A7" s="375" t="s">
        <v>323</v>
      </c>
      <c r="B7" s="367"/>
      <c r="C7" s="254"/>
      <c r="D7" s="254"/>
      <c r="E7" s="254">
        <v>68</v>
      </c>
      <c r="F7" s="376">
        <f>58.52</f>
        <v>58.52</v>
      </c>
      <c r="G7" s="254">
        <f t="shared" ref="G7:K7" si="1">G5*G8</f>
        <v>54</v>
      </c>
      <c r="H7" s="254">
        <f t="shared" si="1"/>
        <v>60</v>
      </c>
      <c r="I7" s="254">
        <f t="shared" si="1"/>
        <v>63</v>
      </c>
      <c r="J7" s="254">
        <f t="shared" si="1"/>
        <v>63</v>
      </c>
      <c r="K7" s="368">
        <f t="shared" si="1"/>
        <v>63</v>
      </c>
      <c r="L7" s="365"/>
      <c r="M7" s="370"/>
      <c r="N7" s="744" t="s">
        <v>324</v>
      </c>
      <c r="O7" s="254"/>
      <c r="P7" s="254"/>
      <c r="Q7" s="254">
        <v>17.7</v>
      </c>
      <c r="R7" s="254">
        <v>315</v>
      </c>
      <c r="S7" s="254">
        <v>395</v>
      </c>
      <c r="T7" s="254">
        <v>364.5</v>
      </c>
      <c r="U7" s="254">
        <v>415.01</v>
      </c>
      <c r="V7" s="254">
        <v>434.9</v>
      </c>
      <c r="W7" s="254">
        <v>434.9</v>
      </c>
      <c r="X7" s="743">
        <v>434.9</v>
      </c>
      <c r="Y7" s="365"/>
    </row>
    <row r="8" spans="1:25" ht="15.6">
      <c r="A8" s="377" t="s">
        <v>325</v>
      </c>
      <c r="B8" s="367"/>
      <c r="C8" s="254"/>
      <c r="D8" s="372"/>
      <c r="E8" s="372">
        <f t="shared" ref="E8:F8" si="2">E7/E5</f>
        <v>1.1333333333333333</v>
      </c>
      <c r="F8" s="372">
        <f t="shared" si="2"/>
        <v>0.97533333333333339</v>
      </c>
      <c r="G8" s="372">
        <f>90%</f>
        <v>0.9</v>
      </c>
      <c r="H8" s="372">
        <f>100%</f>
        <v>1</v>
      </c>
      <c r="I8" s="372">
        <v>1.05</v>
      </c>
      <c r="J8" s="372">
        <v>1.05</v>
      </c>
      <c r="K8" s="373">
        <v>1.05</v>
      </c>
      <c r="L8" s="365"/>
      <c r="M8" s="383"/>
      <c r="N8" s="740"/>
      <c r="O8" s="254"/>
      <c r="P8" s="254"/>
      <c r="Q8" s="254"/>
      <c r="R8" s="254"/>
      <c r="S8" s="254"/>
      <c r="T8" s="254"/>
      <c r="U8" s="254"/>
      <c r="V8" s="254"/>
      <c r="W8" s="254"/>
      <c r="X8" s="743"/>
      <c r="Y8" s="365"/>
    </row>
    <row r="9" spans="1:25" ht="15.6">
      <c r="A9" s="375" t="s">
        <v>326</v>
      </c>
      <c r="B9" s="367"/>
      <c r="C9" s="254"/>
      <c r="D9" s="254"/>
      <c r="E9" s="378">
        <f>E10/E7</f>
        <v>2.1764705882352939</v>
      </c>
      <c r="F9" s="378">
        <f t="shared" ref="F9:K9" si="3">$F$10/$F$7</f>
        <v>2.2940874914559122</v>
      </c>
      <c r="G9" s="378">
        <f t="shared" si="3"/>
        <v>2.2940874914559122</v>
      </c>
      <c r="H9" s="378">
        <f t="shared" si="3"/>
        <v>2.2940874914559122</v>
      </c>
      <c r="I9" s="378">
        <f t="shared" si="3"/>
        <v>2.2940874914559122</v>
      </c>
      <c r="J9" s="378">
        <f t="shared" si="3"/>
        <v>2.2940874914559122</v>
      </c>
      <c r="K9" s="379">
        <f t="shared" si="3"/>
        <v>2.2940874914559122</v>
      </c>
      <c r="L9" s="365"/>
      <c r="M9" s="383"/>
      <c r="N9" s="740"/>
      <c r="O9" s="254"/>
      <c r="P9" s="254"/>
      <c r="Q9" s="254"/>
      <c r="R9" s="254"/>
      <c r="S9" s="254"/>
      <c r="T9" s="254"/>
      <c r="U9" s="254"/>
      <c r="V9" s="254"/>
      <c r="W9" s="254"/>
      <c r="X9" s="743"/>
      <c r="Y9" s="365"/>
    </row>
    <row r="10" spans="1:25" ht="15.6">
      <c r="A10" s="380" t="s">
        <v>327</v>
      </c>
      <c r="B10" s="367"/>
      <c r="C10" s="254"/>
      <c r="D10" s="376"/>
      <c r="E10" s="371">
        <f>148</f>
        <v>148</v>
      </c>
      <c r="F10" s="376">
        <f>15%*S5</f>
        <v>134.25</v>
      </c>
      <c r="G10" s="371">
        <f t="shared" ref="G10:K10" si="4">G9*G7</f>
        <v>123.88072453861926</v>
      </c>
      <c r="H10" s="371">
        <f t="shared" si="4"/>
        <v>137.64524948735473</v>
      </c>
      <c r="I10" s="371">
        <f t="shared" si="4"/>
        <v>144.52751196172247</v>
      </c>
      <c r="J10" s="371">
        <f t="shared" si="4"/>
        <v>144.52751196172247</v>
      </c>
      <c r="K10" s="381">
        <f t="shared" si="4"/>
        <v>144.52751196172247</v>
      </c>
      <c r="L10" s="365"/>
      <c r="M10" s="383"/>
      <c r="N10" s="741" t="s">
        <v>328</v>
      </c>
      <c r="O10" s="254"/>
      <c r="P10" s="254"/>
      <c r="Q10" s="254"/>
      <c r="R10" s="254"/>
      <c r="S10" s="254"/>
      <c r="T10" s="371">
        <v>142</v>
      </c>
      <c r="U10" s="371">
        <v>1686</v>
      </c>
      <c r="V10" s="371">
        <v>1704</v>
      </c>
      <c r="W10" s="371">
        <v>1704</v>
      </c>
      <c r="X10" s="742">
        <v>1704</v>
      </c>
      <c r="Y10" s="365"/>
    </row>
    <row r="11" spans="1:25" ht="15.6">
      <c r="A11" s="370" t="s">
        <v>329</v>
      </c>
      <c r="B11" s="367"/>
      <c r="C11" s="254"/>
      <c r="D11" s="372"/>
      <c r="E11" s="372">
        <f>E10/$S$5</f>
        <v>0.1653631284916201</v>
      </c>
      <c r="F11" s="372">
        <f>F10/$S$5</f>
        <v>0.15</v>
      </c>
      <c r="G11" s="372">
        <f>G10/T5</f>
        <v>0.14979531383146222</v>
      </c>
      <c r="H11" s="372">
        <f>H10/U5</f>
        <v>0.14612022238572689</v>
      </c>
      <c r="I11" s="372">
        <f>I10/V5</f>
        <v>0.14643111647590928</v>
      </c>
      <c r="J11" s="372">
        <f>J10/W5</f>
        <v>0.14643111647590928</v>
      </c>
      <c r="K11" s="373">
        <f>K10/X5</f>
        <v>0.14643111647590928</v>
      </c>
      <c r="L11" s="365"/>
      <c r="M11" s="383"/>
      <c r="N11" s="740" t="s">
        <v>322</v>
      </c>
      <c r="O11" s="254"/>
      <c r="P11" s="254"/>
      <c r="Q11" s="254"/>
      <c r="R11" s="254"/>
      <c r="S11" s="254"/>
      <c r="T11" s="254">
        <v>66</v>
      </c>
      <c r="U11" s="382">
        <v>806.9</v>
      </c>
      <c r="V11" s="382">
        <v>814.6</v>
      </c>
      <c r="W11" s="382">
        <v>814.6</v>
      </c>
      <c r="X11" s="745">
        <v>814.6</v>
      </c>
      <c r="Y11" s="365"/>
    </row>
    <row r="12" spans="1:25" ht="15.6">
      <c r="A12" s="383"/>
      <c r="B12" s="367"/>
      <c r="C12" s="254"/>
      <c r="D12" s="254"/>
      <c r="E12" s="254"/>
      <c r="F12" s="254"/>
      <c r="G12" s="254"/>
      <c r="H12" s="254"/>
      <c r="I12" s="254"/>
      <c r="J12" s="254"/>
      <c r="K12" s="368"/>
      <c r="L12" s="365"/>
      <c r="M12" s="370"/>
      <c r="N12" s="744" t="s">
        <v>324</v>
      </c>
      <c r="O12" s="254"/>
      <c r="P12" s="254"/>
      <c r="Q12" s="254"/>
      <c r="R12" s="254"/>
      <c r="S12" s="254"/>
      <c r="T12" s="382">
        <v>66</v>
      </c>
      <c r="U12" s="382">
        <v>806.9</v>
      </c>
      <c r="V12" s="382">
        <v>814.6</v>
      </c>
      <c r="W12" s="382">
        <v>814.6</v>
      </c>
      <c r="X12" s="745">
        <v>814.6</v>
      </c>
      <c r="Y12" s="365"/>
    </row>
    <row r="13" spans="1:25" ht="15.6">
      <c r="A13" s="384" t="s">
        <v>330</v>
      </c>
      <c r="B13" s="367"/>
      <c r="C13" s="254"/>
      <c r="D13" s="254"/>
      <c r="E13" s="254"/>
      <c r="F13" s="254"/>
      <c r="G13" s="254"/>
      <c r="H13" s="254"/>
      <c r="I13" s="254"/>
      <c r="J13" s="254"/>
      <c r="K13" s="368"/>
      <c r="L13" s="365"/>
      <c r="M13" s="383"/>
      <c r="N13" s="740"/>
      <c r="O13" s="254"/>
      <c r="P13" s="254"/>
      <c r="Q13" s="254"/>
      <c r="R13" s="254"/>
      <c r="S13" s="254"/>
      <c r="T13" s="254"/>
      <c r="U13" s="254"/>
      <c r="V13" s="254"/>
      <c r="W13" s="254"/>
      <c r="X13" s="743"/>
      <c r="Y13" s="365"/>
    </row>
    <row r="14" spans="1:25" ht="15.6">
      <c r="A14" s="370" t="s">
        <v>319</v>
      </c>
      <c r="B14" s="367"/>
      <c r="C14" s="254"/>
      <c r="D14" s="254"/>
      <c r="E14" s="254">
        <v>103</v>
      </c>
      <c r="F14" s="254">
        <v>103</v>
      </c>
      <c r="G14" s="254">
        <v>103</v>
      </c>
      <c r="H14" s="254">
        <v>103</v>
      </c>
      <c r="I14" s="254">
        <v>103</v>
      </c>
      <c r="J14" s="254">
        <v>103</v>
      </c>
      <c r="K14" s="368">
        <v>103</v>
      </c>
      <c r="L14" s="365"/>
      <c r="M14" s="383"/>
      <c r="N14" s="741" t="s">
        <v>331</v>
      </c>
      <c r="O14" s="254"/>
      <c r="P14" s="371">
        <v>484</v>
      </c>
      <c r="Q14" s="371">
        <v>446</v>
      </c>
      <c r="R14" s="371">
        <v>380</v>
      </c>
      <c r="S14" s="371">
        <v>396</v>
      </c>
      <c r="T14" s="371">
        <v>409</v>
      </c>
      <c r="U14" s="371">
        <v>391</v>
      </c>
      <c r="V14" s="371">
        <v>427</v>
      </c>
      <c r="W14" s="371">
        <v>433</v>
      </c>
      <c r="X14" s="742">
        <v>440</v>
      </c>
      <c r="Y14" s="365"/>
    </row>
    <row r="15" spans="1:25" ht="15.6">
      <c r="A15" s="370" t="s">
        <v>321</v>
      </c>
      <c r="B15" s="367"/>
      <c r="C15" s="254"/>
      <c r="D15" s="254"/>
      <c r="E15" s="372">
        <f>E14/R6</f>
        <v>0.37867647058823528</v>
      </c>
      <c r="F15" s="372">
        <f t="shared" ref="F15:K15" si="5">$F$14/$S$6</f>
        <v>0.25432098765432098</v>
      </c>
      <c r="G15" s="372">
        <f t="shared" si="5"/>
        <v>0.25432098765432098</v>
      </c>
      <c r="H15" s="372">
        <f t="shared" si="5"/>
        <v>0.25432098765432098</v>
      </c>
      <c r="I15" s="372">
        <f t="shared" si="5"/>
        <v>0.25432098765432098</v>
      </c>
      <c r="J15" s="372">
        <f t="shared" si="5"/>
        <v>0.25432098765432098</v>
      </c>
      <c r="K15" s="373">
        <f t="shared" si="5"/>
        <v>0.25432098765432098</v>
      </c>
      <c r="L15" s="365"/>
      <c r="M15" s="383"/>
      <c r="N15" s="740" t="s">
        <v>322</v>
      </c>
      <c r="O15" s="254"/>
      <c r="P15" s="371">
        <v>367</v>
      </c>
      <c r="Q15" s="371">
        <v>367</v>
      </c>
      <c r="R15" s="371">
        <v>367</v>
      </c>
      <c r="S15" s="371">
        <v>367</v>
      </c>
      <c r="T15" s="371">
        <v>367</v>
      </c>
      <c r="U15" s="371">
        <v>367</v>
      </c>
      <c r="V15" s="371">
        <v>367</v>
      </c>
      <c r="W15" s="371">
        <v>367</v>
      </c>
      <c r="X15" s="742">
        <v>367</v>
      </c>
      <c r="Y15" s="365"/>
    </row>
    <row r="16" spans="1:25" ht="15.6">
      <c r="A16" s="375" t="s">
        <v>323</v>
      </c>
      <c r="B16" s="367"/>
      <c r="C16" s="254"/>
      <c r="D16" s="254"/>
      <c r="E16" s="254">
        <v>105</v>
      </c>
      <c r="F16" s="374">
        <f>F15*S7</f>
        <v>100.45679012345678</v>
      </c>
      <c r="G16" s="254">
        <f t="shared" ref="G16:K16" si="6">G17*G14</f>
        <v>92.7</v>
      </c>
      <c r="H16" s="254">
        <f t="shared" si="6"/>
        <v>103</v>
      </c>
      <c r="I16" s="254">
        <f t="shared" si="6"/>
        <v>108.15</v>
      </c>
      <c r="J16" s="254">
        <f t="shared" si="6"/>
        <v>108.15</v>
      </c>
      <c r="K16" s="368">
        <f t="shared" si="6"/>
        <v>108.15</v>
      </c>
      <c r="L16" s="365"/>
      <c r="M16" s="370"/>
      <c r="N16" s="744" t="s">
        <v>324</v>
      </c>
      <c r="O16" s="254"/>
      <c r="P16" s="371">
        <v>426</v>
      </c>
      <c r="Q16" s="371">
        <v>363</v>
      </c>
      <c r="R16" s="371">
        <v>278</v>
      </c>
      <c r="S16" s="371">
        <v>321</v>
      </c>
      <c r="T16" s="371">
        <v>321</v>
      </c>
      <c r="U16" s="371">
        <v>307</v>
      </c>
      <c r="V16" s="371">
        <v>316</v>
      </c>
      <c r="W16" s="371">
        <v>314</v>
      </c>
      <c r="X16" s="742">
        <v>312</v>
      </c>
      <c r="Y16" s="365"/>
    </row>
    <row r="17" spans="1:25" ht="15.6">
      <c r="A17" s="377" t="s">
        <v>325</v>
      </c>
      <c r="B17" s="367"/>
      <c r="C17" s="254"/>
      <c r="D17" s="254"/>
      <c r="E17" s="372">
        <f t="shared" ref="E17:F17" si="7">E16/E14</f>
        <v>1.0194174757281553</v>
      </c>
      <c r="F17" s="372">
        <f t="shared" si="7"/>
        <v>0.97530864197530853</v>
      </c>
      <c r="G17" s="372">
        <f>90%</f>
        <v>0.9</v>
      </c>
      <c r="H17" s="372">
        <f>100%</f>
        <v>1</v>
      </c>
      <c r="I17" s="372">
        <v>1.05</v>
      </c>
      <c r="J17" s="372">
        <v>1.05</v>
      </c>
      <c r="K17" s="373">
        <v>1.05</v>
      </c>
      <c r="L17" s="365"/>
      <c r="M17" s="383"/>
      <c r="N17" s="740"/>
      <c r="O17" s="254"/>
      <c r="P17" s="254"/>
      <c r="Q17" s="254"/>
      <c r="R17" s="254"/>
      <c r="S17" s="254"/>
      <c r="T17" s="254"/>
      <c r="U17" s="254"/>
      <c r="V17" s="254"/>
      <c r="W17" s="254"/>
      <c r="X17" s="743"/>
      <c r="Y17" s="365"/>
    </row>
    <row r="18" spans="1:25" ht="15.6">
      <c r="A18" s="375" t="s">
        <v>326</v>
      </c>
      <c r="B18" s="367"/>
      <c r="C18" s="254"/>
      <c r="D18" s="254"/>
      <c r="E18" s="378">
        <f>226/E16</f>
        <v>2.1523809523809523</v>
      </c>
      <c r="F18" s="378">
        <f t="shared" ref="F18:K18" si="8">$F$19/$F$16</f>
        <v>2.2658227848101267</v>
      </c>
      <c r="G18" s="378">
        <f t="shared" si="8"/>
        <v>2.2658227848101267</v>
      </c>
      <c r="H18" s="378">
        <f t="shared" si="8"/>
        <v>2.2658227848101267</v>
      </c>
      <c r="I18" s="378">
        <f t="shared" si="8"/>
        <v>2.2658227848101267</v>
      </c>
      <c r="J18" s="378">
        <f t="shared" si="8"/>
        <v>2.2658227848101267</v>
      </c>
      <c r="K18" s="379">
        <f t="shared" si="8"/>
        <v>2.2658227848101267</v>
      </c>
      <c r="L18" s="365"/>
      <c r="M18" s="254"/>
      <c r="N18" s="746" t="s">
        <v>332</v>
      </c>
      <c r="O18" s="747">
        <v>431.4</v>
      </c>
      <c r="P18" s="747">
        <v>539.1</v>
      </c>
      <c r="Q18" s="747">
        <v>559.5</v>
      </c>
      <c r="R18" s="747">
        <v>1159.4000000000001</v>
      </c>
      <c r="S18" s="747">
        <v>1493.3</v>
      </c>
      <c r="T18" s="748">
        <v>1450</v>
      </c>
      <c r="U18" s="748">
        <v>3182</v>
      </c>
      <c r="V18" s="748">
        <v>3284</v>
      </c>
      <c r="W18" s="748">
        <v>3289</v>
      </c>
      <c r="X18" s="749">
        <v>3299</v>
      </c>
      <c r="Y18" s="254"/>
    </row>
    <row r="19" spans="1:25" ht="15.6">
      <c r="A19" s="380" t="s">
        <v>327</v>
      </c>
      <c r="B19" s="367"/>
      <c r="C19" s="254"/>
      <c r="D19" s="254"/>
      <c r="E19" s="254">
        <v>226</v>
      </c>
      <c r="F19" s="371">
        <f>F15*S5</f>
        <v>227.61728395061729</v>
      </c>
      <c r="G19" s="371">
        <f t="shared" ref="G19:K19" si="9">G18*G16</f>
        <v>210.04177215189875</v>
      </c>
      <c r="H19" s="371">
        <f t="shared" si="9"/>
        <v>233.37974683544306</v>
      </c>
      <c r="I19" s="371">
        <f t="shared" si="9"/>
        <v>245.04873417721521</v>
      </c>
      <c r="J19" s="371">
        <f t="shared" si="9"/>
        <v>245.04873417721521</v>
      </c>
      <c r="K19" s="381">
        <f t="shared" si="9"/>
        <v>245.04873417721521</v>
      </c>
      <c r="L19" s="365"/>
      <c r="M19" s="254"/>
      <c r="N19" s="755" t="s">
        <v>657</v>
      </c>
      <c r="O19" s="755"/>
      <c r="P19" s="756">
        <v>405</v>
      </c>
      <c r="Y19" s="254"/>
    </row>
    <row r="20" spans="1:25" ht="15.6">
      <c r="A20" s="370" t="s">
        <v>329</v>
      </c>
      <c r="B20" s="367"/>
      <c r="C20" s="254"/>
      <c r="D20" s="254"/>
      <c r="E20" s="372">
        <f>E19/R5</f>
        <v>0.33333333333333331</v>
      </c>
      <c r="F20" s="372">
        <f>F19/S5</f>
        <v>0.25432098765432098</v>
      </c>
      <c r="G20" s="372">
        <f t="shared" ref="G20:K20" si="10">G15</f>
        <v>0.25432098765432098</v>
      </c>
      <c r="H20" s="372">
        <f t="shared" si="10"/>
        <v>0.25432098765432098</v>
      </c>
      <c r="I20" s="372">
        <f t="shared" si="10"/>
        <v>0.25432098765432098</v>
      </c>
      <c r="J20" s="372">
        <f t="shared" si="10"/>
        <v>0.25432098765432098</v>
      </c>
      <c r="K20" s="373">
        <f t="shared" si="10"/>
        <v>0.25432098765432098</v>
      </c>
      <c r="L20" s="365"/>
      <c r="M20" s="254"/>
      <c r="N20" s="754"/>
      <c r="O20" s="754"/>
      <c r="P20" s="757"/>
      <c r="Q20" s="254"/>
      <c r="R20" s="254"/>
      <c r="S20" s="254"/>
      <c r="T20" s="254"/>
      <c r="U20" s="254"/>
      <c r="V20" s="254"/>
      <c r="W20" s="254"/>
      <c r="X20" s="254"/>
      <c r="Y20" s="254"/>
    </row>
    <row r="21" spans="1:25" ht="15.75" customHeight="1">
      <c r="A21" s="383"/>
      <c r="B21" s="367"/>
      <c r="C21" s="254"/>
      <c r="D21" s="254"/>
      <c r="E21" s="254"/>
      <c r="F21" s="254"/>
      <c r="G21" s="254"/>
      <c r="H21" s="254"/>
      <c r="I21" s="254"/>
      <c r="J21" s="254"/>
      <c r="K21" s="368"/>
      <c r="L21" s="365"/>
      <c r="M21" s="254"/>
      <c r="N21" s="254"/>
      <c r="O21" s="254"/>
      <c r="P21" s="254"/>
      <c r="Q21" s="254"/>
      <c r="R21" s="254"/>
      <c r="S21" s="254"/>
      <c r="T21" s="385"/>
      <c r="U21" s="385"/>
      <c r="V21" s="385"/>
      <c r="W21" s="385"/>
      <c r="X21" s="385"/>
      <c r="Y21" s="254"/>
    </row>
    <row r="22" spans="1:25" ht="15.75" customHeight="1">
      <c r="A22" s="384" t="s">
        <v>333</v>
      </c>
      <c r="B22" s="367"/>
      <c r="C22" s="254"/>
      <c r="D22" s="254"/>
      <c r="E22" s="254"/>
      <c r="F22" s="254"/>
      <c r="G22" s="254"/>
      <c r="H22" s="254"/>
      <c r="I22" s="254"/>
      <c r="J22" s="254"/>
      <c r="K22" s="368"/>
      <c r="L22" s="365"/>
      <c r="M22" s="254"/>
      <c r="N22" s="254"/>
      <c r="O22" s="254"/>
      <c r="P22" s="254"/>
      <c r="Q22" s="254"/>
      <c r="R22" s="386"/>
      <c r="S22" s="386"/>
      <c r="T22" s="387"/>
      <c r="U22" s="387"/>
      <c r="V22" s="387"/>
      <c r="W22" s="387"/>
      <c r="X22" s="387"/>
      <c r="Y22" s="254"/>
    </row>
    <row r="23" spans="1:25" ht="15.75" customHeight="1">
      <c r="A23" s="370" t="s">
        <v>319</v>
      </c>
      <c r="B23" s="367"/>
      <c r="C23" s="254"/>
      <c r="D23" s="254"/>
      <c r="E23" s="254">
        <f>73*0.5</f>
        <v>36.5</v>
      </c>
      <c r="F23" s="254">
        <f>E23*2</f>
        <v>73</v>
      </c>
      <c r="G23" s="254">
        <f t="shared" ref="G23:K23" si="11">73</f>
        <v>73</v>
      </c>
      <c r="H23" s="254">
        <f t="shared" si="11"/>
        <v>73</v>
      </c>
      <c r="I23" s="254">
        <f t="shared" si="11"/>
        <v>73</v>
      </c>
      <c r="J23" s="254">
        <f t="shared" si="11"/>
        <v>73</v>
      </c>
      <c r="K23" s="368">
        <f t="shared" si="11"/>
        <v>73</v>
      </c>
      <c r="L23" s="365"/>
      <c r="M23" s="254"/>
      <c r="N23" s="254"/>
      <c r="O23" s="254"/>
      <c r="P23" s="254"/>
      <c r="Q23" s="254"/>
      <c r="R23" s="254"/>
      <c r="S23" s="254"/>
      <c r="T23" s="387"/>
      <c r="U23" s="387"/>
      <c r="V23" s="387"/>
      <c r="W23" s="387"/>
      <c r="X23" s="387"/>
      <c r="Y23" s="254"/>
    </row>
    <row r="24" spans="1:25" ht="15.75" customHeight="1">
      <c r="A24" s="370" t="s">
        <v>321</v>
      </c>
      <c r="B24" s="367"/>
      <c r="C24" s="254"/>
      <c r="D24" s="254"/>
      <c r="E24" s="372">
        <f>E23/R6</f>
        <v>0.13419117647058823</v>
      </c>
      <c r="F24" s="372">
        <f t="shared" ref="F24:K24" si="12">$F$23/$S$6</f>
        <v>0.18024691358024691</v>
      </c>
      <c r="G24" s="372">
        <f t="shared" si="12"/>
        <v>0.18024691358024691</v>
      </c>
      <c r="H24" s="372">
        <f t="shared" si="12"/>
        <v>0.18024691358024691</v>
      </c>
      <c r="I24" s="372">
        <f t="shared" si="12"/>
        <v>0.18024691358024691</v>
      </c>
      <c r="J24" s="372">
        <f t="shared" si="12"/>
        <v>0.18024691358024691</v>
      </c>
      <c r="K24" s="373">
        <f t="shared" si="12"/>
        <v>0.18024691358024691</v>
      </c>
      <c r="L24" s="365"/>
      <c r="M24" s="254"/>
      <c r="N24" s="254"/>
      <c r="O24" s="254"/>
      <c r="P24" s="254"/>
      <c r="Q24" s="254"/>
      <c r="R24" s="254"/>
      <c r="S24" s="254"/>
      <c r="T24" s="254"/>
      <c r="U24" s="254"/>
      <c r="V24" s="254"/>
      <c r="W24" s="254"/>
      <c r="X24" s="254"/>
      <c r="Y24" s="254"/>
    </row>
    <row r="25" spans="1:25" ht="15.75" customHeight="1">
      <c r="A25" s="375" t="s">
        <v>323</v>
      </c>
      <c r="B25" s="367"/>
      <c r="C25" s="254"/>
      <c r="D25" s="254"/>
      <c r="E25" s="254">
        <v>52</v>
      </c>
      <c r="F25" s="378">
        <f>F24*S7</f>
        <v>71.197530864197532</v>
      </c>
      <c r="G25" s="254">
        <f t="shared" ref="G25:K25" si="13">G26*G23</f>
        <v>65.7</v>
      </c>
      <c r="H25" s="254">
        <f t="shared" si="13"/>
        <v>83.949999999999989</v>
      </c>
      <c r="I25" s="254">
        <f t="shared" si="13"/>
        <v>83.949999999999989</v>
      </c>
      <c r="J25" s="254">
        <f t="shared" si="13"/>
        <v>83.949999999999989</v>
      </c>
      <c r="K25" s="368">
        <f t="shared" si="13"/>
        <v>83.949999999999989</v>
      </c>
      <c r="L25" s="365"/>
      <c r="M25" s="254"/>
      <c r="N25" s="254"/>
      <c r="O25" s="254"/>
      <c r="P25" s="254"/>
      <c r="Q25" s="254"/>
      <c r="R25" s="254"/>
      <c r="S25" s="254"/>
      <c r="T25" s="254"/>
      <c r="U25" s="254"/>
      <c r="V25" s="254"/>
      <c r="W25" s="254"/>
      <c r="X25" s="254"/>
      <c r="Y25" s="254"/>
    </row>
    <row r="26" spans="1:25" ht="15.75" customHeight="1">
      <c r="A26" s="377" t="s">
        <v>325</v>
      </c>
      <c r="B26" s="367"/>
      <c r="C26" s="254"/>
      <c r="D26" s="254"/>
      <c r="E26" s="386">
        <f t="shared" ref="E26:F26" si="14">E25/E23</f>
        <v>1.4246575342465753</v>
      </c>
      <c r="F26" s="372">
        <f t="shared" si="14"/>
        <v>0.97530864197530864</v>
      </c>
      <c r="G26" s="372">
        <f>0.9</f>
        <v>0.9</v>
      </c>
      <c r="H26" s="372">
        <f t="shared" ref="H26:K26" si="15">100%+15%</f>
        <v>1.1499999999999999</v>
      </c>
      <c r="I26" s="372">
        <f t="shared" si="15"/>
        <v>1.1499999999999999</v>
      </c>
      <c r="J26" s="372">
        <f t="shared" si="15"/>
        <v>1.1499999999999999</v>
      </c>
      <c r="K26" s="373">
        <f t="shared" si="15"/>
        <v>1.1499999999999999</v>
      </c>
      <c r="L26" s="365"/>
      <c r="M26" s="254"/>
      <c r="N26" s="254"/>
      <c r="O26" s="254"/>
      <c r="P26" s="254"/>
      <c r="Q26" s="254"/>
      <c r="R26" s="254"/>
      <c r="S26" s="254"/>
      <c r="T26" s="254"/>
      <c r="U26" s="254"/>
      <c r="V26" s="254"/>
      <c r="W26" s="254"/>
      <c r="X26" s="254"/>
      <c r="Y26" s="254"/>
    </row>
    <row r="27" spans="1:25" ht="15.75" customHeight="1">
      <c r="A27" s="375" t="s">
        <v>326</v>
      </c>
      <c r="B27" s="367"/>
      <c r="C27" s="254"/>
      <c r="D27" s="254"/>
      <c r="E27" s="378">
        <f>E28/E25</f>
        <v>2.1730769230769229</v>
      </c>
      <c r="F27" s="378">
        <f t="shared" ref="F27:K27" si="16">$F$28/$F$25</f>
        <v>2.2658227848101267</v>
      </c>
      <c r="G27" s="378">
        <f t="shared" si="16"/>
        <v>2.2658227848101267</v>
      </c>
      <c r="H27" s="378">
        <f t="shared" si="16"/>
        <v>2.2658227848101267</v>
      </c>
      <c r="I27" s="378">
        <f t="shared" si="16"/>
        <v>2.2658227848101267</v>
      </c>
      <c r="J27" s="378">
        <f t="shared" si="16"/>
        <v>2.2658227848101267</v>
      </c>
      <c r="K27" s="379">
        <f t="shared" si="16"/>
        <v>2.2658227848101267</v>
      </c>
      <c r="L27" s="365"/>
      <c r="M27" s="254"/>
      <c r="N27" s="254"/>
      <c r="O27" s="254"/>
      <c r="P27" s="254"/>
      <c r="Q27" s="254"/>
      <c r="R27" s="254"/>
      <c r="S27" s="254"/>
      <c r="T27" s="254"/>
      <c r="U27" s="254"/>
      <c r="V27" s="254"/>
      <c r="W27" s="254"/>
      <c r="X27" s="254"/>
      <c r="Y27" s="254"/>
    </row>
    <row r="28" spans="1:25" ht="15.75" customHeight="1">
      <c r="A28" s="380" t="s">
        <v>327</v>
      </c>
      <c r="B28" s="367"/>
      <c r="C28" s="254"/>
      <c r="D28" s="254"/>
      <c r="E28" s="254">
        <f>113</f>
        <v>113</v>
      </c>
      <c r="F28" s="371">
        <f>F24*S5</f>
        <v>161.32098765432099</v>
      </c>
      <c r="G28" s="371">
        <f t="shared" ref="G28:K28" si="17">G27*G25</f>
        <v>148.86455696202532</v>
      </c>
      <c r="H28" s="371">
        <f t="shared" si="17"/>
        <v>190.21582278481011</v>
      </c>
      <c r="I28" s="371">
        <f t="shared" si="17"/>
        <v>190.21582278481011</v>
      </c>
      <c r="J28" s="371">
        <f t="shared" si="17"/>
        <v>190.21582278481011</v>
      </c>
      <c r="K28" s="381">
        <f t="shared" si="17"/>
        <v>190.21582278481011</v>
      </c>
      <c r="L28" s="365"/>
      <c r="M28" s="254"/>
      <c r="N28" s="254"/>
      <c r="O28" s="254"/>
      <c r="P28" s="254"/>
      <c r="Q28" s="254"/>
      <c r="R28" s="254"/>
      <c r="S28" s="254"/>
      <c r="T28" s="254"/>
      <c r="U28" s="254"/>
      <c r="V28" s="254"/>
      <c r="W28" s="254"/>
      <c r="X28" s="254"/>
      <c r="Y28" s="254"/>
    </row>
    <row r="29" spans="1:25" ht="15.75" customHeight="1">
      <c r="A29" s="370" t="s">
        <v>329</v>
      </c>
      <c r="B29" s="367"/>
      <c r="C29" s="254"/>
      <c r="D29" s="254"/>
      <c r="E29" s="372">
        <f>E28/R5</f>
        <v>0.16666666666666666</v>
      </c>
      <c r="F29" s="372">
        <f>F28/S5</f>
        <v>0.18024691358024691</v>
      </c>
      <c r="G29" s="372">
        <f t="shared" ref="G29:K29" si="18">G24</f>
        <v>0.18024691358024691</v>
      </c>
      <c r="H29" s="372">
        <f t="shared" si="18"/>
        <v>0.18024691358024691</v>
      </c>
      <c r="I29" s="372">
        <f t="shared" si="18"/>
        <v>0.18024691358024691</v>
      </c>
      <c r="J29" s="372">
        <f t="shared" si="18"/>
        <v>0.18024691358024691</v>
      </c>
      <c r="K29" s="373">
        <f t="shared" si="18"/>
        <v>0.18024691358024691</v>
      </c>
      <c r="L29" s="365"/>
      <c r="M29" s="254"/>
      <c r="N29" s="254"/>
      <c r="O29" s="254"/>
      <c r="P29" s="254"/>
      <c r="Q29" s="254"/>
      <c r="R29" s="254"/>
      <c r="S29" s="371"/>
      <c r="T29" s="371"/>
      <c r="U29" s="371"/>
      <c r="V29" s="371"/>
      <c r="W29" s="254"/>
      <c r="X29" s="254"/>
      <c r="Y29" s="254"/>
    </row>
    <row r="30" spans="1:25" ht="15.75" customHeight="1">
      <c r="A30" s="383"/>
      <c r="B30" s="367"/>
      <c r="C30" s="254"/>
      <c r="D30" s="254"/>
      <c r="E30" s="254"/>
      <c r="F30" s="254"/>
      <c r="G30" s="254"/>
      <c r="H30" s="254"/>
      <c r="I30" s="254"/>
      <c r="J30" s="254"/>
      <c r="K30" s="368"/>
      <c r="L30" s="365"/>
      <c r="M30" s="254"/>
      <c r="N30" s="254"/>
      <c r="O30" s="254"/>
      <c r="P30" s="254"/>
      <c r="Q30" s="254"/>
      <c r="R30" s="254"/>
      <c r="S30" s="254"/>
      <c r="T30" s="254"/>
      <c r="U30" s="254"/>
      <c r="V30" s="254"/>
      <c r="W30" s="254"/>
      <c r="X30" s="254"/>
      <c r="Y30" s="254"/>
    </row>
    <row r="31" spans="1:25" ht="15.75" customHeight="1">
      <c r="A31" s="384" t="s">
        <v>334</v>
      </c>
      <c r="B31" s="367"/>
      <c r="C31" s="254"/>
      <c r="D31" s="254"/>
      <c r="E31" s="254"/>
      <c r="F31" s="254"/>
      <c r="G31" s="254"/>
      <c r="H31" s="254"/>
      <c r="I31" s="254"/>
      <c r="J31" s="254"/>
      <c r="K31" s="368"/>
      <c r="L31" s="365"/>
      <c r="M31" s="254"/>
      <c r="N31" s="254"/>
      <c r="O31" s="254"/>
      <c r="P31" s="254"/>
      <c r="Q31" s="254"/>
      <c r="R31" s="254"/>
      <c r="S31" s="254"/>
      <c r="T31" s="254"/>
      <c r="U31" s="254"/>
      <c r="V31" s="254"/>
      <c r="W31" s="254"/>
      <c r="X31" s="254"/>
      <c r="Y31" s="254"/>
    </row>
    <row r="32" spans="1:25" ht="15.75" customHeight="1">
      <c r="A32" s="370" t="s">
        <v>319</v>
      </c>
      <c r="B32" s="367"/>
      <c r="C32" s="254"/>
      <c r="D32" s="254"/>
      <c r="E32" s="254">
        <f>77/2</f>
        <v>38.5</v>
      </c>
      <c r="F32" s="254">
        <f t="shared" ref="F32:K32" si="19">77</f>
        <v>77</v>
      </c>
      <c r="G32" s="254">
        <f t="shared" si="19"/>
        <v>77</v>
      </c>
      <c r="H32" s="254">
        <f t="shared" si="19"/>
        <v>77</v>
      </c>
      <c r="I32" s="254">
        <f t="shared" si="19"/>
        <v>77</v>
      </c>
      <c r="J32" s="254">
        <f t="shared" si="19"/>
        <v>77</v>
      </c>
      <c r="K32" s="368">
        <f t="shared" si="19"/>
        <v>77</v>
      </c>
      <c r="L32" s="365"/>
      <c r="M32" s="254"/>
      <c r="N32" s="254"/>
      <c r="O32" s="254"/>
      <c r="P32" s="254"/>
      <c r="Q32" s="254"/>
      <c r="R32" s="254"/>
      <c r="S32" s="254"/>
      <c r="T32" s="254"/>
      <c r="U32" s="254"/>
      <c r="V32" s="254"/>
      <c r="W32" s="254"/>
      <c r="X32" s="254"/>
      <c r="Y32" s="254"/>
    </row>
    <row r="33" spans="1:25" ht="15.75" customHeight="1">
      <c r="A33" s="370" t="s">
        <v>321</v>
      </c>
      <c r="B33" s="367"/>
      <c r="C33" s="254"/>
      <c r="D33" s="254"/>
      <c r="E33" s="372">
        <f>E32/R6</f>
        <v>0.14154411764705882</v>
      </c>
      <c r="F33" s="372">
        <f t="shared" ref="F33:K33" si="20">$F$32/$S$6</f>
        <v>0.19012345679012346</v>
      </c>
      <c r="G33" s="372">
        <f t="shared" si="20"/>
        <v>0.19012345679012346</v>
      </c>
      <c r="H33" s="372">
        <f t="shared" si="20"/>
        <v>0.19012345679012346</v>
      </c>
      <c r="I33" s="372">
        <f t="shared" si="20"/>
        <v>0.19012345679012346</v>
      </c>
      <c r="J33" s="372">
        <f t="shared" si="20"/>
        <v>0.19012345679012346</v>
      </c>
      <c r="K33" s="373">
        <f t="shared" si="20"/>
        <v>0.19012345679012346</v>
      </c>
      <c r="L33" s="365"/>
      <c r="M33" s="254"/>
      <c r="N33" s="254"/>
      <c r="O33" s="254"/>
      <c r="P33" s="254"/>
      <c r="Q33" s="254"/>
      <c r="R33" s="254"/>
      <c r="S33" s="254"/>
      <c r="T33" s="254"/>
      <c r="U33" s="254"/>
      <c r="V33" s="254"/>
      <c r="W33" s="254"/>
      <c r="X33" s="254"/>
      <c r="Y33" s="254"/>
    </row>
    <row r="34" spans="1:25" ht="15.75" customHeight="1">
      <c r="A34" s="375" t="s">
        <v>323</v>
      </c>
      <c r="B34" s="367"/>
      <c r="C34" s="254"/>
      <c r="D34" s="254"/>
      <c r="E34" s="254">
        <f>55</f>
        <v>55</v>
      </c>
      <c r="F34" s="371">
        <f>F33*S7</f>
        <v>75.098765432098773</v>
      </c>
      <c r="G34" s="254">
        <f t="shared" ref="G34:K34" si="21">G35*G32</f>
        <v>69.3</v>
      </c>
      <c r="H34" s="254">
        <f t="shared" si="21"/>
        <v>77</v>
      </c>
      <c r="I34" s="254">
        <f t="shared" si="21"/>
        <v>80.850000000000009</v>
      </c>
      <c r="J34" s="254">
        <f t="shared" si="21"/>
        <v>80.850000000000009</v>
      </c>
      <c r="K34" s="368">
        <f t="shared" si="21"/>
        <v>80.850000000000009</v>
      </c>
      <c r="L34" s="365"/>
      <c r="M34" s="254"/>
      <c r="N34" s="254"/>
      <c r="O34" s="254"/>
      <c r="P34" s="254"/>
      <c r="Q34" s="254"/>
      <c r="R34" s="254"/>
      <c r="S34" s="386"/>
      <c r="T34" s="386"/>
      <c r="U34" s="386"/>
      <c r="V34" s="386"/>
      <c r="W34" s="386"/>
      <c r="X34" s="386"/>
      <c r="Y34" s="386"/>
    </row>
    <row r="35" spans="1:25" ht="15.75" customHeight="1">
      <c r="A35" s="377" t="s">
        <v>325</v>
      </c>
      <c r="B35" s="367"/>
      <c r="C35" s="254"/>
      <c r="D35" s="254"/>
      <c r="E35" s="372">
        <f t="shared" ref="E35:F35" si="22">E34/E32</f>
        <v>1.4285714285714286</v>
      </c>
      <c r="F35" s="372">
        <f t="shared" si="22"/>
        <v>0.97530864197530875</v>
      </c>
      <c r="G35" s="372">
        <f>90%</f>
        <v>0.9</v>
      </c>
      <c r="H35" s="372">
        <f>100%</f>
        <v>1</v>
      </c>
      <c r="I35" s="372">
        <v>1.05</v>
      </c>
      <c r="J35" s="372">
        <v>1.05</v>
      </c>
      <c r="K35" s="373">
        <v>1.05</v>
      </c>
      <c r="L35" s="365"/>
      <c r="M35" s="254"/>
      <c r="N35" s="254"/>
      <c r="O35" s="254"/>
      <c r="P35" s="254"/>
      <c r="Q35" s="254"/>
      <c r="R35" s="254"/>
      <c r="S35" s="254"/>
      <c r="T35" s="254"/>
      <c r="U35" s="254"/>
      <c r="V35" s="254"/>
      <c r="W35" s="254"/>
      <c r="X35" s="254"/>
      <c r="Y35" s="254"/>
    </row>
    <row r="36" spans="1:25" ht="15.75" customHeight="1">
      <c r="A36" s="375" t="s">
        <v>326</v>
      </c>
      <c r="B36" s="367"/>
      <c r="C36" s="254"/>
      <c r="D36" s="254"/>
      <c r="E36" s="378">
        <f>E37/E34</f>
        <v>2.1454545454545455</v>
      </c>
      <c r="F36" s="378">
        <f t="shared" ref="F36:K36" si="23">$F$37/$F$34</f>
        <v>2.2658227848101267</v>
      </c>
      <c r="G36" s="378">
        <f t="shared" si="23"/>
        <v>2.2658227848101267</v>
      </c>
      <c r="H36" s="378">
        <f t="shared" si="23"/>
        <v>2.2658227848101267</v>
      </c>
      <c r="I36" s="378">
        <f t="shared" si="23"/>
        <v>2.2658227848101267</v>
      </c>
      <c r="J36" s="378">
        <f t="shared" si="23"/>
        <v>2.2658227848101267</v>
      </c>
      <c r="K36" s="379">
        <f t="shared" si="23"/>
        <v>2.2658227848101267</v>
      </c>
      <c r="L36" s="365"/>
      <c r="M36" s="254"/>
      <c r="N36" s="254"/>
      <c r="O36" s="254"/>
      <c r="P36" s="254"/>
      <c r="Q36" s="254"/>
    </row>
    <row r="37" spans="1:25" ht="15.75" customHeight="1">
      <c r="A37" s="380" t="s">
        <v>327</v>
      </c>
      <c r="B37" s="367"/>
      <c r="C37" s="254"/>
      <c r="D37" s="254"/>
      <c r="E37" s="254">
        <f>118</f>
        <v>118</v>
      </c>
      <c r="F37" s="371">
        <f>F33*S5</f>
        <v>170.16049382716051</v>
      </c>
      <c r="G37" s="371">
        <f t="shared" ref="G37:K37" si="24">G36*G34</f>
        <v>157.02151898734178</v>
      </c>
      <c r="H37" s="371">
        <f t="shared" si="24"/>
        <v>174.46835443037975</v>
      </c>
      <c r="I37" s="371">
        <f t="shared" si="24"/>
        <v>183.19177215189876</v>
      </c>
      <c r="J37" s="371">
        <f t="shared" si="24"/>
        <v>183.19177215189876</v>
      </c>
      <c r="K37" s="381">
        <f t="shared" si="24"/>
        <v>183.19177215189876</v>
      </c>
      <c r="L37" s="365"/>
      <c r="M37" s="254"/>
      <c r="N37" s="254"/>
      <c r="O37" s="254"/>
      <c r="P37" s="254"/>
      <c r="Q37" s="254"/>
      <c r="R37" s="254"/>
      <c r="S37" s="254"/>
      <c r="T37" s="254"/>
      <c r="U37" s="254"/>
      <c r="V37" s="254"/>
      <c r="W37" s="254"/>
      <c r="X37" s="254"/>
      <c r="Y37" s="254"/>
    </row>
    <row r="38" spans="1:25" ht="15.75" customHeight="1">
      <c r="A38" s="370" t="s">
        <v>329</v>
      </c>
      <c r="B38" s="367"/>
      <c r="C38" s="254"/>
      <c r="D38" s="254"/>
      <c r="E38" s="372">
        <f>E37/R5</f>
        <v>0.17404129793510326</v>
      </c>
      <c r="F38" s="372">
        <f>F37/S5</f>
        <v>0.19012345679012346</v>
      </c>
      <c r="G38" s="372">
        <f t="shared" ref="G38:K38" si="25">G33</f>
        <v>0.19012345679012346</v>
      </c>
      <c r="H38" s="372">
        <f t="shared" si="25"/>
        <v>0.19012345679012346</v>
      </c>
      <c r="I38" s="372">
        <f t="shared" si="25"/>
        <v>0.19012345679012346</v>
      </c>
      <c r="J38" s="372">
        <f t="shared" si="25"/>
        <v>0.19012345679012346</v>
      </c>
      <c r="K38" s="373">
        <f t="shared" si="25"/>
        <v>0.19012345679012346</v>
      </c>
      <c r="L38" s="365"/>
      <c r="M38" s="254"/>
      <c r="N38" s="254"/>
      <c r="O38" s="254"/>
      <c r="P38" s="254"/>
      <c r="Q38" s="254"/>
      <c r="R38" s="254"/>
      <c r="S38" s="254"/>
      <c r="T38" s="254"/>
      <c r="U38" s="254"/>
      <c r="V38" s="254"/>
      <c r="W38" s="254"/>
      <c r="X38" s="254"/>
      <c r="Y38" s="254"/>
    </row>
    <row r="39" spans="1:25" ht="15.75" customHeight="1">
      <c r="A39" s="383"/>
      <c r="B39" s="367"/>
      <c r="C39" s="254"/>
      <c r="D39" s="254"/>
      <c r="E39" s="254"/>
      <c r="F39" s="254"/>
      <c r="G39" s="254"/>
      <c r="H39" s="254"/>
      <c r="I39" s="254"/>
      <c r="J39" s="254"/>
      <c r="K39" s="368"/>
      <c r="L39" s="365"/>
      <c r="M39" s="254"/>
      <c r="N39" s="254"/>
      <c r="O39" s="254"/>
      <c r="P39" s="254"/>
      <c r="Q39" s="254"/>
      <c r="R39" s="254"/>
      <c r="S39" s="254"/>
      <c r="T39" s="254"/>
      <c r="U39" s="254"/>
      <c r="V39" s="254"/>
      <c r="W39" s="254"/>
      <c r="X39" s="254"/>
      <c r="Y39" s="254"/>
    </row>
    <row r="40" spans="1:25" ht="15.75" customHeight="1">
      <c r="A40" s="384" t="s">
        <v>335</v>
      </c>
      <c r="B40" s="367"/>
      <c r="C40" s="254"/>
      <c r="D40" s="254"/>
      <c r="E40" s="254"/>
      <c r="F40" s="254"/>
      <c r="G40" s="254"/>
      <c r="H40" s="254"/>
      <c r="I40" s="254"/>
      <c r="J40" s="254"/>
      <c r="K40" s="368"/>
      <c r="L40" s="365"/>
      <c r="M40" s="254"/>
      <c r="N40" s="254"/>
      <c r="O40" s="254"/>
      <c r="P40" s="254"/>
      <c r="Q40" s="254"/>
      <c r="R40" s="254"/>
      <c r="S40" s="254"/>
      <c r="T40" s="254"/>
      <c r="U40" s="254"/>
      <c r="V40" s="254"/>
      <c r="W40" s="254"/>
      <c r="X40" s="254"/>
      <c r="Y40" s="254"/>
    </row>
    <row r="41" spans="1:25" ht="15.75" customHeight="1">
      <c r="A41" s="370" t="s">
        <v>319</v>
      </c>
      <c r="B41" s="367"/>
      <c r="C41" s="254"/>
      <c r="D41" s="254"/>
      <c r="E41" s="374">
        <f>68/2</f>
        <v>34</v>
      </c>
      <c r="F41" s="254">
        <v>45</v>
      </c>
      <c r="G41" s="254">
        <v>45</v>
      </c>
      <c r="H41" s="254">
        <v>45</v>
      </c>
      <c r="I41" s="254">
        <v>45</v>
      </c>
      <c r="J41" s="254">
        <v>45</v>
      </c>
      <c r="K41" s="368">
        <v>45</v>
      </c>
      <c r="L41" s="365"/>
      <c r="M41" s="254"/>
      <c r="N41" s="254"/>
      <c r="O41" s="254"/>
      <c r="P41" s="254"/>
      <c r="Q41" s="254"/>
      <c r="R41" s="388"/>
      <c r="S41" s="389"/>
      <c r="T41" s="254"/>
      <c r="U41" s="254"/>
      <c r="V41" s="254"/>
      <c r="W41" s="254"/>
      <c r="X41" s="254"/>
      <c r="Y41" s="254"/>
    </row>
    <row r="42" spans="1:25" ht="15.75" customHeight="1">
      <c r="A42" s="370" t="s">
        <v>321</v>
      </c>
      <c r="B42" s="367"/>
      <c r="C42" s="254"/>
      <c r="D42" s="254"/>
      <c r="E42" s="372">
        <f>E41/R6</f>
        <v>0.125</v>
      </c>
      <c r="F42" s="372">
        <f t="shared" ref="F42:K42" si="26">$F$41/$S$6</f>
        <v>0.1111111111111111</v>
      </c>
      <c r="G42" s="372">
        <f t="shared" si="26"/>
        <v>0.1111111111111111</v>
      </c>
      <c r="H42" s="372">
        <f t="shared" si="26"/>
        <v>0.1111111111111111</v>
      </c>
      <c r="I42" s="372">
        <f t="shared" si="26"/>
        <v>0.1111111111111111</v>
      </c>
      <c r="J42" s="372">
        <f t="shared" si="26"/>
        <v>0.1111111111111111</v>
      </c>
      <c r="K42" s="373">
        <f t="shared" si="26"/>
        <v>0.1111111111111111</v>
      </c>
      <c r="L42" s="365"/>
      <c r="M42" s="254"/>
      <c r="N42" s="254"/>
      <c r="O42" s="254"/>
      <c r="P42" s="254"/>
      <c r="Q42" s="254"/>
      <c r="R42" s="388"/>
      <c r="S42" s="390"/>
      <c r="T42" s="254"/>
      <c r="U42" s="254"/>
      <c r="V42" s="254"/>
      <c r="W42" s="254"/>
      <c r="X42" s="254"/>
      <c r="Y42" s="254"/>
    </row>
    <row r="43" spans="1:25" ht="15.75" customHeight="1">
      <c r="A43" s="375" t="s">
        <v>323</v>
      </c>
      <c r="B43" s="367"/>
      <c r="C43" s="254"/>
      <c r="D43" s="254"/>
      <c r="E43" s="254">
        <f>34</f>
        <v>34</v>
      </c>
      <c r="F43" s="371">
        <f>F42*S7</f>
        <v>43.888888888888886</v>
      </c>
      <c r="G43" s="254">
        <f t="shared" ref="G43:K43" si="27">G44*G41</f>
        <v>40.5</v>
      </c>
      <c r="H43" s="254">
        <f t="shared" si="27"/>
        <v>45</v>
      </c>
      <c r="I43" s="254">
        <f t="shared" si="27"/>
        <v>47.25</v>
      </c>
      <c r="J43" s="254">
        <f t="shared" si="27"/>
        <v>47.25</v>
      </c>
      <c r="K43" s="368">
        <f t="shared" si="27"/>
        <v>47.25</v>
      </c>
      <c r="L43" s="365"/>
      <c r="M43" s="254"/>
      <c r="N43" s="254"/>
      <c r="O43" s="254"/>
      <c r="P43" s="254"/>
      <c r="Q43" s="254"/>
      <c r="R43" s="388"/>
      <c r="S43" s="390"/>
      <c r="T43" s="254"/>
      <c r="U43" s="254"/>
      <c r="V43" s="254"/>
      <c r="W43" s="254"/>
      <c r="X43" s="254"/>
      <c r="Y43" s="254"/>
    </row>
    <row r="44" spans="1:25" ht="15.75" customHeight="1">
      <c r="A44" s="377" t="s">
        <v>325</v>
      </c>
      <c r="B44" s="367"/>
      <c r="C44" s="254"/>
      <c r="D44" s="254"/>
      <c r="E44" s="372">
        <f t="shared" ref="E44:F44" si="28">E43/E41</f>
        <v>1</v>
      </c>
      <c r="F44" s="372">
        <f t="shared" si="28"/>
        <v>0.97530864197530853</v>
      </c>
      <c r="G44" s="372">
        <f>90%</f>
        <v>0.9</v>
      </c>
      <c r="H44" s="372">
        <f>100%</f>
        <v>1</v>
      </c>
      <c r="I44" s="372">
        <v>1.05</v>
      </c>
      <c r="J44" s="372">
        <v>1.05</v>
      </c>
      <c r="K44" s="373">
        <v>1.05</v>
      </c>
      <c r="L44" s="365"/>
      <c r="M44" s="254"/>
      <c r="N44" s="254"/>
      <c r="O44" s="254"/>
      <c r="P44" s="254"/>
      <c r="Q44" s="254"/>
      <c r="R44" s="388"/>
      <c r="S44" s="390"/>
      <c r="T44" s="254"/>
      <c r="U44" s="254"/>
      <c r="V44" s="254"/>
      <c r="W44" s="254"/>
      <c r="X44" s="254"/>
      <c r="Y44" s="254"/>
    </row>
    <row r="45" spans="1:25" ht="15.75" customHeight="1">
      <c r="A45" s="375" t="s">
        <v>326</v>
      </c>
      <c r="B45" s="367"/>
      <c r="C45" s="254"/>
      <c r="D45" s="254"/>
      <c r="E45" s="378">
        <f>E46/E43</f>
        <v>2.1470588235294117</v>
      </c>
      <c r="F45" s="378">
        <f t="shared" ref="F45:K45" si="29">$F$46/$F$43</f>
        <v>2.2658227848101267</v>
      </c>
      <c r="G45" s="378">
        <f t="shared" si="29"/>
        <v>2.2658227848101267</v>
      </c>
      <c r="H45" s="378">
        <f t="shared" si="29"/>
        <v>2.2658227848101267</v>
      </c>
      <c r="I45" s="378">
        <f t="shared" si="29"/>
        <v>2.2658227848101267</v>
      </c>
      <c r="J45" s="378">
        <f t="shared" si="29"/>
        <v>2.2658227848101267</v>
      </c>
      <c r="K45" s="379">
        <f t="shared" si="29"/>
        <v>2.2658227848101267</v>
      </c>
      <c r="L45" s="365"/>
      <c r="M45" s="254"/>
      <c r="N45" s="254"/>
      <c r="O45" s="254"/>
      <c r="P45" s="254"/>
      <c r="Q45" s="254"/>
      <c r="R45" s="388"/>
      <c r="S45" s="390"/>
      <c r="T45" s="254"/>
      <c r="U45" s="254"/>
      <c r="V45" s="254"/>
      <c r="W45" s="254"/>
      <c r="X45" s="254"/>
      <c r="Y45" s="254"/>
    </row>
    <row r="46" spans="1:25" ht="15.75" customHeight="1">
      <c r="A46" s="380" t="s">
        <v>327</v>
      </c>
      <c r="B46" s="367"/>
      <c r="C46" s="254"/>
      <c r="D46" s="254"/>
      <c r="E46" s="254">
        <f>73</f>
        <v>73</v>
      </c>
      <c r="F46" s="371">
        <f>F42*S5</f>
        <v>99.444444444444443</v>
      </c>
      <c r="G46" s="371">
        <f t="shared" ref="G46:K46" si="30">G45*G43</f>
        <v>91.765822784810126</v>
      </c>
      <c r="H46" s="371">
        <f t="shared" si="30"/>
        <v>101.96202531645569</v>
      </c>
      <c r="I46" s="371">
        <f t="shared" si="30"/>
        <v>107.06012658227849</v>
      </c>
      <c r="J46" s="371">
        <f t="shared" si="30"/>
        <v>107.06012658227849</v>
      </c>
      <c r="K46" s="381">
        <f t="shared" si="30"/>
        <v>107.06012658227849</v>
      </c>
      <c r="L46" s="365"/>
      <c r="M46" s="254"/>
      <c r="N46" s="254"/>
      <c r="O46" s="254"/>
      <c r="P46" s="254"/>
      <c r="Q46" s="254"/>
      <c r="R46" s="388"/>
      <c r="S46" s="390"/>
      <c r="T46" s="254"/>
      <c r="U46" s="254"/>
      <c r="V46" s="254"/>
      <c r="W46" s="254"/>
      <c r="X46" s="254"/>
      <c r="Y46" s="254"/>
    </row>
    <row r="47" spans="1:25" ht="15.75" customHeight="1">
      <c r="A47" s="370" t="s">
        <v>329</v>
      </c>
      <c r="B47" s="367"/>
      <c r="C47" s="254"/>
      <c r="D47" s="254"/>
      <c r="E47" s="372">
        <f>E46/R5</f>
        <v>0.10766961651917405</v>
      </c>
      <c r="F47" s="372">
        <f>F46/S5</f>
        <v>0.1111111111111111</v>
      </c>
      <c r="G47" s="372">
        <f t="shared" ref="G47:K47" si="31">G42</f>
        <v>0.1111111111111111</v>
      </c>
      <c r="H47" s="372">
        <f t="shared" si="31"/>
        <v>0.1111111111111111</v>
      </c>
      <c r="I47" s="372">
        <f t="shared" si="31"/>
        <v>0.1111111111111111</v>
      </c>
      <c r="J47" s="372">
        <f t="shared" si="31"/>
        <v>0.1111111111111111</v>
      </c>
      <c r="K47" s="373">
        <f t="shared" si="31"/>
        <v>0.1111111111111111</v>
      </c>
      <c r="L47" s="365"/>
      <c r="M47" s="254"/>
      <c r="N47" s="254"/>
      <c r="O47" s="254"/>
      <c r="P47" s="254"/>
      <c r="Q47" s="254"/>
      <c r="R47" s="388"/>
      <c r="S47" s="390"/>
      <c r="T47" s="254"/>
      <c r="U47" s="254"/>
      <c r="V47" s="254"/>
      <c r="W47" s="254"/>
      <c r="X47" s="254"/>
      <c r="Y47" s="254"/>
    </row>
    <row r="48" spans="1:25" ht="15.75" customHeight="1">
      <c r="A48" s="391"/>
      <c r="B48" s="367"/>
      <c r="C48" s="254"/>
      <c r="D48" s="254"/>
      <c r="E48" s="254"/>
      <c r="F48" s="254"/>
      <c r="G48" s="254"/>
      <c r="H48" s="254"/>
      <c r="I48" s="254"/>
      <c r="J48" s="254"/>
      <c r="K48" s="368"/>
      <c r="L48" s="365"/>
      <c r="M48" s="254"/>
      <c r="N48" s="254"/>
      <c r="O48" s="254"/>
      <c r="P48" s="254"/>
      <c r="Q48" s="254"/>
      <c r="R48" s="388"/>
      <c r="S48" s="390"/>
      <c r="T48" s="254"/>
      <c r="U48" s="254"/>
      <c r="V48" s="254"/>
      <c r="W48" s="254"/>
      <c r="X48" s="254"/>
      <c r="Y48" s="254"/>
    </row>
    <row r="49" spans="1:25" ht="15.75" customHeight="1">
      <c r="A49" s="366" t="s">
        <v>336</v>
      </c>
      <c r="B49" s="367"/>
      <c r="C49" s="254"/>
      <c r="D49" s="254"/>
      <c r="E49" s="254"/>
      <c r="F49" s="254"/>
      <c r="G49" s="254"/>
      <c r="H49" s="254"/>
      <c r="I49" s="254"/>
      <c r="J49" s="254"/>
      <c r="K49" s="368"/>
      <c r="L49" s="365"/>
      <c r="M49" s="254"/>
      <c r="N49" s="254"/>
      <c r="O49" s="254"/>
      <c r="P49" s="254"/>
      <c r="Q49" s="254"/>
      <c r="R49" s="388"/>
      <c r="S49" s="390"/>
      <c r="T49" s="254"/>
      <c r="U49" s="254"/>
      <c r="V49" s="254"/>
      <c r="W49" s="254"/>
      <c r="X49" s="254"/>
      <c r="Y49" s="254"/>
    </row>
    <row r="50" spans="1:25" ht="15.75" customHeight="1">
      <c r="A50" s="392" t="s">
        <v>319</v>
      </c>
      <c r="B50" s="367"/>
      <c r="C50" s="254"/>
      <c r="D50" s="254"/>
      <c r="E50" s="254"/>
      <c r="F50" s="254">
        <v>47</v>
      </c>
      <c r="G50" s="254">
        <v>47</v>
      </c>
      <c r="H50" s="254">
        <v>47</v>
      </c>
      <c r="I50" s="254">
        <v>47</v>
      </c>
      <c r="J50" s="254">
        <v>47</v>
      </c>
      <c r="K50" s="368">
        <v>47</v>
      </c>
      <c r="L50" s="365"/>
      <c r="M50" s="254"/>
      <c r="N50" s="254"/>
      <c r="O50" s="254"/>
      <c r="P50" s="254"/>
      <c r="Q50" s="254"/>
      <c r="R50" s="388"/>
      <c r="S50" s="390"/>
      <c r="T50" s="254"/>
      <c r="U50" s="254"/>
      <c r="V50" s="254"/>
      <c r="W50" s="254"/>
      <c r="X50" s="254"/>
      <c r="Y50" s="254"/>
    </row>
    <row r="51" spans="1:25" ht="15.75" customHeight="1">
      <c r="A51" s="370" t="s">
        <v>321</v>
      </c>
      <c r="B51" s="367"/>
      <c r="C51" s="254"/>
      <c r="D51" s="254"/>
      <c r="E51" s="254"/>
      <c r="F51" s="372">
        <f t="shared" ref="F51:K51" si="32">47/$S$6</f>
        <v>0.11604938271604938</v>
      </c>
      <c r="G51" s="372">
        <f t="shared" si="32"/>
        <v>0.11604938271604938</v>
      </c>
      <c r="H51" s="372">
        <f t="shared" si="32"/>
        <v>0.11604938271604938</v>
      </c>
      <c r="I51" s="372">
        <f t="shared" si="32"/>
        <v>0.11604938271604938</v>
      </c>
      <c r="J51" s="372">
        <f t="shared" si="32"/>
        <v>0.11604938271604938</v>
      </c>
      <c r="K51" s="373">
        <f t="shared" si="32"/>
        <v>0.11604938271604938</v>
      </c>
      <c r="L51" s="365"/>
      <c r="M51" s="254"/>
      <c r="N51" s="254"/>
      <c r="O51" s="254"/>
      <c r="P51" s="254"/>
      <c r="Q51" s="254"/>
      <c r="R51" s="388"/>
      <c r="S51" s="390"/>
      <c r="T51" s="254"/>
      <c r="U51" s="254"/>
      <c r="V51" s="254"/>
      <c r="W51" s="254"/>
      <c r="X51" s="254"/>
      <c r="Y51" s="254"/>
    </row>
    <row r="52" spans="1:25" ht="15.75" customHeight="1">
      <c r="A52" s="375" t="s">
        <v>323</v>
      </c>
      <c r="B52" s="367"/>
      <c r="C52" s="254"/>
      <c r="D52" s="254"/>
      <c r="E52" s="254"/>
      <c r="F52" s="371">
        <f>F51*S7</f>
        <v>45.839506172839506</v>
      </c>
      <c r="G52" s="254">
        <f t="shared" ref="G52:K52" si="33">G53*G50</f>
        <v>42.300000000000004</v>
      </c>
      <c r="H52" s="254">
        <f t="shared" si="33"/>
        <v>46.06</v>
      </c>
      <c r="I52" s="254">
        <f t="shared" si="33"/>
        <v>51.7</v>
      </c>
      <c r="J52" s="254">
        <f t="shared" si="33"/>
        <v>51.7</v>
      </c>
      <c r="K52" s="368">
        <f t="shared" si="33"/>
        <v>51.7</v>
      </c>
      <c r="L52" s="365"/>
      <c r="M52" s="254"/>
      <c r="N52" s="254"/>
      <c r="O52" s="254"/>
      <c r="P52" s="254"/>
      <c r="Q52" s="254"/>
      <c r="R52" s="254"/>
      <c r="S52" s="254"/>
      <c r="T52" s="254"/>
      <c r="U52" s="254"/>
      <c r="V52" s="254"/>
      <c r="W52" s="254"/>
      <c r="X52" s="254"/>
      <c r="Y52" s="254"/>
    </row>
    <row r="53" spans="1:25" ht="15.75" customHeight="1">
      <c r="A53" s="377" t="s">
        <v>325</v>
      </c>
      <c r="B53" s="367"/>
      <c r="C53" s="254"/>
      <c r="D53" s="254"/>
      <c r="E53" s="254"/>
      <c r="F53" s="372">
        <f>F52/F50</f>
        <v>0.97530864197530864</v>
      </c>
      <c r="G53" s="372">
        <v>0.9</v>
      </c>
      <c r="H53" s="372">
        <f>98%</f>
        <v>0.98</v>
      </c>
      <c r="I53" s="372">
        <v>1.1000000000000001</v>
      </c>
      <c r="J53" s="372">
        <v>1.1000000000000001</v>
      </c>
      <c r="K53" s="373">
        <v>1.1000000000000001</v>
      </c>
      <c r="L53" s="365"/>
      <c r="M53" s="254"/>
      <c r="N53" s="254"/>
      <c r="O53" s="254"/>
      <c r="P53" s="254"/>
      <c r="Q53" s="254"/>
      <c r="R53" s="254"/>
      <c r="S53" s="254"/>
      <c r="T53" s="254"/>
      <c r="U53" s="254"/>
      <c r="V53" s="254"/>
      <c r="W53" s="254"/>
      <c r="X53" s="254"/>
      <c r="Y53" s="254"/>
    </row>
    <row r="54" spans="1:25" ht="15.75" customHeight="1">
      <c r="A54" s="375" t="s">
        <v>326</v>
      </c>
      <c r="B54" s="367"/>
      <c r="C54" s="254"/>
      <c r="D54" s="254"/>
      <c r="E54" s="254"/>
      <c r="F54" s="378">
        <f t="shared" ref="F54:K54" si="34">$F$55/$F$52</f>
        <v>2.2658227848101262</v>
      </c>
      <c r="G54" s="378">
        <f t="shared" si="34"/>
        <v>2.2658227848101262</v>
      </c>
      <c r="H54" s="378">
        <f t="shared" si="34"/>
        <v>2.2658227848101262</v>
      </c>
      <c r="I54" s="378">
        <f t="shared" si="34"/>
        <v>2.2658227848101262</v>
      </c>
      <c r="J54" s="378">
        <f t="shared" si="34"/>
        <v>2.2658227848101262</v>
      </c>
      <c r="K54" s="379">
        <f t="shared" si="34"/>
        <v>2.2658227848101262</v>
      </c>
      <c r="L54" s="365"/>
      <c r="M54" s="254"/>
      <c r="N54" s="254"/>
      <c r="O54" s="254"/>
      <c r="P54" s="254"/>
      <c r="Q54" s="254"/>
      <c r="R54" s="254"/>
      <c r="S54" s="254"/>
      <c r="T54" s="254"/>
      <c r="U54" s="254"/>
      <c r="V54" s="254"/>
      <c r="W54" s="254"/>
      <c r="X54" s="254"/>
      <c r="Y54" s="254"/>
    </row>
    <row r="55" spans="1:25" ht="15.75" customHeight="1">
      <c r="A55" s="380" t="s">
        <v>327</v>
      </c>
      <c r="B55" s="367"/>
      <c r="C55" s="254"/>
      <c r="D55" s="254"/>
      <c r="E55" s="254"/>
      <c r="F55" s="371">
        <f>F51*S5</f>
        <v>103.86419753086419</v>
      </c>
      <c r="G55" s="371">
        <f t="shared" ref="G55:K55" si="35">G54*G52</f>
        <v>95.844303797468342</v>
      </c>
      <c r="H55" s="371">
        <f t="shared" si="35"/>
        <v>104.36379746835442</v>
      </c>
      <c r="I55" s="371">
        <f t="shared" si="35"/>
        <v>117.14303797468354</v>
      </c>
      <c r="J55" s="371">
        <f t="shared" si="35"/>
        <v>117.14303797468354</v>
      </c>
      <c r="K55" s="381">
        <f t="shared" si="35"/>
        <v>117.14303797468354</v>
      </c>
      <c r="L55" s="365"/>
      <c r="M55" s="254"/>
      <c r="N55" s="254"/>
      <c r="O55" s="254"/>
      <c r="P55" s="254"/>
      <c r="Q55" s="254"/>
      <c r="R55" s="254"/>
      <c r="S55" s="254"/>
      <c r="T55" s="254"/>
      <c r="U55" s="254"/>
      <c r="V55" s="254"/>
      <c r="W55" s="254"/>
      <c r="X55" s="254"/>
      <c r="Y55" s="254"/>
    </row>
    <row r="56" spans="1:25" ht="15.75" customHeight="1">
      <c r="A56" s="370" t="s">
        <v>329</v>
      </c>
      <c r="B56" s="367"/>
      <c r="C56" s="254"/>
      <c r="D56" s="254"/>
      <c r="E56" s="254"/>
      <c r="F56" s="372">
        <f t="shared" ref="F56:K56" si="36">F51</f>
        <v>0.11604938271604938</v>
      </c>
      <c r="G56" s="372">
        <f t="shared" si="36"/>
        <v>0.11604938271604938</v>
      </c>
      <c r="H56" s="372">
        <f t="shared" si="36"/>
        <v>0.11604938271604938</v>
      </c>
      <c r="I56" s="372">
        <f t="shared" si="36"/>
        <v>0.11604938271604938</v>
      </c>
      <c r="J56" s="372">
        <f t="shared" si="36"/>
        <v>0.11604938271604938</v>
      </c>
      <c r="K56" s="373">
        <f t="shared" si="36"/>
        <v>0.11604938271604938</v>
      </c>
      <c r="L56" s="365"/>
      <c r="M56" s="254"/>
      <c r="N56" s="254"/>
      <c r="O56" s="254"/>
      <c r="P56" s="254"/>
      <c r="Q56" s="254"/>
      <c r="R56" s="254"/>
      <c r="S56" s="254"/>
      <c r="T56" s="254"/>
      <c r="U56" s="254"/>
      <c r="V56" s="254"/>
      <c r="W56" s="254"/>
      <c r="X56" s="254"/>
      <c r="Y56" s="254"/>
    </row>
    <row r="57" spans="1:25" ht="15.75" customHeight="1">
      <c r="A57" s="383"/>
      <c r="B57" s="367"/>
      <c r="C57" s="254"/>
      <c r="D57" s="254"/>
      <c r="E57" s="254"/>
      <c r="F57" s="254"/>
      <c r="G57" s="254"/>
      <c r="H57" s="254"/>
      <c r="I57" s="254"/>
      <c r="J57" s="254"/>
      <c r="K57" s="368"/>
      <c r="L57" s="365"/>
      <c r="M57" s="254"/>
      <c r="N57" s="254"/>
      <c r="O57" s="254"/>
      <c r="P57" s="254"/>
      <c r="Q57" s="254"/>
      <c r="R57" s="254"/>
      <c r="S57" s="254"/>
      <c r="T57" s="254"/>
      <c r="U57" s="254"/>
      <c r="V57" s="254"/>
      <c r="W57" s="254"/>
      <c r="X57" s="254"/>
      <c r="Y57" s="254"/>
    </row>
    <row r="58" spans="1:25" ht="15.75" customHeight="1">
      <c r="A58" s="391"/>
      <c r="B58" s="367"/>
      <c r="C58" s="254"/>
      <c r="D58" s="254"/>
      <c r="E58" s="254"/>
      <c r="F58" s="254"/>
      <c r="G58" s="254"/>
      <c r="H58" s="254"/>
      <c r="I58" s="254"/>
      <c r="J58" s="254"/>
      <c r="K58" s="368"/>
      <c r="L58" s="365"/>
      <c r="M58" s="254"/>
      <c r="N58" s="254"/>
      <c r="O58" s="254"/>
      <c r="P58" s="254"/>
      <c r="Q58" s="254"/>
      <c r="R58" s="254"/>
      <c r="S58" s="254"/>
      <c r="T58" s="254"/>
      <c r="U58" s="254"/>
      <c r="V58" s="254"/>
      <c r="W58" s="254"/>
      <c r="X58" s="254"/>
      <c r="Y58" s="254"/>
    </row>
    <row r="59" spans="1:25" ht="15.75" customHeight="1">
      <c r="A59" s="366" t="s">
        <v>337</v>
      </c>
      <c r="B59" s="367"/>
      <c r="C59" s="254"/>
      <c r="D59" s="254"/>
      <c r="E59" s="254"/>
      <c r="F59" s="254"/>
      <c r="G59" s="254"/>
      <c r="H59" s="254"/>
      <c r="I59" s="254"/>
      <c r="J59" s="254"/>
      <c r="K59" s="368"/>
      <c r="L59" s="365"/>
      <c r="M59" s="254"/>
      <c r="N59" s="254"/>
      <c r="O59" s="254"/>
      <c r="P59" s="254"/>
      <c r="Q59" s="254"/>
      <c r="R59" s="254"/>
      <c r="S59" s="254"/>
      <c r="T59" s="254"/>
      <c r="U59" s="254"/>
      <c r="V59" s="254"/>
      <c r="W59" s="254"/>
      <c r="X59" s="254"/>
      <c r="Y59" s="254"/>
    </row>
    <row r="60" spans="1:25" ht="15.75" customHeight="1">
      <c r="A60" s="369" t="s">
        <v>338</v>
      </c>
      <c r="B60" s="367"/>
      <c r="C60" s="254"/>
      <c r="D60" s="254"/>
      <c r="E60" s="254"/>
      <c r="F60" s="254"/>
      <c r="G60" s="254"/>
      <c r="H60" s="254"/>
      <c r="I60" s="254"/>
      <c r="J60" s="254"/>
      <c r="K60" s="368"/>
      <c r="L60" s="365"/>
      <c r="M60" s="254"/>
      <c r="N60" s="254"/>
      <c r="O60" s="254"/>
      <c r="P60" s="254"/>
      <c r="Q60" s="254"/>
      <c r="R60" s="254"/>
      <c r="S60" s="254"/>
      <c r="T60" s="254"/>
      <c r="U60" s="254"/>
      <c r="V60" s="254"/>
      <c r="W60" s="254"/>
      <c r="X60" s="254"/>
      <c r="Y60" s="254"/>
    </row>
    <row r="61" spans="1:25" ht="15.75" customHeight="1">
      <c r="A61" s="370" t="s">
        <v>319</v>
      </c>
      <c r="B61" s="367"/>
      <c r="C61" s="254"/>
      <c r="D61" s="254"/>
      <c r="E61" s="254"/>
      <c r="F61" s="254"/>
      <c r="G61" s="382">
        <f>96*2/12</f>
        <v>16</v>
      </c>
      <c r="H61" s="382">
        <v>96</v>
      </c>
      <c r="I61" s="382">
        <v>96</v>
      </c>
      <c r="J61" s="382">
        <v>96</v>
      </c>
      <c r="K61" s="393">
        <v>96</v>
      </c>
      <c r="L61" s="365"/>
      <c r="M61" s="254"/>
      <c r="N61" s="254"/>
      <c r="O61" s="254"/>
      <c r="P61" s="254"/>
      <c r="Q61" s="254"/>
      <c r="R61" s="254"/>
      <c r="S61" s="254"/>
      <c r="T61" s="254"/>
      <c r="U61" s="254"/>
      <c r="V61" s="254"/>
      <c r="W61" s="254"/>
      <c r="X61" s="254"/>
      <c r="Y61" s="254"/>
    </row>
    <row r="62" spans="1:25" ht="15.75" customHeight="1">
      <c r="A62" s="370" t="s">
        <v>321</v>
      </c>
      <c r="B62" s="367"/>
      <c r="C62" s="254"/>
      <c r="D62" s="254"/>
      <c r="E62" s="254"/>
      <c r="F62" s="254"/>
      <c r="G62" s="386">
        <f>G61/T11</f>
        <v>0.24242424242424243</v>
      </c>
      <c r="H62" s="386">
        <f>H61/U11</f>
        <v>0.11897385053910027</v>
      </c>
      <c r="I62" s="386">
        <f>I61/V11</f>
        <v>0.11784925116621654</v>
      </c>
      <c r="J62" s="386">
        <f>J61/W11</f>
        <v>0.11784925116621654</v>
      </c>
      <c r="K62" s="394">
        <f>K61/X11</f>
        <v>0.11784925116621654</v>
      </c>
      <c r="L62" s="365"/>
      <c r="M62" s="254"/>
      <c r="N62" s="254"/>
      <c r="O62" s="254"/>
      <c r="P62" s="254"/>
      <c r="Q62" s="254"/>
      <c r="R62" s="254"/>
      <c r="S62" s="254"/>
      <c r="T62" s="254"/>
      <c r="U62" s="254"/>
      <c r="V62" s="254"/>
      <c r="W62" s="254"/>
      <c r="X62" s="254"/>
      <c r="Y62" s="254"/>
    </row>
    <row r="63" spans="1:25" ht="15.75" customHeight="1">
      <c r="A63" s="375" t="s">
        <v>323</v>
      </c>
      <c r="B63" s="367"/>
      <c r="C63" s="254"/>
      <c r="D63" s="254"/>
      <c r="E63" s="254"/>
      <c r="F63" s="254"/>
      <c r="G63" s="382">
        <f>G61</f>
        <v>16</v>
      </c>
      <c r="H63" s="382">
        <f t="shared" ref="H63:K63" si="37">H61*H64</f>
        <v>96</v>
      </c>
      <c r="I63" s="382">
        <f t="shared" si="37"/>
        <v>96</v>
      </c>
      <c r="J63" s="382">
        <f t="shared" si="37"/>
        <v>96</v>
      </c>
      <c r="K63" s="393">
        <f t="shared" si="37"/>
        <v>96</v>
      </c>
      <c r="L63" s="365"/>
      <c r="M63" s="254"/>
      <c r="N63" s="254"/>
      <c r="O63" s="254"/>
      <c r="P63" s="254"/>
      <c r="Q63" s="254"/>
      <c r="R63" s="254"/>
      <c r="S63" s="254"/>
      <c r="T63" s="254"/>
      <c r="U63" s="254"/>
      <c r="V63" s="254"/>
      <c r="W63" s="254"/>
      <c r="X63" s="254"/>
      <c r="Y63" s="254"/>
    </row>
    <row r="64" spans="1:25" ht="15.75" customHeight="1">
      <c r="A64" s="377" t="s">
        <v>325</v>
      </c>
      <c r="B64" s="367"/>
      <c r="C64" s="254"/>
      <c r="D64" s="254"/>
      <c r="E64" s="254"/>
      <c r="F64" s="254"/>
      <c r="G64" s="386">
        <f>G63/G61</f>
        <v>1</v>
      </c>
      <c r="H64" s="386">
        <f t="shared" ref="H64:K64" si="38">G64</f>
        <v>1</v>
      </c>
      <c r="I64" s="386">
        <f t="shared" si="38"/>
        <v>1</v>
      </c>
      <c r="J64" s="386">
        <f t="shared" si="38"/>
        <v>1</v>
      </c>
      <c r="K64" s="394">
        <f t="shared" si="38"/>
        <v>1</v>
      </c>
      <c r="L64" s="365"/>
      <c r="M64" s="254"/>
      <c r="N64" s="254"/>
      <c r="O64" s="254"/>
      <c r="P64" s="254"/>
      <c r="Q64" s="254"/>
      <c r="R64" s="254"/>
      <c r="S64" s="254"/>
      <c r="T64" s="254"/>
      <c r="U64" s="254"/>
      <c r="V64" s="254"/>
      <c r="W64" s="254"/>
      <c r="X64" s="254"/>
      <c r="Y64" s="254"/>
    </row>
    <row r="65" spans="1:25" ht="15.75" customHeight="1">
      <c r="A65" s="375" t="s">
        <v>326</v>
      </c>
      <c r="B65" s="367"/>
      <c r="C65" s="254"/>
      <c r="D65" s="254"/>
      <c r="E65" s="254"/>
      <c r="F65" s="254"/>
      <c r="G65" s="382">
        <f t="shared" ref="G65:K65" si="39">9.8*23060/100000</f>
        <v>2.2598800000000003</v>
      </c>
      <c r="H65" s="382">
        <f t="shared" si="39"/>
        <v>2.2598800000000003</v>
      </c>
      <c r="I65" s="382">
        <f t="shared" si="39"/>
        <v>2.2598800000000003</v>
      </c>
      <c r="J65" s="382">
        <f t="shared" si="39"/>
        <v>2.2598800000000003</v>
      </c>
      <c r="K65" s="393">
        <f t="shared" si="39"/>
        <v>2.2598800000000003</v>
      </c>
      <c r="L65" s="365"/>
      <c r="M65" s="254"/>
      <c r="N65" s="254"/>
      <c r="O65" s="254"/>
      <c r="P65" s="254"/>
      <c r="Q65" s="254"/>
      <c r="R65" s="254"/>
      <c r="S65" s="254"/>
      <c r="T65" s="254"/>
      <c r="U65" s="254"/>
      <c r="V65" s="254"/>
      <c r="W65" s="254"/>
      <c r="X65" s="254"/>
      <c r="Y65" s="254"/>
    </row>
    <row r="66" spans="1:25" ht="15.75" customHeight="1">
      <c r="A66" s="380" t="s">
        <v>327</v>
      </c>
      <c r="B66" s="367"/>
      <c r="C66" s="254"/>
      <c r="D66" s="254"/>
      <c r="E66" s="254"/>
      <c r="F66" s="254"/>
      <c r="G66" s="382">
        <f t="shared" ref="G66:K66" si="40">G65*G63</f>
        <v>36.158080000000005</v>
      </c>
      <c r="H66" s="382">
        <f t="shared" si="40"/>
        <v>216.94848000000002</v>
      </c>
      <c r="I66" s="382">
        <f t="shared" si="40"/>
        <v>216.94848000000002</v>
      </c>
      <c r="J66" s="382">
        <f t="shared" si="40"/>
        <v>216.94848000000002</v>
      </c>
      <c r="K66" s="393">
        <f t="shared" si="40"/>
        <v>216.94848000000002</v>
      </c>
      <c r="L66" s="365"/>
      <c r="M66" s="254"/>
      <c r="N66" s="254"/>
      <c r="O66" s="254"/>
      <c r="P66" s="254"/>
      <c r="Q66" s="254"/>
      <c r="R66" s="254"/>
      <c r="S66" s="254"/>
      <c r="T66" s="254"/>
      <c r="U66" s="254"/>
      <c r="V66" s="254"/>
      <c r="W66" s="254"/>
      <c r="X66" s="254"/>
      <c r="Y66" s="254"/>
    </row>
    <row r="67" spans="1:25" ht="15.75" customHeight="1">
      <c r="A67" s="370" t="s">
        <v>329</v>
      </c>
      <c r="B67" s="367"/>
      <c r="C67" s="254"/>
      <c r="D67" s="254"/>
      <c r="E67" s="254"/>
      <c r="F67" s="254"/>
      <c r="G67" s="386">
        <f>G66/T10</f>
        <v>0.25463436619718316</v>
      </c>
      <c r="H67" s="386">
        <f>H66/U10</f>
        <v>0.12867644128113881</v>
      </c>
      <c r="I67" s="386">
        <f>I66/V10</f>
        <v>0.12731718309859155</v>
      </c>
      <c r="J67" s="386">
        <f>J66/W10</f>
        <v>0.12731718309859155</v>
      </c>
      <c r="K67" s="394">
        <f>K66/X10</f>
        <v>0.12731718309859155</v>
      </c>
      <c r="L67" s="365"/>
      <c r="M67" s="254"/>
      <c r="N67" s="254"/>
      <c r="O67" s="254"/>
      <c r="P67" s="254"/>
      <c r="Q67" s="254"/>
      <c r="R67" s="254"/>
      <c r="S67" s="254"/>
      <c r="T67" s="254"/>
      <c r="U67" s="254"/>
      <c r="V67" s="254"/>
      <c r="W67" s="254"/>
      <c r="X67" s="254"/>
      <c r="Y67" s="254"/>
    </row>
    <row r="68" spans="1:25" ht="15.75" customHeight="1">
      <c r="A68" s="383"/>
      <c r="B68" s="367"/>
      <c r="C68" s="254"/>
      <c r="D68" s="254"/>
      <c r="E68" s="254"/>
      <c r="F68" s="254"/>
      <c r="G68" s="382"/>
      <c r="H68" s="382"/>
      <c r="I68" s="382"/>
      <c r="J68" s="382"/>
      <c r="K68" s="393"/>
      <c r="L68" s="365"/>
      <c r="M68" s="254"/>
      <c r="N68" s="254"/>
      <c r="O68" s="254"/>
      <c r="P68" s="254"/>
      <c r="Q68" s="254"/>
      <c r="R68" s="254"/>
      <c r="S68" s="254"/>
      <c r="T68" s="254"/>
      <c r="U68" s="254"/>
      <c r="V68" s="254"/>
      <c r="W68" s="254"/>
      <c r="X68" s="254"/>
      <c r="Y68" s="254"/>
    </row>
    <row r="69" spans="1:25" ht="15.75" customHeight="1">
      <c r="A69" s="384" t="s">
        <v>339</v>
      </c>
      <c r="B69" s="367"/>
      <c r="C69" s="254"/>
      <c r="D69" s="254"/>
      <c r="E69" s="254"/>
      <c r="F69" s="254"/>
      <c r="G69" s="382"/>
      <c r="H69" s="382"/>
      <c r="I69" s="382"/>
      <c r="J69" s="382"/>
      <c r="K69" s="393"/>
      <c r="L69" s="365"/>
      <c r="M69" s="254"/>
      <c r="N69" s="254"/>
      <c r="O69" s="254"/>
      <c r="P69" s="254"/>
      <c r="Q69" s="254"/>
      <c r="R69" s="254"/>
      <c r="S69" s="254"/>
      <c r="T69" s="254"/>
      <c r="U69" s="254"/>
      <c r="V69" s="254"/>
      <c r="W69" s="254"/>
      <c r="X69" s="254"/>
      <c r="Y69" s="254"/>
    </row>
    <row r="70" spans="1:25" ht="15.75" customHeight="1">
      <c r="A70" s="370" t="s">
        <v>319</v>
      </c>
      <c r="B70" s="367"/>
      <c r="C70" s="254"/>
      <c r="D70" s="254"/>
      <c r="E70" s="254"/>
      <c r="F70" s="254"/>
      <c r="G70" s="382">
        <f>146*2/12</f>
        <v>24.333333333333332</v>
      </c>
      <c r="H70" s="382">
        <v>146</v>
      </c>
      <c r="I70" s="382">
        <v>146</v>
      </c>
      <c r="J70" s="382">
        <v>146</v>
      </c>
      <c r="K70" s="393">
        <v>146</v>
      </c>
      <c r="L70" s="365"/>
      <c r="M70" s="254"/>
      <c r="N70" s="254"/>
      <c r="O70" s="254"/>
      <c r="P70" s="254"/>
      <c r="Q70" s="254"/>
      <c r="R70" s="254"/>
      <c r="S70" s="254"/>
      <c r="T70" s="254"/>
      <c r="U70" s="254"/>
      <c r="V70" s="254"/>
      <c r="W70" s="254"/>
      <c r="X70" s="254"/>
      <c r="Y70" s="254"/>
    </row>
    <row r="71" spans="1:25" ht="15.75" customHeight="1">
      <c r="A71" s="370" t="s">
        <v>321</v>
      </c>
      <c r="B71" s="367"/>
      <c r="C71" s="254"/>
      <c r="D71" s="254"/>
      <c r="E71" s="254"/>
      <c r="F71" s="254"/>
      <c r="G71" s="386">
        <f>G70/T11</f>
        <v>0.36868686868686867</v>
      </c>
      <c r="H71" s="386">
        <f>H70/U11</f>
        <v>0.18093939769488165</v>
      </c>
      <c r="I71" s="386">
        <f>I70/V11</f>
        <v>0.17922906948195433</v>
      </c>
      <c r="J71" s="386">
        <f>J70/W11</f>
        <v>0.17922906948195433</v>
      </c>
      <c r="K71" s="394">
        <f>K70/X11</f>
        <v>0.17922906948195433</v>
      </c>
      <c r="L71" s="365"/>
      <c r="M71" s="254"/>
      <c r="N71" s="254"/>
      <c r="O71" s="254"/>
      <c r="P71" s="254"/>
      <c r="Q71" s="254"/>
      <c r="R71" s="254"/>
      <c r="S71" s="254"/>
      <c r="T71" s="254"/>
      <c r="U71" s="254"/>
      <c r="V71" s="254"/>
      <c r="W71" s="254"/>
      <c r="X71" s="254"/>
      <c r="Y71" s="254"/>
    </row>
    <row r="72" spans="1:25" ht="15.75" customHeight="1">
      <c r="A72" s="375" t="s">
        <v>323</v>
      </c>
      <c r="B72" s="367"/>
      <c r="C72" s="254"/>
      <c r="D72" s="254"/>
      <c r="E72" s="254"/>
      <c r="F72" s="254"/>
      <c r="G72" s="382">
        <f>146*2/12</f>
        <v>24.333333333333332</v>
      </c>
      <c r="H72" s="382">
        <f t="shared" ref="H72:K72" si="41">H73*H70</f>
        <v>153.30000000000001</v>
      </c>
      <c r="I72" s="382">
        <f t="shared" si="41"/>
        <v>153.30000000000001</v>
      </c>
      <c r="J72" s="382">
        <f t="shared" si="41"/>
        <v>153.30000000000001</v>
      </c>
      <c r="K72" s="393">
        <f t="shared" si="41"/>
        <v>153.30000000000001</v>
      </c>
      <c r="L72" s="365"/>
      <c r="M72" s="254"/>
      <c r="N72" s="254"/>
      <c r="O72" s="254"/>
      <c r="P72" s="254"/>
      <c r="Q72" s="254"/>
      <c r="R72" s="254"/>
      <c r="S72" s="254"/>
      <c r="T72" s="254"/>
      <c r="U72" s="254"/>
      <c r="V72" s="254"/>
      <c r="W72" s="254"/>
      <c r="X72" s="254"/>
      <c r="Y72" s="254"/>
    </row>
    <row r="73" spans="1:25" ht="15.75" customHeight="1">
      <c r="A73" s="377" t="s">
        <v>325</v>
      </c>
      <c r="B73" s="367"/>
      <c r="C73" s="254"/>
      <c r="D73" s="254"/>
      <c r="E73" s="254"/>
      <c r="F73" s="254"/>
      <c r="G73" s="386">
        <f>G72/G70</f>
        <v>1</v>
      </c>
      <c r="H73" s="386">
        <f t="shared" ref="H73:K73" si="42">100%+5%</f>
        <v>1.05</v>
      </c>
      <c r="I73" s="386">
        <f t="shared" si="42"/>
        <v>1.05</v>
      </c>
      <c r="J73" s="386">
        <f t="shared" si="42"/>
        <v>1.05</v>
      </c>
      <c r="K73" s="394">
        <f t="shared" si="42"/>
        <v>1.05</v>
      </c>
      <c r="L73" s="365"/>
      <c r="M73" s="254"/>
      <c r="N73" s="254"/>
      <c r="O73" s="254"/>
      <c r="P73" s="254"/>
      <c r="Q73" s="254"/>
      <c r="R73" s="254"/>
      <c r="S73" s="254"/>
      <c r="T73" s="254"/>
      <c r="U73" s="254"/>
      <c r="V73" s="254"/>
      <c r="W73" s="254"/>
      <c r="X73" s="254"/>
      <c r="Y73" s="254"/>
    </row>
    <row r="74" spans="1:25" ht="15.75" customHeight="1">
      <c r="A74" s="375" t="s">
        <v>326</v>
      </c>
      <c r="B74" s="367"/>
      <c r="C74" s="254"/>
      <c r="D74" s="254"/>
      <c r="E74" s="254"/>
      <c r="F74" s="254"/>
      <c r="G74" s="382">
        <f t="shared" ref="G74:K74" si="43">8.5*23060/100000</f>
        <v>1.9601</v>
      </c>
      <c r="H74" s="382">
        <f t="shared" si="43"/>
        <v>1.9601</v>
      </c>
      <c r="I74" s="382">
        <f t="shared" si="43"/>
        <v>1.9601</v>
      </c>
      <c r="J74" s="382">
        <f t="shared" si="43"/>
        <v>1.9601</v>
      </c>
      <c r="K74" s="393">
        <f t="shared" si="43"/>
        <v>1.9601</v>
      </c>
      <c r="L74" s="365"/>
      <c r="M74" s="254"/>
      <c r="N74" s="254"/>
      <c r="O74" s="254"/>
      <c r="P74" s="254"/>
      <c r="Q74" s="254"/>
      <c r="R74" s="254"/>
      <c r="S74" s="254"/>
      <c r="T74" s="254"/>
      <c r="U74" s="254"/>
      <c r="V74" s="254"/>
      <c r="W74" s="254"/>
      <c r="X74" s="254"/>
      <c r="Y74" s="254"/>
    </row>
    <row r="75" spans="1:25" ht="15.75" customHeight="1">
      <c r="A75" s="380" t="s">
        <v>327</v>
      </c>
      <c r="B75" s="367"/>
      <c r="C75" s="254"/>
      <c r="D75" s="254"/>
      <c r="E75" s="254"/>
      <c r="F75" s="254"/>
      <c r="G75" s="382">
        <f t="shared" ref="G75:K75" si="44">G72*G74</f>
        <v>47.695766666666664</v>
      </c>
      <c r="H75" s="382">
        <f t="shared" si="44"/>
        <v>300.48333000000002</v>
      </c>
      <c r="I75" s="382">
        <f t="shared" si="44"/>
        <v>300.48333000000002</v>
      </c>
      <c r="J75" s="382">
        <f t="shared" si="44"/>
        <v>300.48333000000002</v>
      </c>
      <c r="K75" s="393">
        <f t="shared" si="44"/>
        <v>300.48333000000002</v>
      </c>
      <c r="L75" s="365"/>
      <c r="M75" s="254"/>
      <c r="N75" s="254"/>
      <c r="O75" s="254"/>
      <c r="P75" s="254"/>
      <c r="Q75" s="254"/>
      <c r="R75" s="254"/>
      <c r="S75" s="254"/>
      <c r="T75" s="254"/>
      <c r="U75" s="254"/>
      <c r="V75" s="254"/>
      <c r="W75" s="254"/>
      <c r="X75" s="254"/>
      <c r="Y75" s="254"/>
    </row>
    <row r="76" spans="1:25" ht="15.75" customHeight="1">
      <c r="A76" s="370" t="s">
        <v>329</v>
      </c>
      <c r="B76" s="367"/>
      <c r="C76" s="254"/>
      <c r="D76" s="254"/>
      <c r="E76" s="254"/>
      <c r="F76" s="254"/>
      <c r="G76" s="386">
        <f>G75/T10</f>
        <v>0.3358856807511737</v>
      </c>
      <c r="H76" s="386">
        <f>H75/U10</f>
        <v>0.178222615658363</v>
      </c>
      <c r="I76" s="386">
        <f>I75/V10</f>
        <v>0.17633998239436621</v>
      </c>
      <c r="J76" s="386">
        <f>J75/W10</f>
        <v>0.17633998239436621</v>
      </c>
      <c r="K76" s="394">
        <f>K75/X10</f>
        <v>0.17633998239436621</v>
      </c>
      <c r="L76" s="365"/>
      <c r="M76" s="254"/>
      <c r="N76" s="254"/>
      <c r="O76" s="254"/>
      <c r="P76" s="254"/>
      <c r="Q76" s="254"/>
      <c r="R76" s="254"/>
      <c r="S76" s="254"/>
      <c r="T76" s="254"/>
      <c r="U76" s="254"/>
      <c r="V76" s="254"/>
      <c r="W76" s="254"/>
      <c r="X76" s="254"/>
      <c r="Y76" s="254"/>
    </row>
    <row r="77" spans="1:25" ht="15.75" customHeight="1">
      <c r="A77" s="383"/>
      <c r="B77" s="367"/>
      <c r="C77" s="254"/>
      <c r="D77" s="254"/>
      <c r="E77" s="254"/>
      <c r="F77" s="254"/>
      <c r="G77" s="382"/>
      <c r="H77" s="382"/>
      <c r="I77" s="382"/>
      <c r="J77" s="382"/>
      <c r="K77" s="393"/>
      <c r="L77" s="365"/>
      <c r="M77" s="254"/>
      <c r="N77" s="254"/>
      <c r="O77" s="254"/>
      <c r="P77" s="254"/>
      <c r="Q77" s="254"/>
      <c r="R77" s="254"/>
      <c r="S77" s="254"/>
      <c r="T77" s="254"/>
      <c r="U77" s="254"/>
      <c r="V77" s="254"/>
      <c r="W77" s="254"/>
      <c r="X77" s="254"/>
      <c r="Y77" s="254"/>
    </row>
    <row r="78" spans="1:25" ht="15.75" customHeight="1">
      <c r="A78" s="384" t="s">
        <v>340</v>
      </c>
      <c r="B78" s="367"/>
      <c r="C78" s="254"/>
      <c r="D78" s="254"/>
      <c r="E78" s="254"/>
      <c r="F78" s="254"/>
      <c r="G78" s="382"/>
      <c r="H78" s="382"/>
      <c r="I78" s="382"/>
      <c r="J78" s="382"/>
      <c r="K78" s="393"/>
      <c r="L78" s="365"/>
      <c r="M78" s="254"/>
      <c r="N78" s="254"/>
      <c r="O78" s="254"/>
      <c r="P78" s="254"/>
      <c r="Q78" s="254"/>
      <c r="R78" s="254"/>
      <c r="S78" s="254"/>
      <c r="T78" s="254"/>
      <c r="U78" s="254"/>
      <c r="V78" s="254"/>
      <c r="W78" s="254"/>
      <c r="X78" s="254"/>
      <c r="Y78" s="254"/>
    </row>
    <row r="79" spans="1:25" ht="15.75" customHeight="1">
      <c r="A79" s="370" t="s">
        <v>319</v>
      </c>
      <c r="B79" s="367"/>
      <c r="C79" s="254"/>
      <c r="D79" s="254"/>
      <c r="E79" s="254"/>
      <c r="F79" s="254"/>
      <c r="G79" s="382">
        <f>154/6</f>
        <v>25.666666666666668</v>
      </c>
      <c r="H79" s="382">
        <v>154</v>
      </c>
      <c r="I79" s="382">
        <v>154</v>
      </c>
      <c r="J79" s="382">
        <v>154</v>
      </c>
      <c r="K79" s="393">
        <v>154</v>
      </c>
      <c r="L79" s="365"/>
      <c r="M79" s="254"/>
      <c r="N79" s="254"/>
      <c r="O79" s="254"/>
      <c r="P79" s="254"/>
      <c r="Q79" s="254"/>
      <c r="R79" s="254"/>
      <c r="S79" s="254"/>
      <c r="T79" s="254"/>
      <c r="U79" s="254"/>
      <c r="V79" s="254"/>
      <c r="W79" s="254"/>
      <c r="X79" s="254"/>
      <c r="Y79" s="254"/>
    </row>
    <row r="80" spans="1:25" ht="15.75" customHeight="1">
      <c r="A80" s="370" t="s">
        <v>321</v>
      </c>
      <c r="B80" s="367"/>
      <c r="C80" s="254"/>
      <c r="D80" s="254"/>
      <c r="E80" s="254"/>
      <c r="F80" s="254"/>
      <c r="G80" s="386">
        <f>G79/T11</f>
        <v>0.3888888888888889</v>
      </c>
      <c r="H80" s="386">
        <f>H79/U11</f>
        <v>0.19085388523980668</v>
      </c>
      <c r="I80" s="386">
        <f>I79/V11</f>
        <v>0.18904984041247239</v>
      </c>
      <c r="J80" s="386">
        <f>J79/W11</f>
        <v>0.18904984041247239</v>
      </c>
      <c r="K80" s="394">
        <f>K79/X11</f>
        <v>0.18904984041247239</v>
      </c>
      <c r="L80" s="365"/>
      <c r="M80" s="254"/>
      <c r="N80" s="254"/>
      <c r="O80" s="254"/>
      <c r="P80" s="254"/>
      <c r="Q80" s="254"/>
      <c r="R80" s="254"/>
      <c r="S80" s="254"/>
      <c r="T80" s="254"/>
      <c r="U80" s="254"/>
      <c r="V80" s="254"/>
      <c r="W80" s="254"/>
      <c r="X80" s="254"/>
      <c r="Y80" s="254"/>
    </row>
    <row r="81" spans="1:25" ht="15.75" customHeight="1">
      <c r="A81" s="375" t="s">
        <v>323</v>
      </c>
      <c r="B81" s="367"/>
      <c r="C81" s="254"/>
      <c r="D81" s="254"/>
      <c r="E81" s="254"/>
      <c r="F81" s="254"/>
      <c r="G81" s="382">
        <f>154/6</f>
        <v>25.666666666666668</v>
      </c>
      <c r="H81" s="382">
        <f t="shared" ref="H81:K81" si="45">H79*H82</f>
        <v>154</v>
      </c>
      <c r="I81" s="382">
        <f t="shared" si="45"/>
        <v>161.70000000000002</v>
      </c>
      <c r="J81" s="382">
        <f t="shared" si="45"/>
        <v>161.70000000000002</v>
      </c>
      <c r="K81" s="393">
        <f t="shared" si="45"/>
        <v>161.70000000000002</v>
      </c>
      <c r="L81" s="365"/>
      <c r="M81" s="254"/>
      <c r="N81" s="254"/>
      <c r="O81" s="254"/>
      <c r="P81" s="254"/>
      <c r="Q81" s="254"/>
      <c r="R81" s="254"/>
      <c r="S81" s="254"/>
      <c r="T81" s="254"/>
      <c r="U81" s="254"/>
      <c r="V81" s="254"/>
      <c r="W81" s="254"/>
      <c r="X81" s="254"/>
      <c r="Y81" s="254"/>
    </row>
    <row r="82" spans="1:25" ht="15.75" customHeight="1">
      <c r="A82" s="377" t="s">
        <v>325</v>
      </c>
      <c r="B82" s="367"/>
      <c r="C82" s="254"/>
      <c r="D82" s="254"/>
      <c r="E82" s="254"/>
      <c r="F82" s="254"/>
      <c r="G82" s="386">
        <f>G81/G79</f>
        <v>1</v>
      </c>
      <c r="H82" s="386">
        <f>G82</f>
        <v>1</v>
      </c>
      <c r="I82" s="386">
        <f>H82+5%</f>
        <v>1.05</v>
      </c>
      <c r="J82" s="386">
        <f t="shared" ref="J82:K82" si="46">I82</f>
        <v>1.05</v>
      </c>
      <c r="K82" s="394">
        <f t="shared" si="46"/>
        <v>1.05</v>
      </c>
      <c r="L82" s="365"/>
      <c r="M82" s="254"/>
      <c r="N82" s="254"/>
      <c r="O82" s="254"/>
      <c r="P82" s="254"/>
      <c r="Q82" s="254"/>
      <c r="R82" s="254"/>
      <c r="S82" s="254"/>
      <c r="T82" s="254"/>
      <c r="U82" s="254"/>
      <c r="V82" s="254"/>
      <c r="W82" s="254"/>
      <c r="X82" s="254"/>
      <c r="Y82" s="254"/>
    </row>
    <row r="83" spans="1:25" ht="15.75" customHeight="1">
      <c r="A83" s="375" t="s">
        <v>326</v>
      </c>
      <c r="B83" s="367"/>
      <c r="C83" s="254"/>
      <c r="D83" s="254"/>
      <c r="E83" s="254"/>
      <c r="F83" s="254"/>
      <c r="G83" s="382">
        <f t="shared" ref="G83:K83" si="47">9.8*23060/100000</f>
        <v>2.2598800000000003</v>
      </c>
      <c r="H83" s="382">
        <f t="shared" si="47"/>
        <v>2.2598800000000003</v>
      </c>
      <c r="I83" s="382">
        <f t="shared" si="47"/>
        <v>2.2598800000000003</v>
      </c>
      <c r="J83" s="382">
        <f t="shared" si="47"/>
        <v>2.2598800000000003</v>
      </c>
      <c r="K83" s="393">
        <f t="shared" si="47"/>
        <v>2.2598800000000003</v>
      </c>
      <c r="L83" s="365"/>
      <c r="M83" s="254"/>
      <c r="N83" s="254"/>
      <c r="O83" s="254"/>
      <c r="P83" s="254"/>
      <c r="Q83" s="254"/>
      <c r="R83" s="254"/>
      <c r="S83" s="254"/>
      <c r="T83" s="254"/>
      <c r="U83" s="254"/>
      <c r="V83" s="254"/>
      <c r="W83" s="254"/>
      <c r="X83" s="254"/>
      <c r="Y83" s="254"/>
    </row>
    <row r="84" spans="1:25" ht="15.75" customHeight="1">
      <c r="A84" s="380" t="s">
        <v>327</v>
      </c>
      <c r="B84" s="367"/>
      <c r="C84" s="254"/>
      <c r="D84" s="254"/>
      <c r="E84" s="254"/>
      <c r="F84" s="254"/>
      <c r="G84" s="395">
        <f t="shared" ref="G84:K84" si="48">G81*G83</f>
        <v>58.003586666666678</v>
      </c>
      <c r="H84" s="395">
        <f t="shared" si="48"/>
        <v>348.02152000000007</v>
      </c>
      <c r="I84" s="395">
        <f t="shared" si="48"/>
        <v>365.42259600000011</v>
      </c>
      <c r="J84" s="395">
        <f t="shared" si="48"/>
        <v>365.42259600000011</v>
      </c>
      <c r="K84" s="396">
        <f t="shared" si="48"/>
        <v>365.42259600000011</v>
      </c>
      <c r="L84" s="365"/>
      <c r="M84" s="254"/>
      <c r="N84" s="254"/>
      <c r="O84" s="254"/>
      <c r="P84" s="254"/>
      <c r="Q84" s="254"/>
      <c r="R84" s="254"/>
      <c r="S84" s="254"/>
      <c r="T84" s="254"/>
      <c r="U84" s="254"/>
      <c r="V84" s="254"/>
      <c r="W84" s="254"/>
      <c r="X84" s="254"/>
      <c r="Y84" s="254"/>
    </row>
    <row r="85" spans="1:25" ht="15.75" customHeight="1">
      <c r="A85" s="370" t="s">
        <v>329</v>
      </c>
      <c r="B85" s="367"/>
      <c r="C85" s="254"/>
      <c r="D85" s="254"/>
      <c r="E85" s="254"/>
      <c r="F85" s="254"/>
      <c r="G85" s="386">
        <f>G84/T10</f>
        <v>0.40847596244131462</v>
      </c>
      <c r="H85" s="386">
        <f>H84/U10</f>
        <v>0.20641845788849353</v>
      </c>
      <c r="I85" s="386">
        <f>I84/V10</f>
        <v>0.21444988028169021</v>
      </c>
      <c r="J85" s="386">
        <f>J84/W10</f>
        <v>0.21444988028169021</v>
      </c>
      <c r="K85" s="394">
        <f>K84/X10</f>
        <v>0.21444988028169021</v>
      </c>
      <c r="L85" s="365"/>
      <c r="M85" s="254"/>
      <c r="N85" s="254"/>
      <c r="O85" s="254"/>
      <c r="P85" s="254"/>
      <c r="Q85" s="254"/>
      <c r="R85" s="254"/>
      <c r="S85" s="254"/>
      <c r="T85" s="254"/>
      <c r="U85" s="254"/>
      <c r="V85" s="254"/>
      <c r="W85" s="254"/>
      <c r="X85" s="254"/>
      <c r="Y85" s="254"/>
    </row>
    <row r="86" spans="1:25" ht="15.75" customHeight="1">
      <c r="A86" s="397"/>
      <c r="B86" s="367"/>
      <c r="C86" s="254"/>
      <c r="D86" s="254"/>
      <c r="E86" s="254"/>
      <c r="F86" s="254"/>
      <c r="G86" s="386"/>
      <c r="H86" s="386"/>
      <c r="I86" s="386"/>
      <c r="J86" s="386"/>
      <c r="K86" s="394"/>
      <c r="L86" s="365"/>
      <c r="M86" s="254"/>
      <c r="N86" s="254"/>
      <c r="O86" s="254"/>
      <c r="P86" s="254"/>
      <c r="Q86" s="254"/>
      <c r="R86" s="254"/>
      <c r="S86" s="254"/>
      <c r="T86" s="254"/>
      <c r="U86" s="254"/>
      <c r="V86" s="254"/>
      <c r="W86" s="254"/>
      <c r="X86" s="254"/>
      <c r="Y86" s="254"/>
    </row>
    <row r="87" spans="1:25" ht="15.75" customHeight="1">
      <c r="A87" s="398" t="s">
        <v>341</v>
      </c>
      <c r="B87" s="367"/>
      <c r="C87" s="254"/>
      <c r="D87" s="254"/>
      <c r="E87" s="254"/>
      <c r="F87" s="254"/>
      <c r="G87" s="386"/>
      <c r="H87" s="386"/>
      <c r="I87" s="386"/>
      <c r="J87" s="386"/>
      <c r="K87" s="394"/>
      <c r="L87" s="365"/>
      <c r="M87" s="254"/>
      <c r="N87" s="254"/>
      <c r="O87" s="254"/>
      <c r="P87" s="254"/>
      <c r="Q87" s="254"/>
      <c r="R87" s="254"/>
      <c r="S87" s="254"/>
      <c r="T87" s="254"/>
      <c r="U87" s="254"/>
      <c r="V87" s="254"/>
      <c r="W87" s="254"/>
      <c r="X87" s="254"/>
      <c r="Y87" s="254"/>
    </row>
    <row r="88" spans="1:25" ht="15.75" customHeight="1">
      <c r="A88" s="370" t="s">
        <v>319</v>
      </c>
      <c r="B88" s="367"/>
      <c r="C88" s="254"/>
      <c r="D88" s="254"/>
      <c r="E88" s="254"/>
      <c r="F88" s="254"/>
      <c r="G88" s="386"/>
      <c r="H88" s="254">
        <v>307.60000000000002</v>
      </c>
      <c r="I88" s="254">
        <v>307.60000000000002</v>
      </c>
      <c r="J88" s="254">
        <v>307.60000000000002</v>
      </c>
      <c r="K88" s="368">
        <v>307.60000000000002</v>
      </c>
      <c r="L88" s="365"/>
      <c r="M88" s="254"/>
      <c r="N88" s="254"/>
      <c r="O88" s="254"/>
      <c r="P88" s="254"/>
      <c r="Q88" s="254"/>
      <c r="R88" s="254"/>
      <c r="S88" s="254"/>
      <c r="T88" s="254"/>
      <c r="U88" s="254"/>
      <c r="V88" s="254"/>
      <c r="W88" s="254"/>
      <c r="X88" s="254"/>
      <c r="Y88" s="254"/>
    </row>
    <row r="89" spans="1:25" ht="15.75" customHeight="1">
      <c r="A89" s="370" t="s">
        <v>321</v>
      </c>
      <c r="B89" s="367"/>
      <c r="C89" s="254"/>
      <c r="D89" s="254"/>
      <c r="E89" s="254"/>
      <c r="F89" s="254"/>
      <c r="G89" s="386"/>
      <c r="H89" s="386"/>
      <c r="I89" s="386"/>
      <c r="J89" s="386"/>
      <c r="K89" s="394"/>
      <c r="L89" s="365"/>
      <c r="M89" s="254"/>
      <c r="N89" s="254"/>
      <c r="O89" s="254"/>
      <c r="P89" s="254"/>
      <c r="Q89" s="254"/>
      <c r="R89" s="254"/>
      <c r="S89" s="254"/>
      <c r="T89" s="254"/>
      <c r="U89" s="254"/>
      <c r="V89" s="254"/>
      <c r="W89" s="254"/>
      <c r="X89" s="254"/>
      <c r="Y89" s="254"/>
    </row>
    <row r="90" spans="1:25" ht="15.75" customHeight="1">
      <c r="A90" s="375" t="s">
        <v>323</v>
      </c>
      <c r="B90" s="367"/>
      <c r="C90" s="254"/>
      <c r="D90" s="254"/>
      <c r="E90" s="254"/>
      <c r="F90" s="254"/>
      <c r="G90" s="386"/>
      <c r="H90" s="254">
        <f t="shared" ref="H90:K90" si="49">307.6</f>
        <v>307.60000000000002</v>
      </c>
      <c r="I90" s="254">
        <f t="shared" si="49"/>
        <v>307.60000000000002</v>
      </c>
      <c r="J90" s="254">
        <f t="shared" si="49"/>
        <v>307.60000000000002</v>
      </c>
      <c r="K90" s="368">
        <f t="shared" si="49"/>
        <v>307.60000000000002</v>
      </c>
      <c r="L90" s="365"/>
      <c r="M90" s="254"/>
      <c r="N90" s="254"/>
      <c r="O90" s="254"/>
      <c r="P90" s="254"/>
      <c r="Q90" s="254"/>
      <c r="R90" s="254"/>
      <c r="S90" s="254"/>
      <c r="T90" s="254"/>
      <c r="U90" s="254"/>
      <c r="V90" s="254"/>
      <c r="W90" s="254"/>
      <c r="X90" s="254"/>
      <c r="Y90" s="254"/>
    </row>
    <row r="91" spans="1:25" ht="15.75" customHeight="1">
      <c r="A91" s="377" t="s">
        <v>325</v>
      </c>
      <c r="B91" s="367"/>
      <c r="C91" s="254"/>
      <c r="D91" s="254"/>
      <c r="E91" s="254"/>
      <c r="F91" s="254"/>
      <c r="G91" s="386"/>
      <c r="H91" s="386">
        <f t="shared" ref="H91:K91" si="50">H90/H88</f>
        <v>1</v>
      </c>
      <c r="I91" s="386">
        <f t="shared" si="50"/>
        <v>1</v>
      </c>
      <c r="J91" s="386">
        <f t="shared" si="50"/>
        <v>1</v>
      </c>
      <c r="K91" s="394">
        <f t="shared" si="50"/>
        <v>1</v>
      </c>
      <c r="L91" s="365"/>
      <c r="M91" s="254"/>
      <c r="N91" s="254"/>
      <c r="O91" s="254"/>
      <c r="P91" s="254"/>
      <c r="Q91" s="254"/>
      <c r="R91" s="254"/>
      <c r="S91" s="254"/>
      <c r="T91" s="254"/>
      <c r="U91" s="254"/>
      <c r="V91" s="254"/>
      <c r="W91" s="254"/>
      <c r="X91" s="254"/>
      <c r="Y91" s="254"/>
    </row>
    <row r="92" spans="1:25" ht="15.75" customHeight="1">
      <c r="A92" s="375" t="s">
        <v>326</v>
      </c>
      <c r="B92" s="367"/>
      <c r="C92" s="254"/>
      <c r="D92" s="254"/>
      <c r="E92" s="254"/>
      <c r="F92" s="254"/>
      <c r="G92" s="386"/>
      <c r="H92" s="376">
        <f>$H$83*0.9</f>
        <v>2.0338920000000003</v>
      </c>
      <c r="I92" s="376">
        <f t="shared" ref="I92:K92" si="51">I83*0.9</f>
        <v>2.0338920000000003</v>
      </c>
      <c r="J92" s="376">
        <f t="shared" si="51"/>
        <v>2.0338920000000003</v>
      </c>
      <c r="K92" s="399">
        <f t="shared" si="51"/>
        <v>2.0338920000000003</v>
      </c>
      <c r="L92" s="365"/>
      <c r="M92" s="254"/>
      <c r="N92" s="254"/>
      <c r="O92" s="254"/>
      <c r="P92" s="254"/>
      <c r="Q92" s="254"/>
      <c r="R92" s="254"/>
      <c r="S92" s="254"/>
      <c r="T92" s="254"/>
      <c r="U92" s="254"/>
      <c r="V92" s="254"/>
      <c r="W92" s="254"/>
      <c r="X92" s="254"/>
      <c r="Y92" s="254"/>
    </row>
    <row r="93" spans="1:25" ht="15.75" customHeight="1">
      <c r="A93" s="380" t="s">
        <v>327</v>
      </c>
      <c r="B93" s="367"/>
      <c r="C93" s="254"/>
      <c r="D93" s="254"/>
      <c r="E93" s="254"/>
      <c r="F93" s="254"/>
      <c r="G93" s="386"/>
      <c r="H93" s="376">
        <f t="shared" ref="H93:K93" si="52">H90*H92</f>
        <v>625.62517920000016</v>
      </c>
      <c r="I93" s="376">
        <f t="shared" si="52"/>
        <v>625.62517920000016</v>
      </c>
      <c r="J93" s="376">
        <f t="shared" si="52"/>
        <v>625.62517920000016</v>
      </c>
      <c r="K93" s="399">
        <f t="shared" si="52"/>
        <v>625.62517920000016</v>
      </c>
      <c r="L93" s="365"/>
      <c r="M93" s="254"/>
      <c r="N93" s="254"/>
      <c r="O93" s="254"/>
      <c r="P93" s="254"/>
      <c r="Q93" s="254"/>
      <c r="R93" s="254"/>
      <c r="S93" s="254"/>
      <c r="T93" s="254"/>
      <c r="U93" s="254"/>
      <c r="V93" s="254"/>
      <c r="W93" s="254"/>
      <c r="X93" s="254"/>
      <c r="Y93" s="254"/>
    </row>
    <row r="94" spans="1:25" ht="15.75" customHeight="1">
      <c r="A94" s="370" t="s">
        <v>329</v>
      </c>
      <c r="B94" s="367"/>
      <c r="C94" s="254"/>
      <c r="D94" s="254"/>
      <c r="E94" s="254"/>
      <c r="F94" s="254"/>
      <c r="G94" s="386"/>
      <c r="H94" s="386">
        <f>H93/U10</f>
        <v>0.37107068754448408</v>
      </c>
      <c r="I94" s="386">
        <f>I93/V10</f>
        <v>0.36715092676056349</v>
      </c>
      <c r="J94" s="386">
        <f>J93/W10</f>
        <v>0.36715092676056349</v>
      </c>
      <c r="K94" s="394">
        <f>K93/X10</f>
        <v>0.36715092676056349</v>
      </c>
      <c r="L94" s="365"/>
      <c r="M94" s="254"/>
      <c r="N94" s="254"/>
      <c r="O94" s="254"/>
      <c r="P94" s="254"/>
      <c r="Q94" s="254"/>
      <c r="R94" s="254"/>
      <c r="S94" s="254"/>
      <c r="T94" s="254"/>
      <c r="U94" s="254"/>
      <c r="V94" s="254"/>
      <c r="W94" s="254"/>
      <c r="X94" s="254"/>
      <c r="Y94" s="254"/>
    </row>
    <row r="95" spans="1:25" ht="15.75" customHeight="1">
      <c r="A95" s="397"/>
      <c r="B95" s="367"/>
      <c r="C95" s="254"/>
      <c r="D95" s="254"/>
      <c r="E95" s="254"/>
      <c r="F95" s="254"/>
      <c r="G95" s="386"/>
      <c r="H95" s="386"/>
      <c r="I95" s="386"/>
      <c r="J95" s="386"/>
      <c r="K95" s="394"/>
      <c r="L95" s="365"/>
      <c r="M95" s="254"/>
      <c r="N95" s="254"/>
      <c r="O95" s="254"/>
      <c r="P95" s="254"/>
      <c r="Q95" s="254"/>
      <c r="R95" s="254"/>
      <c r="S95" s="254"/>
      <c r="T95" s="254"/>
      <c r="U95" s="254"/>
      <c r="V95" s="254"/>
      <c r="W95" s="254"/>
      <c r="X95" s="254"/>
      <c r="Y95" s="254"/>
    </row>
    <row r="96" spans="1:25" ht="15.75" customHeight="1">
      <c r="A96" s="398" t="s">
        <v>342</v>
      </c>
      <c r="B96" s="367"/>
      <c r="C96" s="254"/>
      <c r="D96" s="254"/>
      <c r="E96" s="254"/>
      <c r="F96" s="254"/>
      <c r="G96" s="386"/>
      <c r="H96" s="386"/>
      <c r="I96" s="386"/>
      <c r="J96" s="386"/>
      <c r="K96" s="394"/>
      <c r="L96" s="365"/>
      <c r="M96" s="254"/>
      <c r="N96" s="254"/>
      <c r="O96" s="254"/>
      <c r="P96" s="254"/>
      <c r="Q96" s="254"/>
      <c r="R96" s="254"/>
      <c r="S96" s="254"/>
      <c r="T96" s="254"/>
      <c r="U96" s="254"/>
      <c r="V96" s="254"/>
      <c r="W96" s="254"/>
      <c r="X96" s="254"/>
      <c r="Y96" s="254"/>
    </row>
    <row r="97" spans="1:25" ht="15.75" customHeight="1">
      <c r="A97" s="370" t="s">
        <v>319</v>
      </c>
      <c r="B97" s="367"/>
      <c r="C97" s="254"/>
      <c r="D97" s="254"/>
      <c r="E97" s="254"/>
      <c r="F97" s="254"/>
      <c r="G97" s="386"/>
      <c r="H97" s="254">
        <v>96</v>
      </c>
      <c r="I97" s="254">
        <v>96</v>
      </c>
      <c r="J97" s="254">
        <v>96</v>
      </c>
      <c r="K97" s="368">
        <v>96</v>
      </c>
      <c r="L97" s="365"/>
      <c r="M97" s="254"/>
      <c r="N97" s="254"/>
      <c r="O97" s="254"/>
      <c r="P97" s="254"/>
      <c r="Q97" s="254"/>
      <c r="R97" s="254"/>
      <c r="S97" s="254"/>
      <c r="T97" s="254"/>
      <c r="U97" s="254"/>
      <c r="V97" s="254"/>
      <c r="W97" s="254"/>
      <c r="X97" s="254"/>
      <c r="Y97" s="254"/>
    </row>
    <row r="98" spans="1:25" ht="15.75" customHeight="1">
      <c r="A98" s="370" t="s">
        <v>321</v>
      </c>
      <c r="B98" s="367"/>
      <c r="C98" s="254"/>
      <c r="D98" s="254"/>
      <c r="E98" s="254"/>
      <c r="F98" s="254"/>
      <c r="G98" s="386"/>
      <c r="H98" s="254">
        <v>1</v>
      </c>
      <c r="I98" s="254">
        <v>1</v>
      </c>
      <c r="J98" s="254">
        <v>1</v>
      </c>
      <c r="K98" s="368">
        <v>1</v>
      </c>
      <c r="L98" s="365"/>
      <c r="M98" s="254"/>
      <c r="N98" s="254"/>
      <c r="O98" s="254"/>
      <c r="P98" s="254"/>
      <c r="Q98" s="254"/>
      <c r="R98" s="254"/>
      <c r="S98" s="254"/>
      <c r="T98" s="254"/>
      <c r="U98" s="254"/>
      <c r="V98" s="254"/>
      <c r="W98" s="254"/>
      <c r="X98" s="254"/>
      <c r="Y98" s="254"/>
    </row>
    <row r="99" spans="1:25" ht="15.75" customHeight="1">
      <c r="A99" s="375" t="s">
        <v>323</v>
      </c>
      <c r="B99" s="367"/>
      <c r="C99" s="254"/>
      <c r="D99" s="254"/>
      <c r="E99" s="254"/>
      <c r="F99" s="254"/>
      <c r="G99" s="386"/>
      <c r="H99" s="254">
        <v>96</v>
      </c>
      <c r="I99" s="254">
        <v>96</v>
      </c>
      <c r="J99" s="254">
        <v>96</v>
      </c>
      <c r="K99" s="368">
        <v>96</v>
      </c>
      <c r="L99" s="365"/>
      <c r="M99" s="254"/>
      <c r="N99" s="254"/>
      <c r="O99" s="254"/>
      <c r="P99" s="254"/>
      <c r="Q99" s="254"/>
      <c r="R99" s="254"/>
      <c r="S99" s="254"/>
      <c r="T99" s="254"/>
      <c r="U99" s="254"/>
      <c r="V99" s="254"/>
      <c r="W99" s="254"/>
      <c r="X99" s="254"/>
      <c r="Y99" s="254"/>
    </row>
    <row r="100" spans="1:25" ht="15.75" customHeight="1">
      <c r="A100" s="377" t="s">
        <v>325</v>
      </c>
      <c r="B100" s="367"/>
      <c r="C100" s="254"/>
      <c r="D100" s="254"/>
      <c r="E100" s="254"/>
      <c r="F100" s="254"/>
      <c r="G100" s="386"/>
      <c r="H100" s="386">
        <f t="shared" ref="H100:K100" si="53">H99/H97</f>
        <v>1</v>
      </c>
      <c r="I100" s="386">
        <f t="shared" si="53"/>
        <v>1</v>
      </c>
      <c r="J100" s="386">
        <f t="shared" si="53"/>
        <v>1</v>
      </c>
      <c r="K100" s="394">
        <f t="shared" si="53"/>
        <v>1</v>
      </c>
      <c r="L100" s="365"/>
      <c r="M100" s="254"/>
      <c r="N100" s="254"/>
      <c r="O100" s="254"/>
      <c r="P100" s="254"/>
      <c r="Q100" s="254"/>
      <c r="R100" s="254"/>
      <c r="S100" s="254"/>
      <c r="T100" s="254"/>
      <c r="U100" s="254"/>
      <c r="V100" s="254"/>
      <c r="W100" s="254"/>
      <c r="X100" s="254"/>
      <c r="Y100" s="254"/>
    </row>
    <row r="101" spans="1:25" ht="15.75" customHeight="1">
      <c r="A101" s="375" t="s">
        <v>326</v>
      </c>
      <c r="B101" s="367"/>
      <c r="C101" s="254"/>
      <c r="D101" s="254"/>
      <c r="E101" s="254"/>
      <c r="F101" s="254"/>
      <c r="G101" s="386"/>
      <c r="H101" s="378">
        <f t="shared" ref="H101:K101" si="54">$H$83*0.9</f>
        <v>2.0338920000000003</v>
      </c>
      <c r="I101" s="378">
        <f t="shared" si="54"/>
        <v>2.0338920000000003</v>
      </c>
      <c r="J101" s="378">
        <f t="shared" si="54"/>
        <v>2.0338920000000003</v>
      </c>
      <c r="K101" s="379">
        <f t="shared" si="54"/>
        <v>2.0338920000000003</v>
      </c>
      <c r="L101" s="365"/>
      <c r="M101" s="254"/>
      <c r="N101" s="254"/>
      <c r="O101" s="254"/>
      <c r="P101" s="254"/>
      <c r="Q101" s="254"/>
      <c r="R101" s="254"/>
      <c r="S101" s="254"/>
      <c r="T101" s="254"/>
      <c r="U101" s="254"/>
      <c r="V101" s="254"/>
      <c r="W101" s="254"/>
      <c r="X101" s="254"/>
      <c r="Y101" s="254"/>
    </row>
    <row r="102" spans="1:25" ht="15.75" customHeight="1">
      <c r="A102" s="380" t="s">
        <v>327</v>
      </c>
      <c r="B102" s="367"/>
      <c r="C102" s="254"/>
      <c r="D102" s="254"/>
      <c r="E102" s="254"/>
      <c r="F102" s="254"/>
      <c r="G102" s="386"/>
      <c r="H102" s="376">
        <f t="shared" ref="H102:K102" si="55">H99*H101</f>
        <v>195.25363200000004</v>
      </c>
      <c r="I102" s="376">
        <f t="shared" si="55"/>
        <v>195.25363200000004</v>
      </c>
      <c r="J102" s="376">
        <f t="shared" si="55"/>
        <v>195.25363200000004</v>
      </c>
      <c r="K102" s="399">
        <f t="shared" si="55"/>
        <v>195.25363200000004</v>
      </c>
      <c r="L102" s="365"/>
      <c r="M102" s="254"/>
      <c r="N102" s="254"/>
      <c r="O102" s="254"/>
      <c r="P102" s="254"/>
      <c r="Q102" s="254"/>
      <c r="R102" s="254"/>
      <c r="S102" s="254"/>
      <c r="T102" s="254"/>
      <c r="U102" s="254"/>
      <c r="V102" s="254"/>
      <c r="W102" s="254"/>
      <c r="X102" s="254"/>
      <c r="Y102" s="254"/>
    </row>
    <row r="103" spans="1:25" ht="15.75" customHeight="1">
      <c r="A103" s="370" t="s">
        <v>329</v>
      </c>
      <c r="B103" s="367"/>
      <c r="C103" s="254"/>
      <c r="D103" s="254"/>
      <c r="E103" s="254"/>
      <c r="F103" s="254"/>
      <c r="G103" s="254"/>
      <c r="H103" s="386">
        <f>H102/U10</f>
        <v>0.11580879715302493</v>
      </c>
      <c r="I103" s="386">
        <f>I102/V10</f>
        <v>0.11458546478873241</v>
      </c>
      <c r="J103" s="386">
        <f>J102/W10</f>
        <v>0.11458546478873241</v>
      </c>
      <c r="K103" s="394">
        <f>K102/X10</f>
        <v>0.11458546478873241</v>
      </c>
      <c r="L103" s="365"/>
      <c r="M103" s="254"/>
      <c r="N103" s="254"/>
      <c r="O103" s="254"/>
      <c r="P103" s="254"/>
      <c r="Q103" s="254"/>
      <c r="R103" s="254"/>
      <c r="S103" s="254"/>
      <c r="T103" s="254"/>
      <c r="U103" s="254"/>
      <c r="V103" s="254"/>
      <c r="W103" s="254"/>
      <c r="X103" s="254"/>
      <c r="Y103" s="254"/>
    </row>
    <row r="104" spans="1:25" ht="15.75" customHeight="1">
      <c r="A104" s="391"/>
      <c r="B104" s="367"/>
      <c r="C104" s="254"/>
      <c r="D104" s="245"/>
      <c r="E104" s="254"/>
      <c r="F104" s="254"/>
      <c r="G104" s="254"/>
      <c r="H104" s="254"/>
      <c r="I104" s="254"/>
      <c r="J104" s="254"/>
      <c r="K104" s="368"/>
      <c r="L104" s="365"/>
      <c r="M104" s="254"/>
      <c r="N104" s="254"/>
      <c r="O104" s="254"/>
      <c r="P104" s="254"/>
      <c r="Q104" s="254"/>
      <c r="R104" s="254"/>
      <c r="S104" s="254"/>
      <c r="T104" s="254"/>
      <c r="U104" s="254"/>
      <c r="V104" s="254"/>
      <c r="W104" s="254"/>
      <c r="X104" s="254"/>
      <c r="Y104" s="254"/>
    </row>
    <row r="105" spans="1:25" ht="15.75" customHeight="1">
      <c r="A105" s="366" t="s">
        <v>343</v>
      </c>
      <c r="B105" s="367"/>
      <c r="C105" s="383"/>
      <c r="D105" s="400"/>
      <c r="E105" s="365"/>
      <c r="F105" s="254"/>
      <c r="G105" s="254"/>
      <c r="H105" s="254"/>
      <c r="I105" s="254"/>
      <c r="J105" s="254"/>
      <c r="K105" s="368"/>
      <c r="L105" s="365"/>
      <c r="M105" s="254"/>
      <c r="N105" s="254"/>
      <c r="O105" s="254"/>
      <c r="P105" s="254"/>
      <c r="Q105" s="254"/>
      <c r="R105" s="254"/>
      <c r="S105" s="254"/>
      <c r="T105" s="254"/>
      <c r="U105" s="254"/>
      <c r="V105" s="254"/>
      <c r="W105" s="254"/>
      <c r="X105" s="254"/>
      <c r="Y105" s="254"/>
    </row>
    <row r="106" spans="1:25" ht="15.75" customHeight="1">
      <c r="A106" s="392" t="s">
        <v>344</v>
      </c>
      <c r="B106" s="401"/>
      <c r="C106" s="371">
        <f t="shared" ref="C106:K106" si="56">7+20+4+9+8+57+37+31+67+51+21+37+18</f>
        <v>367</v>
      </c>
      <c r="D106" s="402">
        <f t="shared" si="56"/>
        <v>367</v>
      </c>
      <c r="E106" s="371">
        <f t="shared" si="56"/>
        <v>367</v>
      </c>
      <c r="F106" s="371">
        <f t="shared" si="56"/>
        <v>367</v>
      </c>
      <c r="G106" s="371">
        <f t="shared" si="56"/>
        <v>367</v>
      </c>
      <c r="H106" s="371">
        <f t="shared" si="56"/>
        <v>367</v>
      </c>
      <c r="I106" s="371">
        <f t="shared" si="56"/>
        <v>367</v>
      </c>
      <c r="J106" s="371">
        <f t="shared" si="56"/>
        <v>367</v>
      </c>
      <c r="K106" s="381">
        <f t="shared" si="56"/>
        <v>367</v>
      </c>
      <c r="L106" s="365"/>
      <c r="M106" s="254"/>
      <c r="N106" s="254"/>
      <c r="O106" s="254"/>
      <c r="P106" s="254"/>
      <c r="Q106" s="254"/>
      <c r="R106" s="254"/>
      <c r="S106" s="254"/>
      <c r="T106" s="254"/>
      <c r="U106" s="254"/>
      <c r="V106" s="254"/>
      <c r="W106" s="254"/>
      <c r="X106" s="254"/>
      <c r="Y106" s="254"/>
    </row>
    <row r="107" spans="1:25" ht="15.75" customHeight="1">
      <c r="A107" s="375" t="s">
        <v>324</v>
      </c>
      <c r="B107" s="367"/>
      <c r="C107" s="254">
        <v>426</v>
      </c>
      <c r="D107" s="254">
        <v>363</v>
      </c>
      <c r="E107" s="254">
        <f>593-315</f>
        <v>278</v>
      </c>
      <c r="F107" s="254">
        <v>321</v>
      </c>
      <c r="G107" s="371">
        <f t="shared" ref="G107:K107" si="57">G106*G108</f>
        <v>330.3</v>
      </c>
      <c r="H107" s="371">
        <f t="shared" si="57"/>
        <v>293.60000000000002</v>
      </c>
      <c r="I107" s="371">
        <f t="shared" si="57"/>
        <v>282.59000000000003</v>
      </c>
      <c r="J107" s="371">
        <f t="shared" si="57"/>
        <v>282.59000000000003</v>
      </c>
      <c r="K107" s="381">
        <f t="shared" si="57"/>
        <v>282.59000000000003</v>
      </c>
      <c r="L107" s="365"/>
      <c r="M107" s="254"/>
      <c r="N107" s="254"/>
      <c r="O107" s="254"/>
      <c r="P107" s="254"/>
      <c r="Q107" s="254"/>
      <c r="R107" s="254"/>
      <c r="S107" s="254"/>
      <c r="T107" s="254"/>
      <c r="U107" s="254"/>
      <c r="V107" s="254"/>
      <c r="W107" s="254"/>
      <c r="X107" s="254"/>
      <c r="Y107" s="254"/>
    </row>
    <row r="108" spans="1:25" ht="15.75" customHeight="1">
      <c r="A108" s="377" t="s">
        <v>325</v>
      </c>
      <c r="B108" s="367"/>
      <c r="C108" s="372">
        <f t="shared" ref="C108:F108" si="58">C107/C106</f>
        <v>1.1607629427792916</v>
      </c>
      <c r="D108" s="372">
        <f t="shared" si="58"/>
        <v>0.98910081743869205</v>
      </c>
      <c r="E108" s="372">
        <f t="shared" si="58"/>
        <v>0.75749318801089915</v>
      </c>
      <c r="F108" s="372">
        <f t="shared" si="58"/>
        <v>0.87465940054495916</v>
      </c>
      <c r="G108" s="708">
        <f>90%</f>
        <v>0.9</v>
      </c>
      <c r="H108" s="708">
        <f>80%</f>
        <v>0.8</v>
      </c>
      <c r="I108" s="708">
        <f>H108-3%</f>
        <v>0.77</v>
      </c>
      <c r="J108" s="708">
        <f t="shared" ref="J108:K108" si="59">I108</f>
        <v>0.77</v>
      </c>
      <c r="K108" s="709">
        <f t="shared" si="59"/>
        <v>0.77</v>
      </c>
      <c r="L108" s="365"/>
      <c r="M108" s="254"/>
      <c r="N108" s="254"/>
      <c r="O108" s="254"/>
      <c r="P108" s="254"/>
      <c r="Q108" s="254"/>
      <c r="R108" s="254"/>
      <c r="S108" s="254"/>
      <c r="T108" s="254"/>
      <c r="U108" s="254"/>
      <c r="V108" s="254"/>
      <c r="W108" s="254"/>
      <c r="X108" s="254"/>
      <c r="Y108" s="254"/>
    </row>
    <row r="109" spans="1:25" ht="15.75" customHeight="1">
      <c r="A109" s="375" t="s">
        <v>326</v>
      </c>
      <c r="B109" s="367"/>
      <c r="C109" s="378">
        <f t="shared" ref="C109:F109" si="60">C110/C107</f>
        <v>1.136150234741784</v>
      </c>
      <c r="D109" s="378">
        <f t="shared" si="60"/>
        <v>1.2286501377410468</v>
      </c>
      <c r="E109" s="378">
        <f t="shared" si="60"/>
        <v>1.3669064748201438</v>
      </c>
      <c r="F109" s="378">
        <f t="shared" si="60"/>
        <v>1.233644859813084</v>
      </c>
      <c r="G109" s="378">
        <f>AVERAGE(D109:F109)</f>
        <v>1.2764004907914248</v>
      </c>
      <c r="H109" s="378">
        <f t="shared" ref="H109:K109" si="61">G109</f>
        <v>1.2764004907914248</v>
      </c>
      <c r="I109" s="378">
        <f t="shared" si="61"/>
        <v>1.2764004907914248</v>
      </c>
      <c r="J109" s="378">
        <f t="shared" si="61"/>
        <v>1.2764004907914248</v>
      </c>
      <c r="K109" s="379">
        <f t="shared" si="61"/>
        <v>1.2764004907914248</v>
      </c>
      <c r="L109" s="365"/>
      <c r="M109" s="254"/>
      <c r="N109" s="254"/>
      <c r="O109" s="254"/>
      <c r="P109" s="254"/>
      <c r="Q109" s="254"/>
      <c r="R109" s="254"/>
      <c r="S109" s="254"/>
      <c r="T109" s="254"/>
      <c r="U109" s="254"/>
      <c r="V109" s="254"/>
      <c r="W109" s="254"/>
      <c r="X109" s="254"/>
      <c r="Y109" s="254"/>
    </row>
    <row r="110" spans="1:25" ht="15.75" customHeight="1">
      <c r="A110" s="380" t="s">
        <v>327</v>
      </c>
      <c r="B110" s="367"/>
      <c r="C110" s="254">
        <v>484</v>
      </c>
      <c r="D110" s="254">
        <v>446</v>
      </c>
      <c r="E110" s="254">
        <v>380</v>
      </c>
      <c r="F110" s="254">
        <f>396</f>
        <v>396</v>
      </c>
      <c r="G110" s="371">
        <f t="shared" ref="G110:K110" si="62">G109*G107</f>
        <v>421.59508210840761</v>
      </c>
      <c r="H110" s="371">
        <f t="shared" si="62"/>
        <v>374.75118409636235</v>
      </c>
      <c r="I110" s="371">
        <f t="shared" si="62"/>
        <v>360.69801469274876</v>
      </c>
      <c r="J110" s="371">
        <f t="shared" si="62"/>
        <v>360.69801469274876</v>
      </c>
      <c r="K110" s="381">
        <f t="shared" si="62"/>
        <v>360.69801469274876</v>
      </c>
      <c r="L110" s="365"/>
      <c r="M110" s="254"/>
      <c r="N110" s="254"/>
      <c r="O110" s="254"/>
      <c r="P110" s="254"/>
      <c r="Q110" s="254"/>
      <c r="R110" s="254"/>
      <c r="S110" s="254"/>
      <c r="T110" s="254"/>
      <c r="U110" s="254"/>
      <c r="V110" s="254"/>
      <c r="W110" s="254"/>
      <c r="X110" s="254"/>
      <c r="Y110" s="254"/>
    </row>
    <row r="111" spans="1:25" ht="15.75" customHeight="1">
      <c r="A111" s="380"/>
      <c r="B111" s="367"/>
      <c r="C111" s="254"/>
      <c r="D111" s="254"/>
      <c r="E111" s="254"/>
      <c r="F111" s="254"/>
      <c r="G111" s="254"/>
      <c r="H111" s="254"/>
      <c r="I111" s="254"/>
      <c r="J111" s="254"/>
      <c r="K111" s="368"/>
      <c r="L111" s="365"/>
      <c r="M111" s="254"/>
      <c r="N111" s="254"/>
      <c r="O111" s="254"/>
      <c r="P111" s="254"/>
      <c r="Q111" s="254"/>
      <c r="R111" s="254"/>
      <c r="S111" s="254"/>
      <c r="T111" s="254"/>
      <c r="U111" s="254"/>
      <c r="V111" s="254"/>
      <c r="W111" s="254"/>
      <c r="X111" s="254"/>
      <c r="Y111" s="254"/>
    </row>
    <row r="112" spans="1:25" ht="15.75" customHeight="1">
      <c r="A112" s="403"/>
      <c r="B112" s="367"/>
      <c r="C112" s="254"/>
      <c r="D112" s="254"/>
      <c r="E112" s="254"/>
      <c r="F112" s="254"/>
      <c r="G112" s="254"/>
      <c r="H112" s="254"/>
      <c r="I112" s="254"/>
      <c r="J112" s="254"/>
      <c r="K112" s="368"/>
      <c r="L112" s="365"/>
      <c r="M112" s="254"/>
      <c r="N112" s="254"/>
      <c r="O112" s="254"/>
      <c r="P112" s="254"/>
      <c r="Q112" s="254"/>
      <c r="R112" s="254"/>
      <c r="S112" s="254"/>
      <c r="T112" s="254"/>
      <c r="U112" s="254"/>
      <c r="V112" s="254"/>
      <c r="W112" s="254"/>
      <c r="X112" s="254"/>
      <c r="Y112" s="254"/>
    </row>
    <row r="113" spans="1:25" ht="15.75" customHeight="1">
      <c r="A113" s="366" t="s">
        <v>345</v>
      </c>
      <c r="B113" s="367"/>
      <c r="C113" s="254"/>
      <c r="D113" s="254"/>
      <c r="E113" s="254"/>
      <c r="F113" s="254"/>
      <c r="G113" s="254"/>
      <c r="H113" s="254"/>
      <c r="I113" s="254"/>
      <c r="J113" s="254"/>
      <c r="K113" s="368"/>
      <c r="L113" s="365"/>
      <c r="M113" s="254"/>
      <c r="N113" s="254"/>
      <c r="O113" s="254"/>
      <c r="P113" s="254"/>
      <c r="Q113" s="254"/>
      <c r="R113" s="254"/>
      <c r="S113" s="254"/>
      <c r="T113" s="254"/>
      <c r="U113" s="254"/>
      <c r="V113" s="254"/>
      <c r="W113" s="254"/>
      <c r="X113" s="254"/>
      <c r="Y113" s="254"/>
    </row>
    <row r="114" spans="1:25" ht="15.75" customHeight="1">
      <c r="A114" s="404" t="s">
        <v>346</v>
      </c>
      <c r="B114" s="367">
        <v>75</v>
      </c>
      <c r="C114" s="254">
        <v>55</v>
      </c>
      <c r="D114" s="254">
        <v>76</v>
      </c>
      <c r="E114" s="254">
        <f>48+55</f>
        <v>103</v>
      </c>
      <c r="F114" s="254">
        <f>140+14+48</f>
        <v>202</v>
      </c>
      <c r="G114" s="254">
        <v>71</v>
      </c>
      <c r="H114" s="254">
        <f>162</f>
        <v>162</v>
      </c>
      <c r="I114" s="254">
        <v>166</v>
      </c>
      <c r="J114" s="254">
        <f>166</f>
        <v>166</v>
      </c>
      <c r="K114" s="368">
        <f>168</f>
        <v>168</v>
      </c>
      <c r="L114" s="365"/>
      <c r="M114" s="254"/>
      <c r="N114" s="254"/>
      <c r="O114" s="254"/>
      <c r="P114" s="254"/>
      <c r="Q114" s="254"/>
      <c r="R114" s="254"/>
      <c r="S114" s="254"/>
      <c r="T114" s="254"/>
      <c r="U114" s="254"/>
      <c r="V114" s="254"/>
      <c r="W114" s="254"/>
      <c r="X114" s="254"/>
      <c r="Y114" s="254"/>
    </row>
    <row r="115" spans="1:25" ht="15.75" customHeight="1">
      <c r="A115" s="375" t="s">
        <v>347</v>
      </c>
      <c r="B115" s="405">
        <f>B114/'INPUT-Y'!F123</f>
        <v>0.17385257301808069</v>
      </c>
      <c r="C115" s="372">
        <f>C114/'INPUT-Y'!G123</f>
        <v>0.10202188833240586</v>
      </c>
      <c r="D115" s="372">
        <f>D114/'INPUT-Y'!H123</f>
        <v>0.13583556747095621</v>
      </c>
      <c r="E115" s="372">
        <f>E114/'INPUT-Y'!I123</f>
        <v>8.8839054683456958E-2</v>
      </c>
      <c r="F115" s="372">
        <f>F114/'INPUT-Y'!J123</f>
        <v>0.13527087658206657</v>
      </c>
      <c r="G115" s="372">
        <v>0.05</v>
      </c>
      <c r="H115" s="372">
        <f>G115</f>
        <v>0.05</v>
      </c>
      <c r="I115" s="372">
        <f t="shared" ref="I115:K115" si="63">AVERAGE(G115:H115)</f>
        <v>0.05</v>
      </c>
      <c r="J115" s="372">
        <f t="shared" si="63"/>
        <v>0.05</v>
      </c>
      <c r="K115" s="373">
        <f t="shared" si="63"/>
        <v>0.05</v>
      </c>
      <c r="L115" s="365"/>
      <c r="M115" s="254"/>
      <c r="N115" s="254"/>
      <c r="O115" s="254"/>
      <c r="P115" s="254"/>
      <c r="Q115" s="254"/>
      <c r="R115" s="254"/>
      <c r="S115" s="254"/>
      <c r="T115" s="254"/>
      <c r="U115" s="254"/>
      <c r="V115" s="254"/>
      <c r="W115" s="254"/>
      <c r="X115" s="254"/>
      <c r="Y115" s="254"/>
    </row>
    <row r="116" spans="1:25" ht="15.75" customHeight="1">
      <c r="A116" s="375"/>
      <c r="B116" s="367"/>
      <c r="C116" s="254"/>
      <c r="D116" s="254"/>
      <c r="E116" s="254"/>
      <c r="F116" s="254"/>
      <c r="G116" s="254"/>
      <c r="H116" s="254"/>
      <c r="I116" s="254"/>
      <c r="J116" s="254"/>
      <c r="K116" s="368"/>
      <c r="L116" s="365"/>
      <c r="M116" s="254"/>
      <c r="N116" s="254"/>
      <c r="O116" s="254"/>
      <c r="P116" s="254"/>
      <c r="Q116" s="254"/>
      <c r="R116" s="254"/>
      <c r="S116" s="254"/>
      <c r="T116" s="254"/>
      <c r="U116" s="254"/>
      <c r="V116" s="254"/>
      <c r="W116" s="254"/>
      <c r="X116" s="254"/>
      <c r="Y116" s="254"/>
    </row>
    <row r="117" spans="1:25" ht="15.75" customHeight="1">
      <c r="A117" s="384" t="s">
        <v>348</v>
      </c>
      <c r="B117" s="406">
        <f t="shared" ref="B117:K117" si="64">SUM(B118:B122)</f>
        <v>263.90000000000003</v>
      </c>
      <c r="C117" s="130">
        <f t="shared" si="64"/>
        <v>293.3</v>
      </c>
      <c r="D117" s="130">
        <f t="shared" si="64"/>
        <v>311.8</v>
      </c>
      <c r="E117" s="130">
        <f t="shared" si="64"/>
        <v>509.7</v>
      </c>
      <c r="F117" s="130">
        <f t="shared" si="64"/>
        <v>732.7</v>
      </c>
      <c r="G117" s="407">
        <f t="shared" si="64"/>
        <v>628.86297765363111</v>
      </c>
      <c r="H117" s="407">
        <f t="shared" si="64"/>
        <v>1676.9804811586589</v>
      </c>
      <c r="I117" s="407">
        <f t="shared" si="64"/>
        <v>1700.3698771977652</v>
      </c>
      <c r="J117" s="407">
        <f t="shared" si="64"/>
        <v>1722.6179773072959</v>
      </c>
      <c r="K117" s="408">
        <f t="shared" si="64"/>
        <v>1745.957419344812</v>
      </c>
      <c r="L117" s="365"/>
      <c r="M117" s="254"/>
      <c r="N117" s="254"/>
      <c r="O117" s="254">
        <f t="shared" ref="O117:Q117" si="65">SUM(I118:I119,I121:I122)*V22+334</f>
        <v>334</v>
      </c>
      <c r="P117" s="254">
        <f t="shared" si="65"/>
        <v>334</v>
      </c>
      <c r="Q117" s="254">
        <f t="shared" si="65"/>
        <v>334</v>
      </c>
      <c r="R117" s="254">
        <f>SUM(L118:L119,L121:L122)*Y22+404</f>
        <v>404</v>
      </c>
      <c r="S117" s="254"/>
      <c r="T117" s="254"/>
      <c r="U117" s="254"/>
      <c r="V117" s="254"/>
      <c r="W117" s="254"/>
      <c r="X117" s="254"/>
      <c r="Y117" s="254"/>
    </row>
    <row r="118" spans="1:25" ht="15.75" customHeight="1">
      <c r="A118" s="409" t="s">
        <v>349</v>
      </c>
      <c r="B118" s="410">
        <v>63.7</v>
      </c>
      <c r="C118" s="411">
        <v>63.6</v>
      </c>
      <c r="D118" s="411">
        <v>58.1</v>
      </c>
      <c r="E118" s="411">
        <v>64.400000000000006</v>
      </c>
      <c r="F118" s="411">
        <v>76.400000000000006</v>
      </c>
      <c r="G118" s="412">
        <f>G124*SUM(T7,T12,T16) /1000</f>
        <v>81.791748603351962</v>
      </c>
      <c r="H118" s="412">
        <f>H124*SUM(U7,U12,U16) /1000</f>
        <v>169.73155928715084</v>
      </c>
      <c r="I118" s="412">
        <f>I124*SUM(V7,V12,V16) /1000</f>
        <v>177.26946071731845</v>
      </c>
      <c r="J118" s="412">
        <f>J124*SUM(W7,W12,W16) /1000</f>
        <v>180.58385044277099</v>
      </c>
      <c r="K118" s="413">
        <f>K124*SUM(X7,X12,X16) /1000</f>
        <v>183.95990797295468</v>
      </c>
      <c r="L118" s="365"/>
      <c r="M118" s="254"/>
      <c r="N118" s="254"/>
      <c r="O118" s="254"/>
      <c r="P118" s="254"/>
      <c r="Q118" s="254"/>
      <c r="R118" s="254"/>
      <c r="S118" s="254"/>
      <c r="T118" s="254"/>
      <c r="U118" s="254"/>
      <c r="V118" s="254"/>
      <c r="W118" s="254"/>
      <c r="X118" s="254"/>
      <c r="Y118" s="254"/>
    </row>
    <row r="119" spans="1:25" ht="15.75" customHeight="1">
      <c r="A119" s="409" t="s">
        <v>350</v>
      </c>
      <c r="B119" s="410">
        <v>62.1</v>
      </c>
      <c r="C119" s="411">
        <v>70.7</v>
      </c>
      <c r="D119" s="411">
        <v>77.8</v>
      </c>
      <c r="E119" s="411">
        <v>4.5</v>
      </c>
      <c r="F119" s="411">
        <v>123.8</v>
      </c>
      <c r="G119" s="412">
        <f>G126*SUM(T7,T12,T16) /1000</f>
        <v>7.5149999999999997</v>
      </c>
      <c r="H119" s="412">
        <f>H126*SUM(U7,U12,U16) /1000</f>
        <v>152.89099999999999</v>
      </c>
      <c r="I119" s="412">
        <f>I126*SUM(V7,V12,V16) /1000</f>
        <v>140.89500000000001</v>
      </c>
      <c r="J119" s="412">
        <f>J126*SUM(W7,W12,W16) /1000</f>
        <v>140.715</v>
      </c>
      <c r="K119" s="413">
        <f>K126*SUM(X7,X12,X16) /1000</f>
        <v>140.535</v>
      </c>
      <c r="L119" s="365"/>
      <c r="M119" s="254"/>
      <c r="N119" s="254"/>
      <c r="O119" s="254"/>
      <c r="P119" s="254"/>
      <c r="Q119" s="254"/>
      <c r="R119" s="254"/>
      <c r="S119" s="254"/>
      <c r="T119" s="254"/>
      <c r="U119" s="254"/>
      <c r="V119" s="254"/>
      <c r="W119" s="254"/>
      <c r="X119" s="254"/>
      <c r="Y119" s="254"/>
    </row>
    <row r="120" spans="1:25" ht="15.75" customHeight="1">
      <c r="A120" s="409" t="s">
        <v>351</v>
      </c>
      <c r="B120" s="410">
        <v>79.8</v>
      </c>
      <c r="C120" s="411">
        <v>79.5</v>
      </c>
      <c r="D120" s="411">
        <v>95</v>
      </c>
      <c r="E120" s="411">
        <v>283.10000000000002</v>
      </c>
      <c r="F120" s="411">
        <v>352</v>
      </c>
      <c r="G120" s="412">
        <f>-'PP&amp;E'!G7</f>
        <v>349.74999999999989</v>
      </c>
      <c r="H120" s="412">
        <f>-'PP&amp;E'!H7</f>
        <v>968.99999999999989</v>
      </c>
      <c r="I120" s="412">
        <f>-'PP&amp;E'!I7</f>
        <v>968.99999999999989</v>
      </c>
      <c r="J120" s="412">
        <f>-'PP&amp;E'!J7</f>
        <v>968.99999999999989</v>
      </c>
      <c r="K120" s="413">
        <f>-'PP&amp;E'!K7</f>
        <v>968.99999999999989</v>
      </c>
      <c r="L120" s="365"/>
      <c r="M120" s="254"/>
      <c r="N120" s="254"/>
      <c r="O120" s="254"/>
      <c r="P120" s="254"/>
      <c r="Q120" s="254"/>
      <c r="R120" s="254"/>
      <c r="S120" s="254"/>
      <c r="T120" s="254"/>
      <c r="U120" s="254"/>
      <c r="V120" s="254"/>
      <c r="W120" s="254"/>
      <c r="X120" s="254"/>
      <c r="Y120" s="254"/>
    </row>
    <row r="121" spans="1:25" ht="15.75" customHeight="1">
      <c r="A121" s="414" t="s">
        <v>352</v>
      </c>
      <c r="B121" s="410">
        <v>15.1</v>
      </c>
      <c r="C121" s="411">
        <v>17.399999999999999</v>
      </c>
      <c r="D121" s="411">
        <v>26.2</v>
      </c>
      <c r="E121" s="411">
        <v>51.7</v>
      </c>
      <c r="F121" s="411">
        <v>3.4</v>
      </c>
      <c r="G121" s="412">
        <f>G127*SUM(T7,T12,T16) /1000</f>
        <v>3.9254329608938554</v>
      </c>
      <c r="H121" s="412">
        <f>H127*SUM(U7,U12,U16) /1000</f>
        <v>7.1875852793296096</v>
      </c>
      <c r="I121" s="412">
        <f>I127*SUM(V7,V12,V16) /1000</f>
        <v>6.6236392458100575</v>
      </c>
      <c r="J121" s="412">
        <f>J127*SUM(W7,W12,W16) /1000</f>
        <v>5.9536595111731856</v>
      </c>
      <c r="K121" s="413">
        <f>K127*SUM(X7,X12,X16) /1000</f>
        <v>5.3514393310055883</v>
      </c>
      <c r="L121" s="365"/>
      <c r="M121" s="254"/>
      <c r="N121" s="254"/>
      <c r="O121" s="254"/>
      <c r="P121" s="254"/>
      <c r="Q121" s="254"/>
      <c r="R121" s="254"/>
      <c r="S121" s="254"/>
      <c r="T121" s="254"/>
      <c r="U121" s="254"/>
      <c r="V121" s="254"/>
      <c r="W121" s="254"/>
      <c r="X121" s="254"/>
      <c r="Y121" s="254"/>
    </row>
    <row r="122" spans="1:25" ht="15.75" customHeight="1">
      <c r="A122" s="414" t="s">
        <v>353</v>
      </c>
      <c r="B122" s="410">
        <v>43.2</v>
      </c>
      <c r="C122" s="411">
        <v>62.1</v>
      </c>
      <c r="D122" s="411">
        <v>54.7</v>
      </c>
      <c r="E122" s="411">
        <v>106</v>
      </c>
      <c r="F122" s="411">
        <v>177.1</v>
      </c>
      <c r="G122" s="412">
        <f>G128*SUM(T7,T12,T16) /1000</f>
        <v>185.88079608938546</v>
      </c>
      <c r="H122" s="412">
        <f>H128*SUM(U7,U12,U16) /1000</f>
        <v>378.17033659217867</v>
      </c>
      <c r="I122" s="412">
        <f>I128*SUM(V7,V12,V16) /1000</f>
        <v>406.58177723463689</v>
      </c>
      <c r="J122" s="412">
        <f>J128*SUM(W7,W12,W16) /1000</f>
        <v>426.36546735335202</v>
      </c>
      <c r="K122" s="413">
        <f>K128*SUM(X7,X12,X16) /1000</f>
        <v>447.11107204085198</v>
      </c>
      <c r="L122" s="365"/>
      <c r="M122" s="254"/>
      <c r="N122" s="254"/>
      <c r="O122" s="254"/>
      <c r="P122" s="254"/>
      <c r="Q122" s="254"/>
      <c r="R122" s="254"/>
      <c r="S122" s="254"/>
      <c r="T122" s="254"/>
      <c r="U122" s="254"/>
      <c r="V122" s="254"/>
      <c r="W122" s="254"/>
      <c r="X122" s="254"/>
      <c r="Y122" s="254"/>
    </row>
    <row r="123" spans="1:25" ht="15.75" customHeight="1">
      <c r="A123" s="370"/>
      <c r="B123" s="367"/>
      <c r="C123" s="254"/>
      <c r="D123" s="254"/>
      <c r="E123" s="254"/>
      <c r="F123" s="254"/>
      <c r="G123" s="254"/>
      <c r="H123" s="254"/>
      <c r="I123" s="254"/>
      <c r="J123" s="254"/>
      <c r="K123" s="368"/>
      <c r="L123" s="365"/>
      <c r="M123" s="254"/>
      <c r="N123" s="254"/>
      <c r="O123" s="254"/>
      <c r="P123" s="254"/>
      <c r="Q123" s="254"/>
      <c r="R123" s="254"/>
      <c r="S123" s="254"/>
      <c r="T123" s="254"/>
      <c r="U123" s="254"/>
      <c r="V123" s="254"/>
      <c r="W123" s="254"/>
      <c r="X123" s="254"/>
      <c r="Y123" s="254"/>
    </row>
    <row r="124" spans="1:25" ht="15.75" customHeight="1">
      <c r="A124" s="415" t="s">
        <v>354</v>
      </c>
      <c r="B124" s="367"/>
      <c r="C124" s="374">
        <f>C118/ SUM(P7,P12,P16) *1000</f>
        <v>149.29577464788733</v>
      </c>
      <c r="D124" s="374">
        <f>D118/SUM(Q7,Q12,Q16) *1000</f>
        <v>152.61360651431573</v>
      </c>
      <c r="E124" s="374">
        <f>E118/SUM(R7,R12,R16) *1000</f>
        <v>108.60033726812817</v>
      </c>
      <c r="F124" s="374">
        <f>F118/SUM(S7,S12,S16) *1000</f>
        <v>106.70391061452516</v>
      </c>
      <c r="G124" s="374">
        <f t="shared" ref="G124:K124" si="66">F124*1.02</f>
        <v>108.83798882681566</v>
      </c>
      <c r="H124" s="374">
        <f t="shared" si="66"/>
        <v>111.01474860335198</v>
      </c>
      <c r="I124" s="374">
        <f t="shared" si="66"/>
        <v>113.23504357541901</v>
      </c>
      <c r="J124" s="374">
        <f t="shared" si="66"/>
        <v>115.49974444692739</v>
      </c>
      <c r="K124" s="416">
        <f t="shared" si="66"/>
        <v>117.80973933586594</v>
      </c>
      <c r="L124" s="365"/>
      <c r="M124" s="254"/>
      <c r="N124" s="254"/>
      <c r="O124" s="254"/>
      <c r="P124" s="254"/>
      <c r="Q124" s="254"/>
      <c r="R124" s="254"/>
      <c r="S124" s="254"/>
      <c r="T124" s="254"/>
      <c r="U124" s="254"/>
      <c r="V124" s="254"/>
      <c r="W124" s="254"/>
      <c r="X124" s="254"/>
      <c r="Y124" s="254"/>
    </row>
    <row r="125" spans="1:25" ht="15.75" customHeight="1">
      <c r="A125" s="415" t="s">
        <v>355</v>
      </c>
      <c r="B125" s="367"/>
      <c r="C125" s="386">
        <f t="shared" ref="C125:K125" si="67">C118/P18</f>
        <v>0.11797440178074568</v>
      </c>
      <c r="D125" s="386">
        <f t="shared" si="67"/>
        <v>0.10384271671134943</v>
      </c>
      <c r="E125" s="386">
        <f t="shared" si="67"/>
        <v>5.5545972054510957E-2</v>
      </c>
      <c r="F125" s="386">
        <f t="shared" si="67"/>
        <v>5.1161856291435083E-2</v>
      </c>
      <c r="G125" s="386">
        <f t="shared" si="67"/>
        <v>5.6408102485070319E-2</v>
      </c>
      <c r="H125" s="386">
        <f t="shared" si="67"/>
        <v>5.3341156281317047E-2</v>
      </c>
      <c r="I125" s="386">
        <f t="shared" si="67"/>
        <v>5.3979738342667005E-2</v>
      </c>
      <c r="J125" s="386">
        <f t="shared" si="67"/>
        <v>5.4905396911757678E-2</v>
      </c>
      <c r="K125" s="394">
        <f t="shared" si="67"/>
        <v>5.5762324332511271E-2</v>
      </c>
      <c r="L125" s="365"/>
      <c r="M125" s="254"/>
      <c r="N125" s="254"/>
      <c r="O125" s="254"/>
      <c r="P125" s="254"/>
      <c r="Q125" s="254"/>
      <c r="R125" s="254"/>
      <c r="S125" s="254"/>
      <c r="T125" s="254"/>
      <c r="U125" s="254"/>
      <c r="V125" s="254"/>
      <c r="W125" s="254"/>
      <c r="X125" s="254"/>
      <c r="Y125" s="254"/>
    </row>
    <row r="126" spans="1:25" ht="15.75" customHeight="1">
      <c r="A126" s="415" t="s">
        <v>356</v>
      </c>
      <c r="B126" s="367"/>
      <c r="C126" s="374">
        <f>C119/SUM(P7,P12,P16) *1000</f>
        <v>165.96244131455401</v>
      </c>
      <c r="D126" s="374">
        <f>D119/SUM(Q7,Q12,Q16) *1000</f>
        <v>204.36038875755187</v>
      </c>
      <c r="E126" s="374">
        <f>E119/SUM(R7,R12,R16) *1000</f>
        <v>7.588532883642495</v>
      </c>
      <c r="F126" s="374">
        <f>F119/SUM(S7,S12,S16) *1000</f>
        <v>172.90502793296091</v>
      </c>
      <c r="G126" s="374">
        <f>10</f>
        <v>10</v>
      </c>
      <c r="H126" s="374">
        <f>G126*10</f>
        <v>100</v>
      </c>
      <c r="I126" s="374">
        <f>H126*0.9</f>
        <v>90</v>
      </c>
      <c r="J126" s="374">
        <f t="shared" ref="J126:K126" si="68">I126</f>
        <v>90</v>
      </c>
      <c r="K126" s="416">
        <f t="shared" si="68"/>
        <v>90</v>
      </c>
      <c r="L126" s="365"/>
      <c r="M126" s="254"/>
      <c r="N126" s="254"/>
      <c r="O126" s="254"/>
      <c r="P126" s="254"/>
      <c r="Q126" s="254"/>
      <c r="R126" s="254"/>
      <c r="S126" s="254"/>
      <c r="T126" s="254"/>
      <c r="U126" s="254"/>
      <c r="V126" s="254"/>
      <c r="W126" s="254"/>
      <c r="X126" s="254"/>
      <c r="Y126" s="254"/>
    </row>
    <row r="127" spans="1:25" ht="15.75" customHeight="1">
      <c r="A127" s="415" t="s">
        <v>357</v>
      </c>
      <c r="B127" s="367"/>
      <c r="C127" s="374">
        <f>C121/ SUM(P7,P12,P16) *1000</f>
        <v>40.845070422535208</v>
      </c>
      <c r="D127" s="374">
        <f>D121/ SUM(Q7,Q12,Q16) *1000</f>
        <v>68.820593643288689</v>
      </c>
      <c r="E127" s="374">
        <f>E121/ SUM(R7,R12,R16) *1000</f>
        <v>87.183811129848223</v>
      </c>
      <c r="F127" s="374">
        <f>F121/ SUM(S7,S12,S16) *1000</f>
        <v>4.7486033519553077</v>
      </c>
      <c r="G127" s="374">
        <f>F127*1.1</f>
        <v>5.2234636871508391</v>
      </c>
      <c r="H127" s="374">
        <f t="shared" ref="H127:K127" si="69">G127*0.9</f>
        <v>4.7011173184357551</v>
      </c>
      <c r="I127" s="374">
        <f t="shared" si="69"/>
        <v>4.2310055865921798</v>
      </c>
      <c r="J127" s="374">
        <f t="shared" si="69"/>
        <v>3.807905027932962</v>
      </c>
      <c r="K127" s="416">
        <f t="shared" si="69"/>
        <v>3.427114525139666</v>
      </c>
      <c r="L127" s="365"/>
      <c r="M127" s="254"/>
      <c r="N127" s="254"/>
      <c r="O127" s="254"/>
      <c r="P127" s="254"/>
      <c r="Q127" s="254"/>
      <c r="R127" s="254"/>
      <c r="S127" s="254"/>
      <c r="T127" s="254"/>
      <c r="U127" s="254"/>
      <c r="V127" s="254"/>
      <c r="W127" s="254"/>
      <c r="X127" s="254"/>
      <c r="Y127" s="254"/>
    </row>
    <row r="128" spans="1:25" ht="15.75" customHeight="1">
      <c r="A128" s="415" t="s">
        <v>358</v>
      </c>
      <c r="B128" s="367"/>
      <c r="C128" s="374">
        <f>C122/SUM(P7,P12,P16) *1000</f>
        <v>145.77464788732394</v>
      </c>
      <c r="D128" s="374">
        <f>D122/SUM(Q7,Q12,Q16) *1000</f>
        <v>143.68268978198057</v>
      </c>
      <c r="E128" s="374">
        <f>E122/SUM(R7,R12,R16) *1000</f>
        <v>178.752107925801</v>
      </c>
      <c r="F128" s="374">
        <f>F122/SUM(S7,S12,S16) *1000</f>
        <v>247.34636871508377</v>
      </c>
      <c r="G128" s="374">
        <f t="shared" ref="G128:H128" si="70">F128</f>
        <v>247.34636871508377</v>
      </c>
      <c r="H128" s="374">
        <f t="shared" si="70"/>
        <v>247.34636871508377</v>
      </c>
      <c r="I128" s="374">
        <f t="shared" ref="I128:K128" si="71">H128*1.05</f>
        <v>259.71368715083798</v>
      </c>
      <c r="J128" s="374">
        <f t="shared" si="71"/>
        <v>272.6993715083799</v>
      </c>
      <c r="K128" s="416">
        <f t="shared" si="71"/>
        <v>286.33434008379891</v>
      </c>
      <c r="L128" s="365"/>
      <c r="M128" s="254"/>
      <c r="N128" s="254"/>
      <c r="O128" s="254"/>
      <c r="P128" s="254"/>
      <c r="Q128" s="254"/>
      <c r="R128" s="254"/>
      <c r="S128" s="254"/>
      <c r="T128" s="254"/>
      <c r="U128" s="254"/>
      <c r="V128" s="254"/>
      <c r="W128" s="254"/>
      <c r="X128" s="254"/>
      <c r="Y128" s="254"/>
    </row>
    <row r="129" spans="1:25" ht="15.75" customHeight="1">
      <c r="A129" s="417"/>
      <c r="B129" s="367"/>
      <c r="C129" s="386"/>
      <c r="D129" s="386"/>
      <c r="E129" s="386"/>
      <c r="F129" s="386"/>
      <c r="G129" s="386"/>
      <c r="H129" s="386"/>
      <c r="I129" s="386"/>
      <c r="J129" s="386"/>
      <c r="K129" s="394"/>
      <c r="L129" s="365"/>
      <c r="M129" s="254"/>
      <c r="N129" s="254"/>
      <c r="O129" s="254"/>
      <c r="P129" s="254"/>
      <c r="Q129" s="254"/>
      <c r="R129" s="254"/>
      <c r="S129" s="254"/>
      <c r="T129" s="254"/>
      <c r="U129" s="254"/>
      <c r="V129" s="254"/>
      <c r="W129" s="254"/>
      <c r="X129" s="254"/>
      <c r="Y129" s="254"/>
    </row>
    <row r="130" spans="1:25" ht="15.75" customHeight="1">
      <c r="A130" s="417" t="s">
        <v>359</v>
      </c>
      <c r="B130" s="367"/>
      <c r="C130" s="386">
        <f t="shared" ref="C130:K130" si="72">C118/C$117</f>
        <v>0.21684282304807365</v>
      </c>
      <c r="D130" s="386">
        <f t="shared" si="72"/>
        <v>0.18633739576651701</v>
      </c>
      <c r="E130" s="386">
        <f t="shared" si="72"/>
        <v>0.12634883264665492</v>
      </c>
      <c r="F130" s="386">
        <f t="shared" si="72"/>
        <v>0.10427187116145763</v>
      </c>
      <c r="G130" s="386">
        <f t="shared" si="72"/>
        <v>0.13006290958409975</v>
      </c>
      <c r="H130" s="386">
        <f t="shared" si="72"/>
        <v>0.10121260276677756</v>
      </c>
      <c r="I130" s="386">
        <f t="shared" si="72"/>
        <v>0.1042534704328338</v>
      </c>
      <c r="J130" s="386">
        <f t="shared" si="72"/>
        <v>0.10483104949656336</v>
      </c>
      <c r="K130" s="394">
        <f t="shared" si="72"/>
        <v>0.10536334158824301</v>
      </c>
      <c r="L130" s="365"/>
      <c r="M130" s="254"/>
      <c r="N130" s="254"/>
      <c r="O130" s="254"/>
      <c r="P130" s="254"/>
      <c r="Q130" s="254"/>
      <c r="R130" s="254"/>
      <c r="S130" s="254"/>
      <c r="T130" s="254"/>
      <c r="U130" s="254"/>
      <c r="V130" s="254"/>
      <c r="W130" s="254"/>
      <c r="X130" s="254"/>
      <c r="Y130" s="254"/>
    </row>
    <row r="131" spans="1:25" ht="15.75" customHeight="1">
      <c r="A131" s="418"/>
      <c r="B131" s="367"/>
      <c r="C131" s="386">
        <f t="shared" ref="C131:K131" si="73">C119/C$117</f>
        <v>0.24105011933174225</v>
      </c>
      <c r="D131" s="386">
        <f t="shared" si="73"/>
        <v>0.24951892238614495</v>
      </c>
      <c r="E131" s="386">
        <f t="shared" si="73"/>
        <v>8.828722778104767E-3</v>
      </c>
      <c r="F131" s="386">
        <f t="shared" si="73"/>
        <v>0.16896410536372319</v>
      </c>
      <c r="G131" s="386">
        <f t="shared" si="73"/>
        <v>1.1950139008086363E-2</v>
      </c>
      <c r="H131" s="386">
        <f t="shared" si="73"/>
        <v>9.117041117518826E-2</v>
      </c>
      <c r="I131" s="386">
        <f t="shared" si="73"/>
        <v>8.2861383213984632E-2</v>
      </c>
      <c r="J131" s="386">
        <f t="shared" si="73"/>
        <v>8.1686712813689638E-2</v>
      </c>
      <c r="K131" s="394">
        <f t="shared" si="73"/>
        <v>8.0491653715551184E-2</v>
      </c>
      <c r="L131" s="365"/>
      <c r="M131" s="254"/>
      <c r="N131" s="254"/>
      <c r="O131" s="254"/>
      <c r="P131" s="254"/>
      <c r="Q131" s="254"/>
      <c r="R131" s="254"/>
      <c r="S131" s="254"/>
      <c r="T131" s="254"/>
      <c r="U131" s="254"/>
      <c r="V131" s="254"/>
      <c r="W131" s="254"/>
      <c r="X131" s="254"/>
      <c r="Y131" s="254"/>
    </row>
    <row r="132" spans="1:25" ht="15.75" customHeight="1">
      <c r="A132" s="418"/>
      <c r="B132" s="367"/>
      <c r="C132" s="386">
        <f t="shared" ref="C132:K132" si="74">C120/C$117</f>
        <v>0.27105352881009204</v>
      </c>
      <c r="D132" s="386">
        <f t="shared" si="74"/>
        <v>0.30468248877485565</v>
      </c>
      <c r="E132" s="386">
        <f t="shared" si="74"/>
        <v>0.55542475966254667</v>
      </c>
      <c r="F132" s="386">
        <f t="shared" si="74"/>
        <v>0.48041490378053769</v>
      </c>
      <c r="G132" s="386">
        <f t="shared" si="74"/>
        <v>0.55616249076223612</v>
      </c>
      <c r="H132" s="386">
        <f t="shared" si="74"/>
        <v>0.57782425668454929</v>
      </c>
      <c r="I132" s="386">
        <f t="shared" si="74"/>
        <v>0.56987600932858573</v>
      </c>
      <c r="J132" s="386">
        <f t="shared" si="74"/>
        <v>0.56251589891955545</v>
      </c>
      <c r="K132" s="394">
        <f t="shared" si="74"/>
        <v>0.5549963528684605</v>
      </c>
      <c r="L132" s="365"/>
      <c r="M132" s="254"/>
      <c r="N132" s="254"/>
      <c r="O132" s="254"/>
      <c r="P132" s="254"/>
      <c r="Q132" s="254"/>
      <c r="R132" s="254"/>
      <c r="S132" s="254"/>
      <c r="T132" s="254"/>
      <c r="U132" s="254"/>
      <c r="V132" s="254"/>
      <c r="W132" s="254"/>
      <c r="X132" s="254"/>
      <c r="Y132" s="254"/>
    </row>
    <row r="133" spans="1:25" ht="15.75" customHeight="1">
      <c r="A133" s="383"/>
      <c r="B133" s="367"/>
      <c r="C133" s="386">
        <f t="shared" ref="C133:K133" si="75">C121/C$117</f>
        <v>5.9324923286737122E-2</v>
      </c>
      <c r="D133" s="386">
        <f t="shared" si="75"/>
        <v>8.4028223220012827E-2</v>
      </c>
      <c r="E133" s="386">
        <f t="shared" si="75"/>
        <v>0.10143221502844811</v>
      </c>
      <c r="F133" s="386">
        <f t="shared" si="75"/>
        <v>4.6403712296983757E-3</v>
      </c>
      <c r="G133" s="386">
        <f t="shared" si="75"/>
        <v>6.2421117165143859E-3</v>
      </c>
      <c r="H133" s="386">
        <f t="shared" si="75"/>
        <v>4.2860279890458621E-3</v>
      </c>
      <c r="I133" s="386">
        <f t="shared" si="75"/>
        <v>3.8954108365680494E-3</v>
      </c>
      <c r="J133" s="386">
        <f t="shared" si="75"/>
        <v>3.4561693826507182E-3</v>
      </c>
      <c r="K133" s="394">
        <f t="shared" si="75"/>
        <v>3.0650457289008626E-3</v>
      </c>
      <c r="L133" s="365"/>
      <c r="M133" s="254"/>
      <c r="N133" s="254"/>
      <c r="O133" s="254"/>
      <c r="P133" s="254"/>
      <c r="Q133" s="254"/>
      <c r="R133" s="254"/>
      <c r="S133" s="254"/>
      <c r="T133" s="254"/>
      <c r="U133" s="254"/>
      <c r="V133" s="254"/>
      <c r="W133" s="254"/>
      <c r="X133" s="254"/>
      <c r="Y133" s="254"/>
    </row>
    <row r="134" spans="1:25" ht="15.75" customHeight="1">
      <c r="A134" s="383"/>
      <c r="B134" s="419"/>
      <c r="C134" s="420">
        <f t="shared" ref="C134:K134" si="76">C122/C$117</f>
        <v>0.21172860552335493</v>
      </c>
      <c r="D134" s="420">
        <f t="shared" si="76"/>
        <v>0.17543296985246953</v>
      </c>
      <c r="E134" s="420">
        <f t="shared" si="76"/>
        <v>0.20796546988424564</v>
      </c>
      <c r="F134" s="420">
        <f t="shared" si="76"/>
        <v>0.24170874846458304</v>
      </c>
      <c r="G134" s="420">
        <f t="shared" si="76"/>
        <v>0.29558234892906349</v>
      </c>
      <c r="H134" s="420">
        <f t="shared" si="76"/>
        <v>0.2255067013844391</v>
      </c>
      <c r="I134" s="420">
        <f t="shared" si="76"/>
        <v>0.23911372618802781</v>
      </c>
      <c r="J134" s="420">
        <f t="shared" si="76"/>
        <v>0.24751016938754097</v>
      </c>
      <c r="K134" s="421">
        <f t="shared" si="76"/>
        <v>0.25608360609884456</v>
      </c>
      <c r="L134" s="365"/>
      <c r="M134" s="254"/>
      <c r="N134" s="254"/>
      <c r="O134" s="254"/>
      <c r="P134" s="254"/>
      <c r="Q134" s="254"/>
      <c r="R134" s="254"/>
      <c r="S134" s="254"/>
      <c r="T134" s="254"/>
      <c r="U134" s="254"/>
      <c r="V134" s="254"/>
      <c r="W134" s="254"/>
      <c r="X134" s="254"/>
      <c r="Y134" s="254"/>
    </row>
    <row r="135" spans="1:25" ht="15.75" customHeight="1">
      <c r="A135" s="254"/>
      <c r="B135" s="253"/>
      <c r="C135" s="253"/>
      <c r="D135" s="253"/>
      <c r="E135" s="253"/>
      <c r="F135" s="253"/>
      <c r="G135" s="253"/>
      <c r="H135" s="253"/>
      <c r="I135" s="253"/>
      <c r="J135" s="253"/>
      <c r="K135" s="253"/>
      <c r="L135" s="254"/>
      <c r="M135" s="254"/>
      <c r="N135" s="254"/>
      <c r="O135" s="254"/>
      <c r="P135" s="254"/>
      <c r="Q135" s="254"/>
      <c r="R135" s="254"/>
      <c r="S135" s="254"/>
      <c r="T135" s="254"/>
      <c r="U135" s="254"/>
      <c r="V135" s="254"/>
      <c r="W135" s="254"/>
      <c r="X135" s="254"/>
      <c r="Y135" s="254"/>
    </row>
    <row r="136" spans="1:25" ht="15.75" customHeight="1">
      <c r="A136" s="254"/>
      <c r="B136" s="254"/>
      <c r="C136" s="254"/>
      <c r="D136" s="254"/>
      <c r="E136" s="254"/>
      <c r="F136" s="254"/>
      <c r="G136" s="254"/>
      <c r="H136" s="254"/>
      <c r="I136" s="254"/>
      <c r="J136" s="254"/>
      <c r="K136" s="254"/>
      <c r="L136" s="254"/>
      <c r="M136" s="254"/>
      <c r="N136" s="254"/>
      <c r="O136" s="254"/>
      <c r="P136" s="254"/>
      <c r="Q136" s="254"/>
      <c r="R136" s="254"/>
      <c r="S136" s="254"/>
      <c r="T136" s="254"/>
      <c r="U136" s="254"/>
      <c r="V136" s="254"/>
      <c r="W136" s="254"/>
      <c r="X136" s="254"/>
      <c r="Y136" s="254"/>
    </row>
    <row r="137" spans="1:25" ht="15.75" customHeight="1">
      <c r="A137" s="254"/>
      <c r="B137" s="254"/>
      <c r="C137" s="254"/>
      <c r="D137" s="254"/>
      <c r="E137" s="254"/>
      <c r="F137" s="254"/>
      <c r="G137" s="254"/>
      <c r="H137" s="254"/>
      <c r="I137" s="254"/>
      <c r="J137" s="254"/>
      <c r="K137" s="254"/>
      <c r="L137" s="254"/>
      <c r="M137" s="254"/>
      <c r="N137" s="254"/>
      <c r="O137" s="254"/>
      <c r="P137" s="254"/>
      <c r="Q137" s="254"/>
      <c r="R137" s="254"/>
      <c r="S137" s="254"/>
      <c r="T137" s="254"/>
      <c r="U137" s="254"/>
      <c r="V137" s="254"/>
      <c r="W137" s="254"/>
      <c r="X137" s="254"/>
      <c r="Y137" s="254"/>
    </row>
    <row r="138" spans="1:25" ht="15.75" customHeight="1">
      <c r="A138" s="254"/>
      <c r="B138" s="254"/>
      <c r="C138" s="254"/>
      <c r="D138" s="254"/>
      <c r="E138" s="254"/>
      <c r="F138" s="254"/>
      <c r="G138" s="254"/>
      <c r="H138" s="254"/>
      <c r="I138" s="254"/>
      <c r="J138" s="254"/>
      <c r="K138" s="254"/>
      <c r="L138" s="254"/>
      <c r="M138" s="254"/>
      <c r="N138" s="254"/>
      <c r="O138" s="254"/>
      <c r="P138" s="254"/>
      <c r="Q138" s="254"/>
      <c r="R138" s="254"/>
      <c r="S138" s="254"/>
      <c r="T138" s="254"/>
      <c r="U138" s="254"/>
      <c r="V138" s="254"/>
      <c r="W138" s="254"/>
      <c r="X138" s="254"/>
      <c r="Y138" s="254"/>
    </row>
    <row r="139" spans="1:25" ht="15.75" customHeight="1">
      <c r="A139" s="254"/>
      <c r="B139" s="254"/>
      <c r="C139" s="254"/>
      <c r="D139" s="254"/>
      <c r="E139" s="254"/>
      <c r="F139" s="254"/>
      <c r="G139" s="254"/>
      <c r="H139" s="254"/>
      <c r="I139" s="254"/>
      <c r="J139" s="254"/>
      <c r="K139" s="254"/>
      <c r="L139" s="254"/>
      <c r="M139" s="254"/>
      <c r="N139" s="254"/>
      <c r="O139" s="254"/>
      <c r="P139" s="254"/>
      <c r="Q139" s="254"/>
      <c r="R139" s="254"/>
      <c r="S139" s="254"/>
      <c r="T139" s="254"/>
      <c r="U139" s="254"/>
      <c r="V139" s="254"/>
      <c r="W139" s="254"/>
      <c r="X139" s="254"/>
      <c r="Y139" s="254"/>
    </row>
    <row r="140" spans="1:25" ht="15.75" customHeight="1">
      <c r="A140" s="254"/>
      <c r="B140" s="254"/>
      <c r="C140" s="254"/>
      <c r="D140" s="254"/>
      <c r="E140" s="254"/>
      <c r="F140" s="254"/>
      <c r="G140" s="254"/>
      <c r="H140" s="254"/>
      <c r="I140" s="254"/>
      <c r="J140" s="254"/>
      <c r="K140" s="254"/>
      <c r="L140" s="254"/>
      <c r="M140" s="254"/>
      <c r="N140" s="254"/>
      <c r="O140" s="254"/>
      <c r="P140" s="254"/>
      <c r="Q140" s="254"/>
      <c r="R140" s="254"/>
      <c r="S140" s="254"/>
      <c r="T140" s="254"/>
      <c r="U140" s="254"/>
      <c r="V140" s="254"/>
      <c r="W140" s="254"/>
      <c r="X140" s="254"/>
      <c r="Y140" s="254"/>
    </row>
    <row r="141" spans="1:25" ht="15.75" customHeight="1">
      <c r="A141" s="254"/>
      <c r="B141" s="254"/>
      <c r="C141" s="254"/>
      <c r="D141" s="254"/>
      <c r="E141" s="254"/>
      <c r="F141" s="254"/>
      <c r="G141" s="254"/>
      <c r="H141" s="254"/>
      <c r="I141" s="254"/>
      <c r="J141" s="254"/>
      <c r="K141" s="254"/>
      <c r="L141" s="254"/>
      <c r="M141" s="254"/>
      <c r="N141" s="254"/>
      <c r="O141" s="254"/>
      <c r="P141" s="254"/>
      <c r="Q141" s="254"/>
      <c r="R141" s="254"/>
      <c r="S141" s="254"/>
      <c r="T141" s="254"/>
      <c r="U141" s="254"/>
      <c r="V141" s="254"/>
      <c r="W141" s="254"/>
      <c r="X141" s="254"/>
      <c r="Y141" s="254"/>
    </row>
    <row r="142" spans="1:25" ht="15.75" customHeight="1">
      <c r="A142" s="254"/>
      <c r="B142" s="254"/>
      <c r="C142" s="254"/>
      <c r="D142" s="254"/>
      <c r="E142" s="254"/>
      <c r="F142" s="254"/>
      <c r="G142" s="254"/>
      <c r="H142" s="254"/>
      <c r="I142" s="254"/>
      <c r="J142" s="254"/>
      <c r="K142" s="254"/>
      <c r="L142" s="254"/>
      <c r="M142" s="254"/>
      <c r="N142" s="254"/>
      <c r="O142" s="254"/>
      <c r="P142" s="254"/>
      <c r="Q142" s="254"/>
      <c r="R142" s="254"/>
      <c r="S142" s="254"/>
      <c r="T142" s="254"/>
      <c r="U142" s="254"/>
      <c r="V142" s="254"/>
      <c r="W142" s="254"/>
      <c r="X142" s="254"/>
      <c r="Y142" s="254"/>
    </row>
    <row r="143" spans="1:25" ht="15.75" customHeight="1">
      <c r="A143" s="254"/>
      <c r="B143" s="254"/>
      <c r="C143" s="254"/>
      <c r="D143" s="254"/>
      <c r="E143" s="254"/>
      <c r="F143" s="254"/>
      <c r="G143" s="254"/>
      <c r="H143" s="254"/>
      <c r="I143" s="254"/>
      <c r="J143" s="254"/>
      <c r="K143" s="254"/>
      <c r="L143" s="254"/>
      <c r="M143" s="254"/>
      <c r="N143" s="254"/>
      <c r="O143" s="254"/>
      <c r="P143" s="254"/>
      <c r="Q143" s="254"/>
      <c r="R143" s="254"/>
      <c r="S143" s="254"/>
      <c r="T143" s="254"/>
      <c r="U143" s="254"/>
      <c r="V143" s="254"/>
      <c r="W143" s="254"/>
      <c r="X143" s="254"/>
      <c r="Y143" s="254"/>
    </row>
    <row r="144" spans="1:25" ht="15.75" customHeight="1">
      <c r="A144" s="254"/>
      <c r="B144" s="254"/>
      <c r="C144" s="254"/>
      <c r="D144" s="254"/>
      <c r="E144" s="254"/>
      <c r="F144" s="254"/>
      <c r="G144" s="254"/>
      <c r="H144" s="254"/>
      <c r="I144" s="254"/>
      <c r="J144" s="254"/>
      <c r="K144" s="254"/>
      <c r="L144" s="254"/>
      <c r="M144" s="254"/>
      <c r="N144" s="254"/>
      <c r="O144" s="254"/>
      <c r="P144" s="254"/>
      <c r="Q144" s="254"/>
      <c r="R144" s="254"/>
      <c r="S144" s="254"/>
      <c r="T144" s="254"/>
      <c r="U144" s="254"/>
      <c r="V144" s="254"/>
      <c r="W144" s="254"/>
      <c r="X144" s="254"/>
      <c r="Y144" s="254"/>
    </row>
    <row r="145" spans="1:25" ht="15.75" customHeight="1">
      <c r="A145" s="254"/>
      <c r="B145" s="254"/>
      <c r="C145" s="254"/>
      <c r="D145" s="254"/>
      <c r="E145" s="254"/>
      <c r="F145" s="254"/>
      <c r="G145" s="254"/>
      <c r="H145" s="254"/>
      <c r="I145" s="254"/>
      <c r="J145" s="254"/>
      <c r="K145" s="254"/>
      <c r="L145" s="254"/>
      <c r="M145" s="254"/>
      <c r="N145" s="254"/>
      <c r="O145" s="254"/>
      <c r="P145" s="254"/>
      <c r="Q145" s="254"/>
      <c r="R145" s="254"/>
      <c r="S145" s="254"/>
      <c r="T145" s="254"/>
      <c r="U145" s="254"/>
      <c r="V145" s="254"/>
      <c r="W145" s="254"/>
      <c r="X145" s="254"/>
      <c r="Y145" s="254"/>
    </row>
    <row r="146" spans="1:25" ht="15.75" customHeight="1">
      <c r="A146" s="254"/>
      <c r="B146" s="254"/>
      <c r="C146" s="254"/>
      <c r="D146" s="254"/>
      <c r="E146" s="254"/>
      <c r="F146" s="254"/>
      <c r="G146" s="254"/>
      <c r="H146" s="254"/>
      <c r="I146" s="254"/>
      <c r="J146" s="254"/>
      <c r="K146" s="254"/>
      <c r="L146" s="254"/>
      <c r="M146" s="254"/>
      <c r="N146" s="254"/>
      <c r="O146" s="254"/>
      <c r="P146" s="254"/>
      <c r="Q146" s="254"/>
      <c r="R146" s="254"/>
      <c r="S146" s="254"/>
      <c r="T146" s="254"/>
      <c r="U146" s="254"/>
      <c r="V146" s="254"/>
      <c r="W146" s="254"/>
      <c r="X146" s="254"/>
      <c r="Y146" s="254"/>
    </row>
    <row r="147" spans="1:25" ht="15.75" customHeight="1">
      <c r="A147" s="254"/>
      <c r="B147" s="254"/>
      <c r="C147" s="254"/>
      <c r="D147" s="254"/>
      <c r="E147" s="254"/>
      <c r="F147" s="254"/>
      <c r="G147" s="254"/>
      <c r="H147" s="254"/>
      <c r="I147" s="254"/>
      <c r="J147" s="254"/>
      <c r="K147" s="254"/>
      <c r="L147" s="254"/>
      <c r="M147" s="254"/>
      <c r="N147" s="254"/>
      <c r="O147" s="254"/>
      <c r="P147" s="254"/>
      <c r="Q147" s="254"/>
      <c r="R147" s="254"/>
      <c r="S147" s="254"/>
      <c r="T147" s="254"/>
      <c r="U147" s="254"/>
      <c r="V147" s="254"/>
      <c r="W147" s="254"/>
      <c r="X147" s="254"/>
      <c r="Y147" s="254"/>
    </row>
    <row r="148" spans="1:25" ht="15.75" customHeight="1">
      <c r="A148" s="254"/>
      <c r="B148" s="254"/>
      <c r="C148" s="254"/>
      <c r="D148" s="254"/>
      <c r="E148" s="254"/>
      <c r="F148" s="254"/>
      <c r="G148" s="254"/>
      <c r="H148" s="254"/>
      <c r="I148" s="254"/>
      <c r="J148" s="254"/>
      <c r="K148" s="254"/>
      <c r="L148" s="254"/>
      <c r="M148" s="254"/>
      <c r="N148" s="254"/>
      <c r="O148" s="254"/>
      <c r="P148" s="254"/>
      <c r="Q148" s="254"/>
      <c r="R148" s="254"/>
      <c r="S148" s="254"/>
      <c r="T148" s="254"/>
      <c r="U148" s="254"/>
      <c r="V148" s="254"/>
      <c r="W148" s="254"/>
      <c r="X148" s="254"/>
      <c r="Y148" s="254"/>
    </row>
    <row r="149" spans="1:25" ht="15.75" customHeight="1">
      <c r="A149" s="254"/>
      <c r="B149" s="254"/>
      <c r="C149" s="254"/>
      <c r="D149" s="254"/>
      <c r="E149" s="254"/>
      <c r="F149" s="254"/>
      <c r="G149" s="254"/>
      <c r="H149" s="254"/>
      <c r="I149" s="254"/>
      <c r="J149" s="254"/>
      <c r="K149" s="254"/>
      <c r="L149" s="254"/>
      <c r="M149" s="254"/>
      <c r="N149" s="254"/>
      <c r="O149" s="254"/>
      <c r="P149" s="254"/>
      <c r="Q149" s="254"/>
      <c r="R149" s="254"/>
      <c r="S149" s="254"/>
      <c r="T149" s="254"/>
      <c r="U149" s="254"/>
      <c r="V149" s="254"/>
      <c r="W149" s="254"/>
      <c r="X149" s="254"/>
      <c r="Y149" s="254"/>
    </row>
    <row r="150" spans="1:25" ht="15.75" customHeight="1">
      <c r="A150" s="254"/>
      <c r="B150" s="254"/>
      <c r="C150" s="254"/>
      <c r="D150" s="254"/>
      <c r="E150" s="254"/>
      <c r="F150" s="254"/>
      <c r="G150" s="254"/>
      <c r="H150" s="254"/>
      <c r="I150" s="254"/>
      <c r="J150" s="254"/>
      <c r="K150" s="254"/>
      <c r="L150" s="254"/>
      <c r="M150" s="254"/>
      <c r="N150" s="254"/>
      <c r="O150" s="254"/>
      <c r="P150" s="254"/>
      <c r="Q150" s="254"/>
      <c r="R150" s="254"/>
      <c r="S150" s="254"/>
      <c r="T150" s="254"/>
      <c r="U150" s="254"/>
      <c r="V150" s="254"/>
      <c r="W150" s="254"/>
      <c r="X150" s="254"/>
      <c r="Y150" s="254"/>
    </row>
    <row r="151" spans="1:25" ht="15.75" customHeight="1">
      <c r="A151" s="254"/>
      <c r="B151" s="254"/>
      <c r="C151" s="254"/>
      <c r="D151" s="254"/>
      <c r="E151" s="254"/>
      <c r="F151" s="254"/>
      <c r="G151" s="254"/>
      <c r="H151" s="254"/>
      <c r="I151" s="254"/>
      <c r="J151" s="254"/>
      <c r="K151" s="254"/>
      <c r="L151" s="254"/>
      <c r="M151" s="254"/>
      <c r="N151" s="254"/>
      <c r="O151" s="254"/>
      <c r="P151" s="254"/>
      <c r="Q151" s="254"/>
      <c r="R151" s="254"/>
      <c r="S151" s="254"/>
      <c r="T151" s="254"/>
      <c r="U151" s="254"/>
      <c r="V151" s="254"/>
      <c r="W151" s="254"/>
      <c r="X151" s="254"/>
      <c r="Y151" s="254"/>
    </row>
    <row r="152" spans="1:25" ht="15.75" customHeight="1">
      <c r="A152" s="254"/>
      <c r="B152" s="254"/>
      <c r="C152" s="254"/>
      <c r="D152" s="254"/>
      <c r="E152" s="254"/>
      <c r="F152" s="254"/>
      <c r="G152" s="254"/>
      <c r="H152" s="254"/>
      <c r="I152" s="254"/>
      <c r="J152" s="254"/>
      <c r="K152" s="254"/>
      <c r="L152" s="254"/>
      <c r="M152" s="254"/>
      <c r="N152" s="254"/>
      <c r="O152" s="254"/>
      <c r="P152" s="254"/>
      <c r="Q152" s="254"/>
      <c r="R152" s="254"/>
      <c r="S152" s="254"/>
      <c r="T152" s="254"/>
      <c r="U152" s="254"/>
      <c r="V152" s="254"/>
      <c r="W152" s="254"/>
      <c r="X152" s="254"/>
      <c r="Y152" s="254"/>
    </row>
    <row r="153" spans="1:25" ht="15.75" customHeight="1">
      <c r="A153" s="254"/>
      <c r="B153" s="254"/>
      <c r="C153" s="254"/>
      <c r="D153" s="254"/>
      <c r="E153" s="254"/>
      <c r="F153" s="254"/>
      <c r="G153" s="254"/>
      <c r="H153" s="254"/>
      <c r="I153" s="254"/>
      <c r="J153" s="254"/>
      <c r="K153" s="254"/>
      <c r="L153" s="254"/>
      <c r="M153" s="254"/>
      <c r="N153" s="254"/>
      <c r="O153" s="254"/>
      <c r="P153" s="254"/>
      <c r="Q153" s="254"/>
      <c r="R153" s="254"/>
      <c r="S153" s="254"/>
      <c r="T153" s="254"/>
      <c r="U153" s="254"/>
      <c r="V153" s="254"/>
      <c r="W153" s="254"/>
      <c r="X153" s="254"/>
      <c r="Y153" s="254"/>
    </row>
    <row r="154" spans="1:25" ht="15.75" customHeight="1">
      <c r="A154" s="254"/>
      <c r="B154" s="254"/>
      <c r="C154" s="254"/>
      <c r="D154" s="254"/>
      <c r="E154" s="254"/>
      <c r="F154" s="254"/>
      <c r="G154" s="254"/>
      <c r="H154" s="254"/>
      <c r="I154" s="254"/>
      <c r="J154" s="254"/>
      <c r="K154" s="254"/>
      <c r="L154" s="254"/>
      <c r="M154" s="254"/>
      <c r="N154" s="254"/>
      <c r="O154" s="254"/>
      <c r="P154" s="254"/>
      <c r="Q154" s="254"/>
      <c r="R154" s="254"/>
      <c r="S154" s="254"/>
      <c r="T154" s="254"/>
      <c r="U154" s="254"/>
      <c r="V154" s="254"/>
      <c r="W154" s="254"/>
      <c r="X154" s="254"/>
      <c r="Y154" s="254"/>
    </row>
    <row r="155" spans="1:25" ht="15.75" customHeight="1">
      <c r="A155" s="254"/>
      <c r="B155" s="254"/>
      <c r="C155" s="254"/>
      <c r="D155" s="254"/>
      <c r="E155" s="254"/>
      <c r="F155" s="254"/>
      <c r="G155" s="254"/>
      <c r="H155" s="254"/>
      <c r="I155" s="254"/>
      <c r="J155" s="254"/>
      <c r="K155" s="254"/>
      <c r="L155" s="254"/>
      <c r="M155" s="254"/>
      <c r="N155" s="254"/>
      <c r="O155" s="254"/>
      <c r="P155" s="254"/>
      <c r="Q155" s="254"/>
      <c r="R155" s="254"/>
      <c r="S155" s="254"/>
      <c r="T155" s="254"/>
      <c r="U155" s="254"/>
      <c r="V155" s="254"/>
      <c r="W155" s="254"/>
      <c r="X155" s="254"/>
      <c r="Y155" s="254"/>
    </row>
    <row r="156" spans="1:25" ht="15.75" customHeight="1">
      <c r="A156" s="254"/>
      <c r="B156" s="254"/>
      <c r="C156" s="254"/>
      <c r="D156" s="254"/>
      <c r="E156" s="254"/>
      <c r="F156" s="254"/>
      <c r="G156" s="254"/>
      <c r="H156" s="254"/>
      <c r="I156" s="254"/>
      <c r="J156" s="254"/>
      <c r="K156" s="254"/>
      <c r="L156" s="254"/>
      <c r="M156" s="254"/>
      <c r="N156" s="254"/>
      <c r="O156" s="254"/>
      <c r="P156" s="254"/>
      <c r="Q156" s="254"/>
      <c r="R156" s="254"/>
      <c r="S156" s="254"/>
      <c r="T156" s="254"/>
      <c r="U156" s="254"/>
      <c r="V156" s="254"/>
      <c r="W156" s="254"/>
      <c r="X156" s="254"/>
      <c r="Y156" s="254"/>
    </row>
    <row r="157" spans="1:25" ht="15.75" customHeight="1">
      <c r="A157" s="254"/>
      <c r="B157" s="254"/>
      <c r="C157" s="254"/>
      <c r="D157" s="254"/>
      <c r="E157" s="254"/>
      <c r="F157" s="254"/>
      <c r="G157" s="254"/>
      <c r="H157" s="254"/>
      <c r="I157" s="254"/>
      <c r="J157" s="254"/>
      <c r="K157" s="254"/>
      <c r="L157" s="254"/>
      <c r="M157" s="254"/>
      <c r="N157" s="254"/>
      <c r="O157" s="254"/>
      <c r="P157" s="254"/>
      <c r="Q157" s="254"/>
      <c r="R157" s="254"/>
      <c r="S157" s="254"/>
      <c r="T157" s="254"/>
      <c r="U157" s="254"/>
      <c r="V157" s="254"/>
      <c r="W157" s="254"/>
      <c r="X157" s="254"/>
      <c r="Y157" s="254"/>
    </row>
    <row r="158" spans="1:25" ht="15.75" customHeight="1">
      <c r="A158" s="254"/>
      <c r="B158" s="254"/>
      <c r="C158" s="254"/>
      <c r="D158" s="254"/>
      <c r="E158" s="254"/>
      <c r="F158" s="254"/>
      <c r="G158" s="254"/>
      <c r="H158" s="254"/>
      <c r="I158" s="254"/>
      <c r="J158" s="254"/>
      <c r="K158" s="254"/>
      <c r="L158" s="254"/>
      <c r="M158" s="254"/>
      <c r="N158" s="254"/>
      <c r="O158" s="254"/>
      <c r="P158" s="254"/>
      <c r="Q158" s="254"/>
      <c r="R158" s="254"/>
      <c r="S158" s="254"/>
      <c r="T158" s="254"/>
      <c r="U158" s="254"/>
      <c r="V158" s="254"/>
      <c r="W158" s="254"/>
      <c r="X158" s="254"/>
      <c r="Y158" s="254"/>
    </row>
    <row r="159" spans="1:25" ht="15.75" customHeight="1">
      <c r="A159" s="254"/>
      <c r="B159" s="254"/>
      <c r="C159" s="254"/>
      <c r="D159" s="254"/>
      <c r="E159" s="254"/>
      <c r="F159" s="254"/>
      <c r="G159" s="254"/>
      <c r="H159" s="254"/>
      <c r="I159" s="254"/>
      <c r="J159" s="254"/>
      <c r="K159" s="254"/>
      <c r="L159" s="254"/>
      <c r="M159" s="254"/>
      <c r="N159" s="254"/>
      <c r="O159" s="254"/>
      <c r="P159" s="254"/>
      <c r="Q159" s="254"/>
      <c r="R159" s="254"/>
      <c r="S159" s="254"/>
      <c r="T159" s="254"/>
      <c r="U159" s="254"/>
      <c r="V159" s="254"/>
      <c r="W159" s="254"/>
      <c r="X159" s="254"/>
      <c r="Y159" s="254"/>
    </row>
    <row r="160" spans="1:25" ht="15.75" customHeight="1">
      <c r="A160" s="254"/>
      <c r="B160" s="254"/>
      <c r="C160" s="254"/>
      <c r="D160" s="254"/>
      <c r="E160" s="254"/>
      <c r="F160" s="254"/>
      <c r="G160" s="254"/>
      <c r="H160" s="254"/>
      <c r="I160" s="254"/>
      <c r="J160" s="254"/>
      <c r="K160" s="254"/>
      <c r="L160" s="254"/>
      <c r="M160" s="254"/>
      <c r="N160" s="254"/>
      <c r="O160" s="254"/>
      <c r="P160" s="254"/>
      <c r="Q160" s="254"/>
      <c r="R160" s="254"/>
      <c r="S160" s="254"/>
      <c r="T160" s="254"/>
      <c r="U160" s="254"/>
      <c r="V160" s="254"/>
      <c r="W160" s="254"/>
      <c r="X160" s="254"/>
      <c r="Y160" s="254"/>
    </row>
    <row r="161" spans="1:25" ht="15.75" customHeight="1">
      <c r="A161" s="254"/>
      <c r="B161" s="254"/>
      <c r="C161" s="254"/>
      <c r="D161" s="254"/>
      <c r="E161" s="254"/>
      <c r="F161" s="254"/>
      <c r="G161" s="254"/>
      <c r="H161" s="254"/>
      <c r="I161" s="254"/>
      <c r="J161" s="254"/>
      <c r="K161" s="254"/>
      <c r="L161" s="254"/>
      <c r="M161" s="254"/>
      <c r="N161" s="254"/>
      <c r="O161" s="254"/>
      <c r="P161" s="254"/>
      <c r="Q161" s="254"/>
      <c r="R161" s="254"/>
      <c r="S161" s="254"/>
      <c r="T161" s="254"/>
      <c r="U161" s="254"/>
      <c r="V161" s="254"/>
      <c r="W161" s="254"/>
      <c r="X161" s="254"/>
      <c r="Y161" s="254"/>
    </row>
    <row r="162" spans="1:25" ht="15.75" customHeight="1">
      <c r="A162" s="254"/>
      <c r="B162" s="254"/>
      <c r="C162" s="254"/>
      <c r="D162" s="254"/>
      <c r="E162" s="254"/>
      <c r="F162" s="254"/>
      <c r="G162" s="254"/>
      <c r="H162" s="254"/>
      <c r="I162" s="254"/>
      <c r="J162" s="254"/>
      <c r="K162" s="254"/>
      <c r="L162" s="254"/>
      <c r="M162" s="254"/>
      <c r="N162" s="254"/>
      <c r="O162" s="254"/>
      <c r="P162" s="254"/>
      <c r="Q162" s="254"/>
      <c r="R162" s="254"/>
      <c r="S162" s="254"/>
      <c r="T162" s="254"/>
      <c r="U162" s="254"/>
      <c r="V162" s="254"/>
      <c r="W162" s="254"/>
      <c r="X162" s="254"/>
      <c r="Y162" s="254"/>
    </row>
    <row r="163" spans="1:25" ht="15.75" customHeight="1">
      <c r="A163" s="254"/>
      <c r="B163" s="254"/>
      <c r="C163" s="254"/>
      <c r="D163" s="254"/>
      <c r="E163" s="254"/>
      <c r="F163" s="254"/>
      <c r="G163" s="254"/>
      <c r="H163" s="254"/>
      <c r="I163" s="254"/>
      <c r="J163" s="254"/>
      <c r="K163" s="254"/>
      <c r="L163" s="254"/>
      <c r="M163" s="254"/>
      <c r="N163" s="254"/>
      <c r="O163" s="254"/>
      <c r="P163" s="254"/>
      <c r="Q163" s="254"/>
      <c r="R163" s="254"/>
      <c r="S163" s="254"/>
      <c r="T163" s="254"/>
      <c r="U163" s="254"/>
      <c r="V163" s="254"/>
      <c r="W163" s="254"/>
      <c r="X163" s="254"/>
      <c r="Y163" s="254"/>
    </row>
    <row r="164" spans="1:25" ht="15.75" customHeight="1">
      <c r="A164" s="254"/>
      <c r="B164" s="254"/>
      <c r="C164" s="254"/>
      <c r="D164" s="254"/>
      <c r="E164" s="254"/>
      <c r="F164" s="254"/>
      <c r="G164" s="254"/>
      <c r="H164" s="254"/>
      <c r="I164" s="254"/>
      <c r="J164" s="254"/>
      <c r="K164" s="254"/>
      <c r="L164" s="254"/>
      <c r="M164" s="254"/>
      <c r="N164" s="254"/>
      <c r="O164" s="254"/>
      <c r="P164" s="254"/>
      <c r="Q164" s="254"/>
      <c r="R164" s="254"/>
      <c r="S164" s="254"/>
      <c r="T164" s="254"/>
      <c r="U164" s="254"/>
      <c r="V164" s="254"/>
      <c r="W164" s="254"/>
      <c r="X164" s="254"/>
      <c r="Y164" s="254"/>
    </row>
    <row r="165" spans="1:25" ht="15.75" customHeight="1">
      <c r="A165" s="254"/>
      <c r="B165" s="254"/>
      <c r="C165" s="254"/>
      <c r="D165" s="254"/>
      <c r="E165" s="254"/>
      <c r="F165" s="254"/>
      <c r="G165" s="254"/>
      <c r="H165" s="254"/>
      <c r="I165" s="254"/>
      <c r="J165" s="254"/>
      <c r="K165" s="254"/>
      <c r="L165" s="254"/>
      <c r="M165" s="254"/>
      <c r="N165" s="254"/>
      <c r="O165" s="254"/>
      <c r="P165" s="254"/>
      <c r="Q165" s="254"/>
      <c r="R165" s="254"/>
      <c r="S165" s="254"/>
      <c r="T165" s="254"/>
      <c r="U165" s="254"/>
      <c r="V165" s="254"/>
      <c r="W165" s="254"/>
      <c r="X165" s="254"/>
      <c r="Y165" s="254"/>
    </row>
    <row r="166" spans="1:25" ht="15.75" customHeight="1">
      <c r="A166" s="254"/>
      <c r="B166" s="254"/>
      <c r="C166" s="254"/>
      <c r="D166" s="254"/>
      <c r="E166" s="254"/>
      <c r="F166" s="254"/>
      <c r="G166" s="254"/>
      <c r="H166" s="254"/>
      <c r="I166" s="254"/>
      <c r="J166" s="254"/>
      <c r="K166" s="254"/>
      <c r="L166" s="254"/>
      <c r="M166" s="254"/>
      <c r="N166" s="254"/>
      <c r="O166" s="254"/>
      <c r="P166" s="254"/>
      <c r="Q166" s="254"/>
      <c r="R166" s="254"/>
      <c r="S166" s="254"/>
      <c r="T166" s="254"/>
      <c r="U166" s="254"/>
      <c r="V166" s="254"/>
      <c r="W166" s="254"/>
      <c r="X166" s="254"/>
      <c r="Y166" s="254"/>
    </row>
    <row r="167" spans="1:25" ht="15.75" customHeight="1">
      <c r="A167" s="254"/>
      <c r="B167" s="254"/>
      <c r="C167" s="254"/>
      <c r="D167" s="254"/>
      <c r="E167" s="254"/>
      <c r="F167" s="254"/>
      <c r="G167" s="254"/>
      <c r="H167" s="254"/>
      <c r="I167" s="254"/>
      <c r="J167" s="254"/>
      <c r="K167" s="254"/>
      <c r="L167" s="254"/>
      <c r="M167" s="254"/>
      <c r="N167" s="254"/>
      <c r="O167" s="254"/>
      <c r="P167" s="254"/>
      <c r="Q167" s="254"/>
      <c r="R167" s="254"/>
      <c r="S167" s="254"/>
      <c r="T167" s="254"/>
      <c r="U167" s="254"/>
      <c r="V167" s="254"/>
      <c r="W167" s="254"/>
      <c r="X167" s="254"/>
      <c r="Y167" s="254"/>
    </row>
    <row r="168" spans="1:25" ht="15.75" customHeight="1">
      <c r="A168" s="254"/>
      <c r="B168" s="254"/>
      <c r="C168" s="254"/>
      <c r="D168" s="254"/>
      <c r="E168" s="254"/>
      <c r="F168" s="254"/>
      <c r="G168" s="254"/>
      <c r="H168" s="254"/>
      <c r="I168" s="254"/>
      <c r="J168" s="254"/>
      <c r="K168" s="254"/>
      <c r="L168" s="254"/>
      <c r="M168" s="254"/>
      <c r="N168" s="254"/>
      <c r="O168" s="254"/>
      <c r="P168" s="254"/>
      <c r="Q168" s="254"/>
      <c r="R168" s="254"/>
      <c r="S168" s="254"/>
      <c r="T168" s="254"/>
      <c r="U168" s="254"/>
      <c r="V168" s="254"/>
      <c r="W168" s="254"/>
      <c r="X168" s="254"/>
      <c r="Y168" s="254"/>
    </row>
    <row r="169" spans="1:25" ht="15.75" customHeight="1">
      <c r="A169" s="254"/>
      <c r="B169" s="254"/>
      <c r="C169" s="254"/>
      <c r="D169" s="254"/>
      <c r="E169" s="254"/>
      <c r="F169" s="254"/>
      <c r="G169" s="254"/>
      <c r="H169" s="254"/>
      <c r="I169" s="254"/>
      <c r="J169" s="254"/>
      <c r="K169" s="254"/>
      <c r="L169" s="254"/>
      <c r="M169" s="254"/>
      <c r="N169" s="254"/>
      <c r="O169" s="254"/>
      <c r="P169" s="254"/>
      <c r="Q169" s="254"/>
      <c r="R169" s="254"/>
      <c r="S169" s="254"/>
      <c r="T169" s="254"/>
      <c r="U169" s="254"/>
      <c r="V169" s="254"/>
      <c r="W169" s="254"/>
      <c r="X169" s="254"/>
      <c r="Y169" s="254"/>
    </row>
    <row r="170" spans="1:25" ht="15.75" customHeight="1">
      <c r="A170" s="254"/>
      <c r="B170" s="254"/>
      <c r="C170" s="254"/>
      <c r="D170" s="254"/>
      <c r="E170" s="254"/>
      <c r="F170" s="254"/>
      <c r="G170" s="254"/>
      <c r="H170" s="254"/>
      <c r="I170" s="254"/>
      <c r="J170" s="254"/>
      <c r="K170" s="254"/>
      <c r="L170" s="254"/>
      <c r="M170" s="254"/>
      <c r="N170" s="254"/>
      <c r="O170" s="254"/>
      <c r="P170" s="254"/>
      <c r="Q170" s="254"/>
      <c r="R170" s="254"/>
      <c r="S170" s="254"/>
      <c r="T170" s="254"/>
      <c r="U170" s="254"/>
      <c r="V170" s="254"/>
      <c r="W170" s="254"/>
      <c r="X170" s="254"/>
      <c r="Y170" s="254"/>
    </row>
    <row r="171" spans="1:25" ht="15.75" customHeight="1">
      <c r="A171" s="254"/>
      <c r="B171" s="254"/>
      <c r="C171" s="254"/>
      <c r="D171" s="254"/>
      <c r="E171" s="254"/>
      <c r="F171" s="254"/>
      <c r="G171" s="254"/>
      <c r="H171" s="254"/>
      <c r="I171" s="254"/>
      <c r="J171" s="254"/>
      <c r="K171" s="254"/>
      <c r="L171" s="254"/>
      <c r="M171" s="254"/>
      <c r="N171" s="254"/>
      <c r="O171" s="254"/>
      <c r="P171" s="254"/>
      <c r="Q171" s="254"/>
      <c r="R171" s="254"/>
      <c r="S171" s="254"/>
      <c r="T171" s="254"/>
      <c r="U171" s="254"/>
      <c r="V171" s="254"/>
      <c r="W171" s="254"/>
      <c r="X171" s="254"/>
      <c r="Y171" s="254"/>
    </row>
    <row r="172" spans="1:25" ht="15.75" customHeight="1">
      <c r="A172" s="254"/>
      <c r="B172" s="254"/>
      <c r="C172" s="254"/>
      <c r="D172" s="254"/>
      <c r="E172" s="254"/>
      <c r="F172" s="254"/>
      <c r="G172" s="254"/>
      <c r="H172" s="254"/>
      <c r="I172" s="254"/>
      <c r="J172" s="254"/>
      <c r="K172" s="254"/>
      <c r="L172" s="254"/>
      <c r="M172" s="254"/>
      <c r="N172" s="254"/>
      <c r="O172" s="254"/>
      <c r="P172" s="254"/>
      <c r="Q172" s="254"/>
      <c r="R172" s="254"/>
      <c r="S172" s="254"/>
      <c r="T172" s="254"/>
      <c r="U172" s="254"/>
      <c r="V172" s="254"/>
      <c r="W172" s="254"/>
      <c r="X172" s="254"/>
      <c r="Y172" s="254"/>
    </row>
    <row r="173" spans="1:25" ht="15.75" customHeight="1">
      <c r="A173" s="254"/>
      <c r="B173" s="254"/>
      <c r="C173" s="254"/>
      <c r="D173" s="254"/>
      <c r="E173" s="254"/>
      <c r="F173" s="254"/>
      <c r="G173" s="254"/>
      <c r="H173" s="254"/>
      <c r="I173" s="254"/>
      <c r="J173" s="254"/>
      <c r="K173" s="254"/>
      <c r="L173" s="254"/>
      <c r="M173" s="254"/>
      <c r="N173" s="254"/>
      <c r="O173" s="254"/>
      <c r="P173" s="254"/>
      <c r="Q173" s="254"/>
      <c r="R173" s="254"/>
      <c r="S173" s="254"/>
      <c r="T173" s="254"/>
      <c r="U173" s="254"/>
      <c r="V173" s="254"/>
      <c r="W173" s="254"/>
      <c r="X173" s="254"/>
      <c r="Y173" s="254"/>
    </row>
    <row r="174" spans="1:25" ht="15.75" customHeight="1">
      <c r="A174" s="254"/>
      <c r="B174" s="254"/>
      <c r="C174" s="254"/>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row>
    <row r="175" spans="1:25" ht="15.75" customHeight="1">
      <c r="A175" s="254"/>
      <c r="B175" s="254"/>
      <c r="C175" s="254"/>
      <c r="D175" s="254"/>
      <c r="E175" s="254"/>
      <c r="F175" s="254"/>
      <c r="G175" s="254"/>
      <c r="H175" s="254"/>
      <c r="I175" s="254"/>
      <c r="J175" s="254"/>
      <c r="K175" s="254"/>
      <c r="L175" s="254"/>
      <c r="M175" s="254"/>
      <c r="N175" s="254"/>
      <c r="O175" s="254"/>
      <c r="P175" s="254"/>
      <c r="Q175" s="254"/>
      <c r="R175" s="254"/>
      <c r="S175" s="254"/>
      <c r="T175" s="254"/>
      <c r="U175" s="254"/>
      <c r="V175" s="254"/>
      <c r="W175" s="254"/>
      <c r="X175" s="254"/>
      <c r="Y175" s="254"/>
    </row>
    <row r="176" spans="1:25" ht="15.75" customHeight="1">
      <c r="A176" s="254"/>
      <c r="B176" s="254"/>
      <c r="C176" s="254"/>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row>
    <row r="177" spans="1:25" ht="15.75" customHeight="1">
      <c r="A177" s="254"/>
      <c r="B177" s="254"/>
      <c r="C177" s="254"/>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row>
    <row r="178" spans="1:25" ht="15.75" customHeight="1">
      <c r="A178" s="254"/>
      <c r="B178" s="254"/>
      <c r="C178" s="254"/>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row>
    <row r="179" spans="1:25" ht="15.75" customHeight="1">
      <c r="A179" s="254"/>
      <c r="B179" s="254"/>
      <c r="C179" s="254"/>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row>
    <row r="180" spans="1:25" ht="15.75" customHeight="1">
      <c r="A180" s="254"/>
      <c r="B180" s="254"/>
      <c r="C180" s="254"/>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row>
    <row r="181" spans="1:25" ht="15.75" customHeight="1">
      <c r="A181" s="254"/>
      <c r="B181" s="254"/>
      <c r="C181" s="254"/>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row>
    <row r="182" spans="1:25" ht="15.75" customHeight="1">
      <c r="A182" s="254"/>
      <c r="B182" s="254"/>
      <c r="C182" s="254"/>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row>
    <row r="183" spans="1:25" ht="15.75" customHeight="1">
      <c r="A183" s="254"/>
      <c r="B183" s="254"/>
      <c r="C183" s="254"/>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row>
    <row r="184" spans="1:25" ht="15.75" customHeight="1">
      <c r="A184" s="254"/>
      <c r="B184" s="254"/>
      <c r="C184" s="254"/>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row>
    <row r="185" spans="1:25" ht="15.75" customHeight="1">
      <c r="A185" s="254"/>
      <c r="B185" s="254"/>
      <c r="C185" s="254"/>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row>
    <row r="186" spans="1:25" ht="15.75" customHeight="1">
      <c r="A186" s="254"/>
      <c r="B186" s="254"/>
      <c r="C186" s="254"/>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row>
    <row r="187" spans="1:25" ht="15.75" customHeight="1">
      <c r="A187" s="254"/>
      <c r="B187" s="254"/>
      <c r="C187" s="254"/>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row>
    <row r="188" spans="1:25" ht="15.75" customHeight="1">
      <c r="A188" s="254"/>
      <c r="B188" s="254"/>
      <c r="C188" s="254"/>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row>
    <row r="189" spans="1:25" ht="15.75" customHeight="1">
      <c r="A189" s="254"/>
      <c r="B189" s="254"/>
      <c r="C189" s="254"/>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row>
    <row r="190" spans="1:25" ht="15.75" customHeight="1">
      <c r="A190" s="254"/>
      <c r="B190" s="254"/>
      <c r="C190" s="254"/>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row>
    <row r="191" spans="1:25" ht="15.75" customHeight="1">
      <c r="A191" s="254"/>
      <c r="B191" s="254"/>
      <c r="C191" s="254"/>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row>
    <row r="192" spans="1:25" ht="15.75" customHeight="1">
      <c r="A192" s="254"/>
      <c r="B192" s="254"/>
      <c r="C192" s="254"/>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row>
    <row r="193" spans="1:25" ht="15.75" customHeight="1">
      <c r="A193" s="254"/>
      <c r="B193" s="254"/>
      <c r="C193" s="254"/>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row>
    <row r="194" spans="1:25" ht="15.75" customHeight="1">
      <c r="A194" s="254"/>
      <c r="B194" s="254"/>
      <c r="C194" s="254"/>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row>
    <row r="195" spans="1:25" ht="15.75" customHeight="1">
      <c r="A195" s="254"/>
      <c r="B195" s="254"/>
      <c r="C195" s="254"/>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row>
    <row r="196" spans="1:25" ht="15.75" customHeight="1">
      <c r="A196" s="254"/>
      <c r="B196" s="254"/>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row>
    <row r="197" spans="1:25" ht="15.75" customHeight="1">
      <c r="A197" s="254"/>
      <c r="B197" s="254"/>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row>
    <row r="198" spans="1:25" ht="15.75" customHeight="1">
      <c r="A198" s="254"/>
      <c r="B198" s="254"/>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row>
    <row r="199" spans="1:25" ht="15.75" customHeight="1">
      <c r="A199" s="254"/>
      <c r="B199" s="254"/>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row>
    <row r="200" spans="1:25" ht="15.75" customHeight="1">
      <c r="A200" s="254"/>
      <c r="B200" s="254"/>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row>
    <row r="201" spans="1:25" ht="15.75" customHeight="1">
      <c r="A201" s="254"/>
      <c r="B201" s="254"/>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row>
    <row r="202" spans="1:25" ht="15.75" customHeight="1">
      <c r="A202" s="254"/>
      <c r="B202" s="254"/>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row>
    <row r="203" spans="1:25" ht="15.75" customHeight="1">
      <c r="A203" s="254"/>
      <c r="B203" s="254"/>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row>
    <row r="204" spans="1:25" ht="15.75" customHeight="1">
      <c r="A204" s="254"/>
      <c r="B204" s="254"/>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row>
    <row r="205" spans="1:25" ht="15.75" customHeight="1">
      <c r="A205" s="254"/>
      <c r="B205" s="254"/>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row>
    <row r="206" spans="1:25" ht="15.75" customHeight="1">
      <c r="A206" s="254"/>
      <c r="B206" s="254"/>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row>
    <row r="207" spans="1:25" ht="15.75" customHeight="1">
      <c r="A207" s="254"/>
      <c r="B207" s="254"/>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row>
    <row r="208" spans="1:25" ht="15.75" customHeight="1">
      <c r="A208" s="254"/>
      <c r="B208" s="254"/>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row>
    <row r="209" spans="1:25" ht="15.75" customHeight="1">
      <c r="A209" s="254"/>
      <c r="B209" s="254"/>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row>
    <row r="210" spans="1:25" ht="15.75" customHeight="1">
      <c r="A210" s="254"/>
      <c r="B210" s="254"/>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row>
    <row r="211" spans="1:25" ht="15.75" customHeight="1">
      <c r="A211" s="254"/>
      <c r="B211" s="254"/>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row>
    <row r="212" spans="1:25" ht="15.75" customHeight="1">
      <c r="A212" s="254"/>
      <c r="B212" s="254"/>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row>
    <row r="213" spans="1:25" ht="15.75" customHeight="1">
      <c r="A213" s="254"/>
      <c r="B213" s="254"/>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row>
    <row r="214" spans="1:25" ht="15.75" customHeight="1">
      <c r="A214" s="254"/>
      <c r="B214" s="254"/>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row>
    <row r="215" spans="1:25" ht="15.75" customHeight="1">
      <c r="A215" s="254"/>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row>
    <row r="216" spans="1:25" ht="15.75" customHeight="1">
      <c r="A216" s="254"/>
      <c r="B216" s="254"/>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row>
    <row r="217" spans="1:25" ht="15.75" customHeight="1">
      <c r="A217" s="254"/>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row>
    <row r="218" spans="1:25" ht="15.75" customHeight="1">
      <c r="A218" s="254"/>
      <c r="B218" s="254"/>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row>
    <row r="219" spans="1:25" ht="15.75" customHeight="1">
      <c r="A219" s="254"/>
      <c r="B219" s="254"/>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row>
    <row r="220" spans="1:25" ht="15.75" customHeight="1">
      <c r="A220" s="254"/>
      <c r="B220" s="254"/>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row>
    <row r="221" spans="1:25" ht="15.75" customHeight="1">
      <c r="A221" s="254"/>
      <c r="B221" s="254"/>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row>
    <row r="222" spans="1:25" ht="15.75" customHeight="1">
      <c r="A222" s="254"/>
      <c r="B222" s="254"/>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row>
    <row r="223" spans="1:25" ht="15.75" customHeight="1">
      <c r="A223" s="254"/>
      <c r="B223" s="254"/>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row>
    <row r="224" spans="1:25" ht="15.75" customHeight="1">
      <c r="A224" s="254"/>
      <c r="B224" s="254"/>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row>
    <row r="225" spans="1:25" ht="15.75" customHeight="1">
      <c r="A225" s="254"/>
      <c r="B225" s="254"/>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row>
    <row r="226" spans="1:25" ht="15.75" customHeight="1">
      <c r="A226" s="254"/>
      <c r="B226" s="254"/>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row>
    <row r="227" spans="1:25" ht="15.75" customHeight="1">
      <c r="A227" s="254"/>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row>
    <row r="228" spans="1:25" ht="15.75" customHeight="1">
      <c r="A228" s="254"/>
      <c r="B228" s="254"/>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row>
    <row r="229" spans="1:25" ht="15.75" customHeight="1">
      <c r="A229" s="254"/>
      <c r="B229" s="254"/>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row>
    <row r="230" spans="1:25" ht="15.75" customHeight="1">
      <c r="A230" s="254"/>
      <c r="B230" s="254"/>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row>
    <row r="231" spans="1:25" ht="15.75" customHeight="1">
      <c r="A231" s="254"/>
      <c r="B231" s="254"/>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row>
    <row r="232" spans="1:25" ht="15.75" customHeight="1">
      <c r="A232" s="254"/>
      <c r="B232" s="254"/>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row>
    <row r="233" spans="1:25" ht="15.75" customHeight="1">
      <c r="A233" s="254"/>
      <c r="B233" s="254"/>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row>
    <row r="234" spans="1:25" ht="15.75" customHeight="1">
      <c r="A234" s="254"/>
      <c r="B234" s="254"/>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row>
    <row r="235" spans="1:25" ht="15.75" customHeight="1">
      <c r="A235" s="254"/>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row>
    <row r="236" spans="1:25" ht="15.75" customHeight="1">
      <c r="A236" s="254"/>
      <c r="B236" s="254"/>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row>
    <row r="237" spans="1:25" ht="15.75" customHeight="1">
      <c r="A237" s="254"/>
      <c r="B237" s="254"/>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row>
    <row r="238" spans="1:25" ht="15.75" customHeight="1">
      <c r="A238" s="254"/>
      <c r="B238" s="254"/>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row>
    <row r="239" spans="1:25" ht="15.75" customHeight="1">
      <c r="A239" s="254"/>
      <c r="B239" s="254"/>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row>
    <row r="240" spans="1:25" ht="15.75" customHeight="1">
      <c r="A240" s="254"/>
      <c r="B240" s="254"/>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row>
    <row r="241" spans="1:25" ht="15.75" customHeight="1">
      <c r="A241" s="254"/>
      <c r="B241" s="254"/>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row>
    <row r="242" spans="1:25" ht="15.75" customHeight="1">
      <c r="A242" s="254"/>
      <c r="B242" s="254"/>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row>
    <row r="243" spans="1:25" ht="15.75" customHeight="1">
      <c r="A243" s="254"/>
      <c r="B243" s="254"/>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row>
    <row r="244" spans="1:25" ht="15.75" customHeight="1">
      <c r="A244" s="254"/>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row>
    <row r="245" spans="1:25" ht="15.75" customHeight="1">
      <c r="A245" s="254"/>
      <c r="B245" s="254"/>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row>
    <row r="246" spans="1:25" ht="15.75" customHeight="1">
      <c r="A246" s="254"/>
      <c r="B246" s="254"/>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row>
    <row r="247" spans="1:25" ht="15.75" customHeight="1">
      <c r="A247" s="254"/>
      <c r="B247" s="254"/>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row>
    <row r="248" spans="1:25" ht="15.75" customHeight="1">
      <c r="A248" s="254"/>
      <c r="B248" s="254"/>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row>
    <row r="249" spans="1:25" ht="15.75" customHeight="1">
      <c r="A249" s="254"/>
      <c r="B249" s="254"/>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row>
    <row r="250" spans="1:25" ht="15.75" customHeight="1">
      <c r="A250" s="254"/>
      <c r="B250" s="254"/>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row>
    <row r="251" spans="1:25" ht="15.75" customHeight="1">
      <c r="A251" s="254"/>
      <c r="B251" s="254"/>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row>
    <row r="252" spans="1:25" ht="15.75" customHeight="1">
      <c r="A252" s="254"/>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row>
    <row r="253" spans="1:25" ht="15.75" customHeight="1">
      <c r="A253" s="254"/>
      <c r="B253" s="254"/>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row>
    <row r="254" spans="1:25" ht="15.75" customHeight="1">
      <c r="A254" s="254"/>
      <c r="B254" s="254"/>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row>
    <row r="255" spans="1:25" ht="15.75" customHeight="1">
      <c r="A255" s="254"/>
      <c r="B255" s="254"/>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row>
    <row r="256" spans="1:25" ht="15.75" customHeight="1">
      <c r="A256" s="254"/>
      <c r="B256" s="254"/>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row>
    <row r="257" spans="1:25" ht="15.75" customHeight="1">
      <c r="A257" s="254"/>
      <c r="B257" s="254"/>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row>
    <row r="258" spans="1:25" ht="15.75" customHeight="1">
      <c r="A258" s="254"/>
      <c r="B258" s="254"/>
      <c r="C258" s="254"/>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row>
    <row r="259" spans="1:25" ht="15.75" customHeight="1">
      <c r="A259" s="254"/>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row>
    <row r="260" spans="1:25" ht="15.75" customHeight="1">
      <c r="A260" s="254"/>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row>
    <row r="261" spans="1:25" ht="15.75" customHeight="1">
      <c r="A261" s="254"/>
      <c r="B261" s="254"/>
      <c r="C261" s="254"/>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row>
    <row r="262" spans="1:25" ht="15.75" customHeight="1">
      <c r="A262" s="254"/>
      <c r="B262" s="254"/>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row>
    <row r="263" spans="1:25" ht="15.75" customHeight="1">
      <c r="A263" s="254"/>
      <c r="B263" s="254"/>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row>
    <row r="264" spans="1:25" ht="15.75" customHeight="1">
      <c r="A264" s="254"/>
      <c r="B264" s="254"/>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row>
    <row r="265" spans="1:25" ht="15.75" customHeight="1">
      <c r="A265" s="254"/>
      <c r="B265" s="254"/>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row>
    <row r="266" spans="1:25" ht="15.75" customHeight="1">
      <c r="A266" s="254"/>
      <c r="B266" s="254"/>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row>
    <row r="267" spans="1:25" ht="15.75" customHeight="1">
      <c r="A267" s="254"/>
      <c r="B267" s="254"/>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row>
    <row r="268" spans="1:25" ht="15.75" customHeight="1">
      <c r="A268" s="254"/>
      <c r="B268" s="254"/>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row>
    <row r="269" spans="1:25" ht="15.75" customHeight="1">
      <c r="A269" s="254"/>
      <c r="B269" s="254"/>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row>
    <row r="270" spans="1:25" ht="15.75" customHeight="1">
      <c r="A270" s="254"/>
      <c r="B270" s="254"/>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row>
    <row r="271" spans="1:25" ht="15.75" customHeight="1">
      <c r="A271" s="254"/>
      <c r="B271" s="254"/>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row>
    <row r="272" spans="1:25" ht="15.75" customHeight="1">
      <c r="A272" s="254"/>
      <c r="B272" s="254"/>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row>
    <row r="273" spans="1:25" ht="15.75" customHeight="1">
      <c r="A273" s="254"/>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row>
    <row r="274" spans="1:25" ht="15.75" customHeight="1">
      <c r="A274" s="254"/>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row>
    <row r="275" spans="1:25" ht="15.75" customHeight="1">
      <c r="A275" s="254"/>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row>
    <row r="276" spans="1:25" ht="15.75" customHeight="1">
      <c r="A276" s="254"/>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row>
    <row r="277" spans="1:25" ht="15.75" customHeight="1">
      <c r="A277" s="254"/>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row>
    <row r="278" spans="1:25" ht="15.75" customHeight="1">
      <c r="A278" s="254"/>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row>
    <row r="279" spans="1:25" ht="15.75" customHeight="1">
      <c r="A279" s="254"/>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row>
    <row r="280" spans="1:25" ht="15.75" customHeight="1">
      <c r="A280" s="254"/>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row>
    <row r="281" spans="1:25" ht="15.75" customHeight="1">
      <c r="A281" s="254"/>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row>
    <row r="282" spans="1:25" ht="15.75" customHeight="1">
      <c r="A282" s="254"/>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row>
    <row r="283" spans="1:25" ht="15.75" customHeight="1">
      <c r="A283" s="254"/>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row>
    <row r="284" spans="1:25" ht="15.75" customHeight="1">
      <c r="A284" s="254"/>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row>
    <row r="285" spans="1:25" ht="15.75" customHeight="1">
      <c r="A285" s="254"/>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row>
    <row r="286" spans="1:25" ht="15.75" customHeight="1">
      <c r="A286" s="254"/>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row>
    <row r="287" spans="1:25" ht="15.75" customHeight="1">
      <c r="A287" s="254"/>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row>
    <row r="288" spans="1:25" ht="15.75" customHeight="1">
      <c r="A288" s="254"/>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row>
    <row r="289" spans="1:25" ht="15.75" customHeight="1">
      <c r="A289" s="254"/>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row>
    <row r="290" spans="1:25" ht="15.75" customHeight="1">
      <c r="A290" s="254"/>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row>
    <row r="291" spans="1:25" ht="15.75" customHeight="1">
      <c r="A291" s="254"/>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row>
    <row r="292" spans="1:25" ht="15.75" customHeight="1">
      <c r="A292" s="254"/>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row>
    <row r="293" spans="1:25" ht="15.75" customHeight="1">
      <c r="A293" s="254"/>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row>
    <row r="294" spans="1:25" ht="15.75" customHeight="1">
      <c r="A294" s="254"/>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row>
    <row r="295" spans="1:25" ht="15.75" customHeight="1">
      <c r="A295" s="254"/>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row>
    <row r="296" spans="1:25" ht="15.75" customHeight="1">
      <c r="A296" s="254"/>
      <c r="B296" s="254"/>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row>
    <row r="297" spans="1:25" ht="15.75" customHeight="1">
      <c r="A297" s="254"/>
      <c r="B297" s="254"/>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row>
    <row r="298" spans="1:25" ht="15.75" customHeight="1">
      <c r="A298" s="254"/>
      <c r="B298" s="254"/>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row>
    <row r="299" spans="1:25" ht="15.75" customHeight="1">
      <c r="A299" s="254"/>
      <c r="B299" s="254"/>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row>
    <row r="300" spans="1:25" ht="15.75" customHeight="1">
      <c r="A300" s="254"/>
      <c r="B300" s="254"/>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row>
    <row r="301" spans="1:25" ht="15.75" customHeight="1">
      <c r="A301" s="254"/>
      <c r="B301" s="254"/>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row>
    <row r="302" spans="1:25" ht="15.75" customHeight="1">
      <c r="A302" s="254"/>
      <c r="B302" s="254"/>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row>
    <row r="303" spans="1:25" ht="15.75" customHeight="1">
      <c r="A303" s="254"/>
      <c r="B303" s="254"/>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row>
    <row r="304" spans="1:25" ht="15.75" customHeight="1">
      <c r="A304" s="254"/>
      <c r="B304" s="254"/>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row>
    <row r="305" spans="1:25" ht="15.75" customHeight="1">
      <c r="A305" s="254"/>
      <c r="B305" s="254"/>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row>
    <row r="306" spans="1:25" ht="15.75" customHeight="1">
      <c r="A306" s="254"/>
      <c r="B306" s="254"/>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row>
    <row r="307" spans="1:25" ht="15.75" customHeight="1">
      <c r="A307" s="254"/>
      <c r="B307" s="254"/>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row>
    <row r="308" spans="1:25" ht="15.75" customHeight="1">
      <c r="A308" s="254"/>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row>
    <row r="309" spans="1:25" ht="15.75" customHeight="1">
      <c r="A309" s="254"/>
      <c r="B309" s="254"/>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row>
    <row r="310" spans="1:25" ht="15.75" customHeight="1">
      <c r="A310" s="254"/>
      <c r="B310" s="254"/>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row>
    <row r="311" spans="1:25" ht="15.75" customHeight="1">
      <c r="A311" s="254"/>
      <c r="B311" s="254"/>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row>
    <row r="312" spans="1:25" ht="15.75" customHeight="1">
      <c r="A312" s="254"/>
      <c r="B312" s="254"/>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row>
    <row r="313" spans="1:25" ht="15.75" customHeight="1">
      <c r="A313" s="254"/>
      <c r="B313" s="254"/>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row>
    <row r="314" spans="1:25" ht="15.75" customHeight="1">
      <c r="A314" s="254"/>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row>
    <row r="315" spans="1:25" ht="15.75" customHeight="1">
      <c r="A315" s="254"/>
      <c r="B315" s="254"/>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row>
    <row r="316" spans="1:25" ht="15.75" customHeight="1">
      <c r="A316" s="254"/>
      <c r="B316" s="254"/>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row>
    <row r="317" spans="1:25" ht="15.75" customHeight="1">
      <c r="A317" s="254"/>
      <c r="B317" s="254"/>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row>
    <row r="318" spans="1:25" ht="15.75" customHeight="1">
      <c r="A318" s="254"/>
      <c r="B318" s="254"/>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row>
    <row r="319" spans="1:25" ht="15.75" customHeight="1">
      <c r="A319" s="254"/>
      <c r="B319" s="254"/>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row>
    <row r="320" spans="1:25" ht="15.75" customHeight="1">
      <c r="A320" s="254"/>
      <c r="B320" s="254"/>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row>
    <row r="321" spans="1:25" ht="15.75" customHeight="1">
      <c r="A321" s="254"/>
      <c r="B321" s="254"/>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row>
    <row r="322" spans="1:25" ht="15.75" customHeight="1">
      <c r="A322" s="254"/>
      <c r="B322" s="254"/>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row>
    <row r="323" spans="1:25" ht="15.75" customHeight="1">
      <c r="A323" s="254"/>
      <c r="B323" s="254"/>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row>
    <row r="324" spans="1:25" ht="15.75" customHeight="1">
      <c r="A324" s="254"/>
      <c r="B324" s="254"/>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row>
    <row r="325" spans="1:25" ht="15.75" customHeight="1">
      <c r="A325" s="254"/>
      <c r="B325" s="254"/>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row>
    <row r="326" spans="1:25" ht="15.75" customHeight="1">
      <c r="A326" s="254"/>
      <c r="B326" s="254"/>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row>
    <row r="327" spans="1:25" ht="15.75" customHeight="1">
      <c r="A327" s="254"/>
      <c r="B327" s="254"/>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row>
    <row r="328" spans="1:25" ht="15.75" customHeight="1">
      <c r="A328" s="254"/>
      <c r="B328" s="254"/>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row>
    <row r="329" spans="1:25" ht="15.75" customHeight="1">
      <c r="A329" s="254"/>
      <c r="B329" s="254"/>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row>
    <row r="330" spans="1:25" ht="15.75" customHeight="1">
      <c r="A330" s="254"/>
      <c r="B330" s="254"/>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row>
    <row r="331" spans="1:25" ht="15.75" customHeight="1">
      <c r="A331" s="254"/>
      <c r="B331" s="254"/>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row>
    <row r="332" spans="1:25" ht="15.75" customHeight="1">
      <c r="A332" s="254"/>
      <c r="B332" s="254"/>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row>
    <row r="333" spans="1:25" ht="15.75" customHeight="1">
      <c r="A333" s="254"/>
      <c r="B333" s="254"/>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row>
    <row r="334" spans="1:25" ht="15.75" customHeight="1">
      <c r="A334" s="254"/>
      <c r="B334" s="254"/>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row>
    <row r="335" spans="1:25" ht="15.75" customHeight="1">
      <c r="A335" s="254"/>
      <c r="B335" s="254"/>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row>
    <row r="336" spans="1:25" ht="15.75" customHeight="1">
      <c r="A336" s="254"/>
      <c r="B336" s="254"/>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row>
    <row r="337" spans="1:25" ht="15.75" customHeight="1">
      <c r="A337" s="254"/>
      <c r="B337" s="254"/>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row>
    <row r="338" spans="1:25" ht="15.75" customHeight="1">
      <c r="A338" s="254"/>
      <c r="B338" s="254"/>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row>
    <row r="339" spans="1:25" ht="15.75" customHeight="1">
      <c r="A339" s="254"/>
      <c r="B339" s="254"/>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row>
    <row r="340" spans="1:25" ht="15.75" customHeight="1">
      <c r="A340" s="254"/>
      <c r="B340" s="254"/>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row>
    <row r="341" spans="1:25" ht="15.75" customHeight="1">
      <c r="A341" s="254"/>
      <c r="B341" s="254"/>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row>
    <row r="342" spans="1:25" ht="15.75" customHeight="1">
      <c r="A342" s="254"/>
      <c r="B342" s="254"/>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row>
    <row r="343" spans="1:25" ht="15.75" customHeight="1">
      <c r="A343" s="254"/>
      <c r="B343" s="254"/>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row>
    <row r="344" spans="1:25" ht="15.75" customHeight="1">
      <c r="A344" s="254"/>
      <c r="B344" s="254"/>
      <c r="C344" s="254"/>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row>
    <row r="345" spans="1:25" ht="15.75" customHeight="1">
      <c r="A345" s="254"/>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row>
    <row r="346" spans="1:25" ht="15.75" customHeight="1">
      <c r="A346" s="254"/>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row>
    <row r="347" spans="1:25" ht="15.75" customHeight="1">
      <c r="A347" s="254"/>
      <c r="B347" s="254"/>
      <c r="C347" s="254"/>
      <c r="D347" s="254"/>
      <c r="E347" s="254"/>
      <c r="F347" s="254"/>
      <c r="G347" s="254"/>
      <c r="H347" s="254"/>
      <c r="I347" s="254"/>
      <c r="J347" s="254"/>
      <c r="K347" s="254"/>
      <c r="L347" s="254"/>
      <c r="M347" s="254"/>
      <c r="N347" s="254"/>
      <c r="O347" s="254"/>
      <c r="P347" s="254"/>
      <c r="Q347" s="254"/>
      <c r="R347" s="254"/>
      <c r="S347" s="254"/>
      <c r="T347" s="254"/>
      <c r="U347" s="254"/>
      <c r="V347" s="254"/>
      <c r="W347" s="254"/>
      <c r="X347" s="254"/>
      <c r="Y347" s="254"/>
    </row>
    <row r="348" spans="1:25" ht="15.75" customHeight="1">
      <c r="A348" s="254"/>
      <c r="B348" s="254"/>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row>
    <row r="349" spans="1:25" ht="15.75" customHeight="1">
      <c r="A349" s="254"/>
      <c r="B349" s="254"/>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row>
    <row r="350" spans="1:25" ht="15.75" customHeight="1">
      <c r="A350" s="254"/>
      <c r="B350" s="254"/>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row>
    <row r="351" spans="1:25" ht="15.75" customHeight="1">
      <c r="A351" s="254"/>
      <c r="B351" s="254"/>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row>
    <row r="352" spans="1:25" ht="15.75" customHeight="1">
      <c r="A352" s="254"/>
      <c r="B352" s="254"/>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row>
    <row r="353" spans="1:25" ht="15.75" customHeight="1">
      <c r="A353" s="254"/>
      <c r="B353" s="254"/>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row>
    <row r="354" spans="1:25" ht="15.75" customHeight="1">
      <c r="A354" s="254"/>
      <c r="B354" s="254"/>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row>
    <row r="355" spans="1:25" ht="15.75" customHeight="1">
      <c r="A355" s="254"/>
      <c r="B355" s="254"/>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row>
    <row r="356" spans="1:25" ht="15.75" customHeight="1">
      <c r="A356" s="254"/>
      <c r="B356" s="254"/>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row>
    <row r="357" spans="1:25" ht="15.75" customHeight="1">
      <c r="A357" s="254"/>
      <c r="B357" s="254"/>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row>
    <row r="358" spans="1:25" ht="15.75" customHeight="1">
      <c r="A358" s="254"/>
      <c r="B358" s="254"/>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row>
    <row r="359" spans="1:25" ht="15.75" customHeight="1">
      <c r="A359" s="254"/>
      <c r="B359" s="254"/>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row>
    <row r="360" spans="1:25" ht="15.75" customHeight="1">
      <c r="A360" s="254"/>
      <c r="B360" s="254"/>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row>
    <row r="361" spans="1:25" ht="15.75" customHeight="1">
      <c r="A361" s="254"/>
      <c r="B361" s="254"/>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row>
    <row r="362" spans="1:25" ht="15.75" customHeight="1">
      <c r="A362" s="254"/>
      <c r="B362" s="254"/>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row>
    <row r="363" spans="1:25" ht="15.75" customHeight="1">
      <c r="A363" s="254"/>
      <c r="B363" s="254"/>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row>
    <row r="364" spans="1:25" ht="15.75" customHeight="1">
      <c r="A364" s="254"/>
      <c r="B364" s="254"/>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row>
    <row r="365" spans="1:25" ht="15.75" customHeight="1">
      <c r="A365" s="254"/>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row>
    <row r="366" spans="1:25" ht="15.75" customHeight="1">
      <c r="A366" s="254"/>
      <c r="B366" s="254"/>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row>
    <row r="367" spans="1:25" ht="15.75" customHeight="1">
      <c r="A367" s="254"/>
      <c r="B367" s="254"/>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row>
    <row r="368" spans="1:25" ht="15.75" customHeight="1">
      <c r="A368" s="254"/>
      <c r="B368" s="254"/>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row>
    <row r="369" spans="1:25" ht="15.75" customHeight="1">
      <c r="A369" s="254"/>
      <c r="B369" s="254"/>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row>
    <row r="370" spans="1:25" ht="15.75" customHeight="1">
      <c r="A370" s="254"/>
      <c r="B370" s="254"/>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row>
    <row r="371" spans="1:25" ht="15.75" customHeight="1">
      <c r="A371" s="254"/>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row>
    <row r="372" spans="1:25" ht="15.75" customHeight="1">
      <c r="A372" s="254"/>
      <c r="B372" s="254"/>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row>
    <row r="373" spans="1:25" ht="15.75" customHeight="1">
      <c r="A373" s="254"/>
      <c r="B373" s="254"/>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row>
    <row r="374" spans="1:25" ht="15.75" customHeight="1">
      <c r="A374" s="254"/>
      <c r="B374" s="254"/>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row>
    <row r="375" spans="1:25" ht="15.75" customHeight="1">
      <c r="A375" s="254"/>
      <c r="B375" s="254"/>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row>
    <row r="376" spans="1:25" ht="15.75" customHeight="1">
      <c r="A376" s="254"/>
      <c r="B376" s="254"/>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row>
    <row r="377" spans="1:25" ht="15.75" customHeight="1">
      <c r="A377" s="254"/>
      <c r="B377" s="254"/>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row>
    <row r="378" spans="1:25" ht="15.75" customHeight="1">
      <c r="A378" s="254"/>
      <c r="B378" s="254"/>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row>
    <row r="379" spans="1:25" ht="15.75" customHeight="1">
      <c r="A379" s="254"/>
      <c r="B379" s="254"/>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row>
    <row r="380" spans="1:25" ht="15.75" customHeight="1">
      <c r="A380" s="254"/>
      <c r="B380" s="254"/>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row>
    <row r="381" spans="1:25" ht="15.75" customHeight="1">
      <c r="A381" s="254"/>
      <c r="B381" s="254"/>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row>
    <row r="382" spans="1:25" ht="15.75" customHeight="1">
      <c r="A382" s="254"/>
      <c r="B382" s="254"/>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row>
    <row r="383" spans="1:25" ht="15.75" customHeight="1">
      <c r="A383" s="254"/>
      <c r="B383" s="254"/>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row>
    <row r="384" spans="1:25" ht="15.75" customHeight="1">
      <c r="A384" s="254"/>
      <c r="B384" s="254"/>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row>
    <row r="385" spans="1:25" ht="15.75" customHeight="1">
      <c r="A385" s="254"/>
      <c r="B385" s="254"/>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row>
    <row r="386" spans="1:25" ht="15.75" customHeight="1">
      <c r="A386" s="254"/>
      <c r="B386" s="254"/>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row>
    <row r="387" spans="1:25" ht="15.75" customHeight="1">
      <c r="A387" s="254"/>
      <c r="B387" s="254"/>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row>
    <row r="388" spans="1:25" ht="15.75" customHeight="1">
      <c r="A388" s="254"/>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row>
    <row r="389" spans="1:25" ht="15.75" customHeight="1">
      <c r="A389" s="254"/>
      <c r="B389" s="254"/>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row>
    <row r="390" spans="1:25" ht="15.75" customHeight="1">
      <c r="A390" s="254"/>
      <c r="B390" s="254"/>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row>
    <row r="391" spans="1:25" ht="15.75" customHeight="1">
      <c r="A391" s="254"/>
      <c r="B391" s="254"/>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row>
    <row r="392" spans="1:25" ht="15.75" customHeight="1">
      <c r="A392" s="254"/>
      <c r="B392" s="254"/>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row>
    <row r="393" spans="1:25" ht="15.75" customHeight="1">
      <c r="A393" s="254"/>
      <c r="B393" s="254"/>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row>
    <row r="394" spans="1:25" ht="15.75" customHeight="1">
      <c r="A394" s="254"/>
      <c r="B394" s="254"/>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row>
    <row r="395" spans="1:25" ht="15.75" customHeight="1">
      <c r="A395" s="254"/>
      <c r="B395" s="254"/>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row>
    <row r="396" spans="1:25" ht="15.75" customHeight="1">
      <c r="A396" s="254"/>
      <c r="B396" s="254"/>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row>
    <row r="397" spans="1:25" ht="15.75" customHeight="1">
      <c r="A397" s="254"/>
      <c r="B397" s="254"/>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row>
    <row r="398" spans="1:25" ht="15.75" customHeight="1">
      <c r="A398" s="254"/>
      <c r="B398" s="254"/>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row>
    <row r="399" spans="1:25" ht="15.75" customHeight="1">
      <c r="A399" s="254"/>
      <c r="B399" s="254"/>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row>
    <row r="400" spans="1:25" ht="15.75" customHeight="1">
      <c r="A400" s="254"/>
      <c r="B400" s="254"/>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row>
    <row r="401" spans="1:25" ht="15.75" customHeight="1">
      <c r="A401" s="254"/>
      <c r="B401" s="254"/>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row>
    <row r="402" spans="1:25" ht="15.75" customHeight="1">
      <c r="A402" s="254"/>
      <c r="B402" s="254"/>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row>
    <row r="403" spans="1:25" ht="15.75" customHeight="1">
      <c r="A403" s="254"/>
      <c r="B403" s="254"/>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row>
    <row r="404" spans="1:25" ht="15.75" customHeight="1">
      <c r="A404" s="254"/>
      <c r="B404" s="254"/>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row>
    <row r="405" spans="1:25" ht="15.75" customHeight="1">
      <c r="A405" s="254"/>
      <c r="B405" s="254"/>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row>
    <row r="406" spans="1:25" ht="15.75" customHeight="1">
      <c r="A406" s="254"/>
      <c r="B406" s="254"/>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row>
    <row r="407" spans="1:25" ht="15.75" customHeight="1">
      <c r="A407" s="254"/>
      <c r="B407" s="254"/>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row>
    <row r="408" spans="1:25" ht="15.75" customHeight="1">
      <c r="A408" s="254"/>
      <c r="B408" s="254"/>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row>
    <row r="409" spans="1:25" ht="15.75" customHeight="1">
      <c r="A409" s="254"/>
      <c r="B409" s="254"/>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row>
    <row r="410" spans="1:25" ht="15.75" customHeight="1">
      <c r="A410" s="254"/>
      <c r="B410" s="254"/>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row>
    <row r="411" spans="1:25" ht="15.75" customHeight="1">
      <c r="A411" s="254"/>
      <c r="B411" s="254"/>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row>
    <row r="412" spans="1:25" ht="15.75" customHeight="1">
      <c r="A412" s="254"/>
      <c r="B412" s="254"/>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row>
    <row r="413" spans="1:25" ht="15.75" customHeight="1">
      <c r="A413" s="254"/>
      <c r="B413" s="254"/>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row>
    <row r="414" spans="1:25" ht="15.75" customHeight="1">
      <c r="A414" s="254"/>
      <c r="B414" s="254"/>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row>
    <row r="415" spans="1:25" ht="15.75" customHeight="1">
      <c r="A415" s="254"/>
      <c r="B415" s="254"/>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row>
    <row r="416" spans="1:25" ht="15.75" customHeight="1">
      <c r="A416" s="254"/>
      <c r="B416" s="254"/>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row>
    <row r="417" spans="1:25" ht="15.75" customHeight="1">
      <c r="A417" s="254"/>
      <c r="B417" s="254"/>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row>
    <row r="418" spans="1:25" ht="15.75" customHeight="1">
      <c r="A418" s="254"/>
      <c r="B418" s="254"/>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row>
    <row r="419" spans="1:25" ht="15.75" customHeight="1">
      <c r="A419" s="254"/>
      <c r="B419" s="254"/>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row>
    <row r="420" spans="1:25" ht="15.75" customHeight="1">
      <c r="A420" s="254"/>
      <c r="B420" s="254"/>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row>
    <row r="421" spans="1:25" ht="15.75" customHeight="1">
      <c r="A421" s="254"/>
      <c r="B421" s="254"/>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row>
    <row r="422" spans="1:25" ht="15.75" customHeight="1">
      <c r="A422" s="254"/>
      <c r="B422" s="254"/>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row>
    <row r="423" spans="1:25" ht="15.75" customHeight="1">
      <c r="A423" s="254"/>
      <c r="B423" s="254"/>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row>
    <row r="424" spans="1:25" ht="15.75" customHeight="1">
      <c r="A424" s="254"/>
      <c r="B424" s="254"/>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row>
    <row r="425" spans="1:25" ht="15.75" customHeight="1">
      <c r="A425" s="254"/>
      <c r="B425" s="254"/>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row>
    <row r="426" spans="1:25" ht="15.75" customHeight="1">
      <c r="A426" s="254"/>
      <c r="B426" s="254"/>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row>
    <row r="427" spans="1:25" ht="15.75" customHeight="1">
      <c r="A427" s="254"/>
      <c r="B427" s="254"/>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row>
    <row r="428" spans="1:25" ht="15.75" customHeight="1">
      <c r="A428" s="254"/>
      <c r="B428" s="254"/>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row>
    <row r="429" spans="1:25" ht="15.75" customHeight="1">
      <c r="A429" s="254"/>
      <c r="B429" s="254"/>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row>
    <row r="430" spans="1:25" ht="15.75" customHeight="1">
      <c r="A430" s="254"/>
      <c r="B430" s="254"/>
      <c r="C430" s="254"/>
      <c r="D430" s="254"/>
      <c r="E430" s="254"/>
      <c r="F430" s="254"/>
      <c r="G430" s="254"/>
      <c r="H430" s="254"/>
      <c r="I430" s="254"/>
      <c r="J430" s="254"/>
      <c r="K430" s="254"/>
      <c r="L430" s="254"/>
      <c r="M430" s="254"/>
      <c r="N430" s="254"/>
      <c r="O430" s="254"/>
      <c r="P430" s="254"/>
      <c r="Q430" s="254"/>
      <c r="R430" s="254"/>
      <c r="S430" s="254"/>
      <c r="T430" s="254"/>
      <c r="U430" s="254"/>
      <c r="V430" s="254"/>
      <c r="W430" s="254"/>
      <c r="X430" s="254"/>
      <c r="Y430" s="254"/>
    </row>
    <row r="431" spans="1:25" ht="15.75" customHeight="1">
      <c r="A431" s="254"/>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row>
    <row r="432" spans="1:25" ht="15.75" customHeight="1">
      <c r="A432" s="254"/>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row>
    <row r="433" spans="1:25" ht="15.75" customHeight="1">
      <c r="A433" s="254"/>
      <c r="B433" s="254"/>
      <c r="C433" s="254"/>
      <c r="D433" s="254"/>
      <c r="E433" s="254"/>
      <c r="F433" s="254"/>
      <c r="G433" s="254"/>
      <c r="H433" s="254"/>
      <c r="I433" s="254"/>
      <c r="J433" s="254"/>
      <c r="K433" s="254"/>
      <c r="L433" s="254"/>
      <c r="M433" s="254"/>
      <c r="N433" s="254"/>
      <c r="O433" s="254"/>
      <c r="P433" s="254"/>
      <c r="Q433" s="254"/>
      <c r="R433" s="254"/>
      <c r="S433" s="254"/>
      <c r="T433" s="254"/>
      <c r="U433" s="254"/>
      <c r="V433" s="254"/>
      <c r="W433" s="254"/>
      <c r="X433" s="254"/>
      <c r="Y433" s="254"/>
    </row>
    <row r="434" spans="1:25" ht="15.75" customHeight="1">
      <c r="A434" s="254"/>
      <c r="B434" s="254"/>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row>
    <row r="435" spans="1:25" ht="15.75" customHeight="1">
      <c r="A435" s="254"/>
      <c r="B435" s="254"/>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row>
    <row r="436" spans="1:25" ht="15.75" customHeight="1">
      <c r="A436" s="254"/>
      <c r="B436" s="254"/>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row>
    <row r="437" spans="1:25" ht="15.75" customHeight="1">
      <c r="A437" s="254"/>
      <c r="B437" s="254"/>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row>
    <row r="438" spans="1:25" ht="15.75" customHeight="1">
      <c r="A438" s="254"/>
      <c r="B438" s="254"/>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row>
    <row r="439" spans="1:25" ht="15.75" customHeight="1">
      <c r="A439" s="254"/>
      <c r="B439" s="254"/>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row>
    <row r="440" spans="1:25" ht="15.75" customHeight="1">
      <c r="A440" s="254"/>
      <c r="B440" s="254"/>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row>
    <row r="441" spans="1:25" ht="15.75" customHeight="1">
      <c r="A441" s="254"/>
      <c r="B441" s="254"/>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row>
    <row r="442" spans="1:25" ht="15.75" customHeight="1">
      <c r="A442" s="254"/>
      <c r="B442" s="254"/>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row>
    <row r="443" spans="1:25" ht="15.75" customHeight="1">
      <c r="A443" s="254"/>
      <c r="B443" s="254"/>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row>
    <row r="444" spans="1:25" ht="15.75" customHeight="1">
      <c r="A444" s="254"/>
      <c r="B444" s="254"/>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row>
    <row r="445" spans="1:25" ht="15.75" customHeight="1">
      <c r="A445" s="254"/>
      <c r="B445" s="254"/>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row>
    <row r="446" spans="1:25" ht="15.75" customHeight="1">
      <c r="A446" s="254"/>
      <c r="B446" s="254"/>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row>
    <row r="447" spans="1:25" ht="15.75" customHeight="1">
      <c r="A447" s="254"/>
      <c r="B447" s="254"/>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row>
    <row r="448" spans="1:25" ht="15.75" customHeight="1">
      <c r="A448" s="254"/>
      <c r="B448" s="254"/>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row>
    <row r="449" spans="1:25" ht="15.75" customHeight="1">
      <c r="A449" s="254"/>
      <c r="B449" s="254"/>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row>
    <row r="450" spans="1:25" ht="15.75" customHeight="1">
      <c r="A450" s="254"/>
      <c r="B450" s="254"/>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row>
    <row r="451" spans="1:25" ht="15.75" customHeight="1">
      <c r="A451" s="254"/>
      <c r="B451" s="254"/>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row>
    <row r="452" spans="1:25" ht="15.75" customHeight="1">
      <c r="A452" s="254"/>
      <c r="B452" s="254"/>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row>
    <row r="453" spans="1:25" ht="15.75" customHeight="1">
      <c r="A453" s="254"/>
      <c r="B453" s="254"/>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row>
    <row r="454" spans="1:25" ht="15.75" customHeight="1">
      <c r="A454" s="254"/>
      <c r="B454" s="254"/>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row>
    <row r="455" spans="1:25" ht="15.75" customHeight="1">
      <c r="A455" s="254"/>
      <c r="B455" s="254"/>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row>
    <row r="456" spans="1:25" ht="15.75" customHeight="1">
      <c r="A456" s="254"/>
      <c r="B456" s="254"/>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row>
    <row r="457" spans="1:25" ht="15.75" customHeight="1">
      <c r="A457" s="254"/>
      <c r="B457" s="254"/>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row>
    <row r="458" spans="1:25" ht="15.75" customHeight="1">
      <c r="A458" s="254"/>
      <c r="B458" s="254"/>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row>
    <row r="459" spans="1:25" ht="15.75" customHeight="1">
      <c r="A459" s="254"/>
      <c r="B459" s="254"/>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row>
    <row r="460" spans="1:25" ht="15.75" customHeight="1">
      <c r="A460" s="254"/>
      <c r="B460" s="254"/>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row>
    <row r="461" spans="1:25" ht="15.75" customHeight="1">
      <c r="A461" s="254"/>
      <c r="B461" s="254"/>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row>
    <row r="462" spans="1:25" ht="15.75" customHeight="1">
      <c r="A462" s="254"/>
      <c r="B462" s="254"/>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row>
    <row r="463" spans="1:25" ht="15.75" customHeight="1">
      <c r="A463" s="254"/>
      <c r="B463" s="254"/>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row>
    <row r="464" spans="1:25" ht="15.75" customHeight="1">
      <c r="A464" s="254"/>
      <c r="B464" s="254"/>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row>
    <row r="465" spans="1:25" ht="15.75" customHeight="1">
      <c r="A465" s="254"/>
      <c r="B465" s="254"/>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row>
    <row r="466" spans="1:25" ht="15.75" customHeight="1">
      <c r="A466" s="254"/>
      <c r="B466" s="254"/>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row>
    <row r="467" spans="1:25" ht="15.75" customHeight="1">
      <c r="A467" s="254"/>
      <c r="B467" s="254"/>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row>
    <row r="468" spans="1:25" ht="15.75" customHeight="1">
      <c r="A468" s="254"/>
      <c r="B468" s="254"/>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row>
    <row r="469" spans="1:25" ht="15.75" customHeight="1">
      <c r="A469" s="254"/>
      <c r="B469" s="254"/>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row>
    <row r="470" spans="1:25" ht="15.75" customHeight="1">
      <c r="A470" s="254"/>
      <c r="B470" s="254"/>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row>
    <row r="471" spans="1:25" ht="15.75" customHeight="1">
      <c r="A471" s="254"/>
      <c r="B471" s="254"/>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row>
    <row r="472" spans="1:25" ht="15.75" customHeight="1">
      <c r="A472" s="254"/>
      <c r="B472" s="254"/>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row>
    <row r="473" spans="1:25" ht="15.75" customHeight="1">
      <c r="A473" s="254"/>
      <c r="B473" s="254"/>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row>
    <row r="474" spans="1:25" ht="15.75" customHeight="1">
      <c r="A474" s="254"/>
      <c r="B474" s="254"/>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row>
    <row r="475" spans="1:25" ht="15.75" customHeight="1">
      <c r="A475" s="254"/>
      <c r="B475" s="254"/>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row>
    <row r="476" spans="1:25" ht="15.75" customHeight="1">
      <c r="A476" s="254"/>
      <c r="B476" s="254"/>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row>
    <row r="477" spans="1:25" ht="15.75" customHeight="1">
      <c r="A477" s="254"/>
      <c r="B477" s="254"/>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row>
    <row r="478" spans="1:25" ht="15.75" customHeight="1">
      <c r="A478" s="254"/>
      <c r="B478" s="254"/>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row>
    <row r="479" spans="1:25" ht="15.75" customHeight="1">
      <c r="A479" s="254"/>
      <c r="B479" s="254"/>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row>
    <row r="480" spans="1:25" ht="15.75" customHeight="1">
      <c r="A480" s="254"/>
      <c r="B480" s="254"/>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row>
    <row r="481" spans="1:25" ht="15.75" customHeight="1">
      <c r="A481" s="254"/>
      <c r="B481" s="254"/>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row>
    <row r="482" spans="1:25" ht="15.75" customHeight="1">
      <c r="A482" s="254"/>
      <c r="B482" s="254"/>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row>
    <row r="483" spans="1:25" ht="15.75" customHeight="1">
      <c r="A483" s="254"/>
      <c r="B483" s="254"/>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row>
    <row r="484" spans="1:25" ht="15.75" customHeight="1">
      <c r="A484" s="254"/>
      <c r="B484" s="254"/>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row>
    <row r="485" spans="1:25" ht="15.75" customHeight="1">
      <c r="A485" s="254"/>
      <c r="B485" s="254"/>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row>
    <row r="486" spans="1:25" ht="15.75" customHeight="1">
      <c r="A486" s="254"/>
      <c r="B486" s="254"/>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row>
    <row r="487" spans="1:25" ht="15.75" customHeight="1">
      <c r="A487" s="254"/>
      <c r="B487" s="254"/>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row>
    <row r="488" spans="1:25" ht="15.75" customHeight="1">
      <c r="A488" s="254"/>
      <c r="B488" s="254"/>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row>
    <row r="489" spans="1:25" ht="15.75" customHeight="1">
      <c r="A489" s="254"/>
      <c r="B489" s="254"/>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row>
    <row r="490" spans="1:25" ht="15.75" customHeight="1">
      <c r="A490" s="254"/>
      <c r="B490" s="254"/>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row>
    <row r="491" spans="1:25" ht="15.75" customHeight="1">
      <c r="A491" s="254"/>
      <c r="B491" s="254"/>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row>
    <row r="492" spans="1:25" ht="15.75" customHeight="1">
      <c r="A492" s="254"/>
      <c r="B492" s="254"/>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row>
    <row r="493" spans="1:25" ht="15.75" customHeight="1">
      <c r="A493" s="254"/>
      <c r="B493" s="254"/>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row>
    <row r="494" spans="1:25" ht="15.75" customHeight="1">
      <c r="A494" s="254"/>
      <c r="B494" s="254"/>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row>
    <row r="495" spans="1:25" ht="15.75" customHeight="1">
      <c r="A495" s="254"/>
      <c r="B495" s="254"/>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row>
    <row r="496" spans="1:25" ht="15.75" customHeight="1">
      <c r="A496" s="254"/>
      <c r="B496" s="254"/>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row>
    <row r="497" spans="1:25" ht="15.75" customHeight="1">
      <c r="A497" s="254"/>
      <c r="B497" s="254"/>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row>
    <row r="498" spans="1:25" ht="15.75" customHeight="1">
      <c r="A498" s="254"/>
      <c r="B498" s="254"/>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row>
    <row r="499" spans="1:25" ht="15.75" customHeight="1">
      <c r="A499" s="254"/>
      <c r="B499" s="254"/>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row>
    <row r="500" spans="1:25" ht="15.75" customHeight="1">
      <c r="A500" s="254"/>
      <c r="B500" s="254"/>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row>
    <row r="501" spans="1:25" ht="15.75" customHeight="1">
      <c r="A501" s="254"/>
      <c r="B501" s="254"/>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row>
    <row r="502" spans="1:25" ht="15.75" customHeight="1">
      <c r="A502" s="254"/>
      <c r="B502" s="254"/>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row>
    <row r="503" spans="1:25" ht="15.75" customHeight="1">
      <c r="A503" s="254"/>
      <c r="B503" s="254"/>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row>
    <row r="504" spans="1:25" ht="15.75" customHeight="1">
      <c r="A504" s="254"/>
      <c r="B504" s="254"/>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row>
    <row r="505" spans="1:25" ht="15.75" customHeight="1">
      <c r="A505" s="254"/>
      <c r="B505" s="254"/>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row>
    <row r="506" spans="1:25" ht="15.75" customHeight="1">
      <c r="A506" s="254"/>
      <c r="B506" s="254"/>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row>
    <row r="507" spans="1:25" ht="15.75" customHeight="1">
      <c r="A507" s="254"/>
      <c r="B507" s="254"/>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row>
    <row r="508" spans="1:25" ht="15.75" customHeight="1">
      <c r="A508" s="254"/>
      <c r="B508" s="254"/>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row>
    <row r="509" spans="1:25" ht="15.75" customHeight="1">
      <c r="A509" s="254"/>
      <c r="B509" s="254"/>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row>
    <row r="510" spans="1:25" ht="15.75" customHeight="1">
      <c r="A510" s="254"/>
      <c r="B510" s="254"/>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row>
    <row r="511" spans="1:25" ht="15.75" customHeight="1">
      <c r="A511" s="254"/>
      <c r="B511" s="254"/>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row>
    <row r="512" spans="1:25" ht="15.75" customHeight="1">
      <c r="A512" s="254"/>
      <c r="B512" s="254"/>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row>
    <row r="513" spans="1:25" ht="15.75" customHeight="1">
      <c r="A513" s="254"/>
      <c r="B513" s="254"/>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row>
    <row r="514" spans="1:25" ht="15.75" customHeight="1">
      <c r="A514" s="254"/>
      <c r="B514" s="254"/>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row>
    <row r="515" spans="1:25" ht="15.75" customHeight="1">
      <c r="A515" s="254"/>
      <c r="B515" s="254"/>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row>
    <row r="516" spans="1:25" ht="15.75" customHeight="1">
      <c r="A516" s="254"/>
      <c r="B516" s="254"/>
      <c r="C516" s="254"/>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row>
    <row r="517" spans="1:25" ht="15.75" customHeight="1">
      <c r="A517" s="254"/>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row>
    <row r="518" spans="1:25" ht="15.75" customHeight="1">
      <c r="A518" s="254"/>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row>
    <row r="519" spans="1:25" ht="15.75" customHeight="1">
      <c r="A519" s="254"/>
      <c r="B519" s="254"/>
      <c r="C519" s="254"/>
      <c r="D519" s="254"/>
      <c r="E519" s="254"/>
      <c r="F519" s="254"/>
      <c r="G519" s="254"/>
      <c r="H519" s="254"/>
      <c r="I519" s="254"/>
      <c r="J519" s="254"/>
      <c r="K519" s="254"/>
      <c r="L519" s="254"/>
      <c r="M519" s="254"/>
      <c r="N519" s="254"/>
      <c r="O519" s="254"/>
      <c r="P519" s="254"/>
      <c r="Q519" s="254"/>
      <c r="R519" s="254"/>
      <c r="S519" s="254"/>
      <c r="T519" s="254"/>
      <c r="U519" s="254"/>
      <c r="V519" s="254"/>
      <c r="W519" s="254"/>
      <c r="X519" s="254"/>
      <c r="Y519" s="254"/>
    </row>
    <row r="520" spans="1:25" ht="15.75" customHeight="1">
      <c r="A520" s="254"/>
      <c r="B520" s="254"/>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row>
    <row r="521" spans="1:25" ht="15.75" customHeight="1">
      <c r="A521" s="254"/>
      <c r="B521" s="254"/>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row>
    <row r="522" spans="1:25" ht="15.75" customHeight="1">
      <c r="A522" s="254"/>
      <c r="B522" s="254"/>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row>
    <row r="523" spans="1:25" ht="15.75" customHeight="1">
      <c r="A523" s="254"/>
      <c r="B523" s="254"/>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row>
    <row r="524" spans="1:25" ht="15.75" customHeight="1">
      <c r="A524" s="254"/>
      <c r="B524" s="254"/>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row>
    <row r="525" spans="1:25" ht="15.75" customHeight="1">
      <c r="A525" s="254"/>
      <c r="B525" s="254"/>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row>
    <row r="526" spans="1:25" ht="15.75" customHeight="1">
      <c r="A526" s="254"/>
      <c r="B526" s="254"/>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row>
    <row r="527" spans="1:25" ht="15.75" customHeight="1">
      <c r="A527" s="254"/>
      <c r="B527" s="254"/>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row>
    <row r="528" spans="1:25" ht="15.75" customHeight="1">
      <c r="A528" s="254"/>
      <c r="B528" s="254"/>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row>
    <row r="529" spans="1:25" ht="15.75" customHeight="1">
      <c r="A529" s="254"/>
      <c r="B529" s="254"/>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row>
    <row r="530" spans="1:25" ht="15.75" customHeight="1">
      <c r="A530" s="254"/>
      <c r="B530" s="254"/>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row>
    <row r="531" spans="1:25" ht="15.75" customHeight="1">
      <c r="A531" s="254"/>
      <c r="B531" s="254"/>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row>
    <row r="532" spans="1:25" ht="15.75" customHeight="1">
      <c r="A532" s="254"/>
      <c r="B532" s="254"/>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row>
    <row r="533" spans="1:25" ht="15.75" customHeight="1">
      <c r="A533" s="254"/>
      <c r="B533" s="254"/>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row>
    <row r="534" spans="1:25" ht="15.75" customHeight="1">
      <c r="A534" s="254"/>
      <c r="B534" s="254"/>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row>
    <row r="535" spans="1:25" ht="15.75" customHeight="1">
      <c r="A535" s="254"/>
      <c r="B535" s="254"/>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row>
    <row r="536" spans="1:25" ht="15.75" customHeight="1">
      <c r="A536" s="254"/>
      <c r="B536" s="254"/>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row>
    <row r="537" spans="1:25" ht="15.75" customHeight="1">
      <c r="A537" s="254"/>
      <c r="B537" s="254"/>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row>
    <row r="538" spans="1:25" ht="15.75" customHeight="1">
      <c r="A538" s="254"/>
      <c r="B538" s="254"/>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row>
    <row r="539" spans="1:25" ht="15.75" customHeight="1">
      <c r="A539" s="254"/>
      <c r="B539" s="254"/>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row>
    <row r="540" spans="1:25" ht="15.75" customHeight="1">
      <c r="A540" s="254"/>
      <c r="B540" s="254"/>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row>
    <row r="541" spans="1:25" ht="15.75" customHeight="1">
      <c r="A541" s="254"/>
      <c r="B541" s="254"/>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row>
    <row r="542" spans="1:25" ht="15.75" customHeight="1">
      <c r="A542" s="254"/>
      <c r="B542" s="254"/>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row>
    <row r="543" spans="1:25" ht="15.75" customHeight="1">
      <c r="A543" s="254"/>
      <c r="B543" s="254"/>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row>
    <row r="544" spans="1:25" ht="15.75" customHeight="1">
      <c r="A544" s="254"/>
      <c r="B544" s="254"/>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row>
    <row r="545" spans="1:25" ht="15.75" customHeight="1">
      <c r="A545" s="254"/>
      <c r="B545" s="254"/>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row>
    <row r="546" spans="1:25" ht="15.75" customHeight="1">
      <c r="A546" s="254"/>
      <c r="B546" s="254"/>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row>
    <row r="547" spans="1:25" ht="15.75" customHeight="1">
      <c r="A547" s="254"/>
      <c r="B547" s="254"/>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row>
    <row r="548" spans="1:25" ht="15.75" customHeight="1">
      <c r="A548" s="254"/>
      <c r="B548" s="254"/>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row>
    <row r="549" spans="1:25" ht="15.75" customHeight="1">
      <c r="A549" s="254"/>
      <c r="B549" s="254"/>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row>
    <row r="550" spans="1:25" ht="15.75" customHeight="1">
      <c r="A550" s="254"/>
      <c r="B550" s="254"/>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row>
    <row r="551" spans="1:25" ht="15.75" customHeight="1">
      <c r="A551" s="254"/>
      <c r="B551" s="254"/>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row>
    <row r="552" spans="1:25" ht="15.75" customHeight="1">
      <c r="A552" s="254"/>
      <c r="B552" s="254"/>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row>
    <row r="553" spans="1:25" ht="15.75" customHeight="1">
      <c r="A553" s="254"/>
      <c r="B553" s="254"/>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row>
    <row r="554" spans="1:25" ht="15.75" customHeight="1">
      <c r="A554" s="254"/>
      <c r="B554" s="254"/>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row>
    <row r="555" spans="1:25" ht="15.75" customHeight="1">
      <c r="A555" s="254"/>
      <c r="B555" s="254"/>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row>
    <row r="556" spans="1:25" ht="15.75" customHeight="1">
      <c r="A556" s="254"/>
      <c r="B556" s="254"/>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row>
    <row r="557" spans="1:25" ht="15.75" customHeight="1">
      <c r="A557" s="254"/>
      <c r="B557" s="254"/>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row>
    <row r="558" spans="1:25" ht="15.75" customHeight="1">
      <c r="A558" s="254"/>
      <c r="B558" s="254"/>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row>
    <row r="559" spans="1:25" ht="15.75" customHeight="1">
      <c r="A559" s="254"/>
      <c r="B559" s="254"/>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row>
    <row r="560" spans="1:25" ht="15.75" customHeight="1">
      <c r="A560" s="254"/>
      <c r="B560" s="254"/>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row>
    <row r="561" spans="1:25" ht="15.75" customHeight="1">
      <c r="A561" s="254"/>
      <c r="B561" s="254"/>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row>
    <row r="562" spans="1:25" ht="15.75" customHeight="1">
      <c r="A562" s="254"/>
      <c r="B562" s="254"/>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row>
    <row r="563" spans="1:25" ht="15.75" customHeight="1">
      <c r="A563" s="254"/>
      <c r="B563" s="254"/>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row>
    <row r="564" spans="1:25" ht="15.75" customHeight="1">
      <c r="A564" s="254"/>
      <c r="B564" s="254"/>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row>
    <row r="565" spans="1:25" ht="15.75" customHeight="1">
      <c r="A565" s="254"/>
      <c r="B565" s="254"/>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row>
    <row r="566" spans="1:25" ht="15.75" customHeight="1">
      <c r="A566" s="254"/>
      <c r="B566" s="254"/>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row>
    <row r="567" spans="1:25" ht="15.75" customHeight="1">
      <c r="A567" s="254"/>
      <c r="B567" s="254"/>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row>
    <row r="568" spans="1:25" ht="15.75" customHeight="1">
      <c r="A568" s="254"/>
      <c r="B568" s="254"/>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row>
    <row r="569" spans="1:25" ht="15.75" customHeight="1">
      <c r="A569" s="254"/>
      <c r="B569" s="254"/>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row>
    <row r="570" spans="1:25" ht="15.75" customHeight="1">
      <c r="A570" s="254"/>
      <c r="B570" s="254"/>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row>
    <row r="571" spans="1:25" ht="15.75" customHeight="1">
      <c r="A571" s="254"/>
      <c r="B571" s="254"/>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row>
    <row r="572" spans="1:25" ht="15.75" customHeight="1">
      <c r="A572" s="254"/>
      <c r="B572" s="254"/>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row>
    <row r="573" spans="1:25" ht="15.75" customHeight="1">
      <c r="A573" s="254"/>
      <c r="B573" s="254"/>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row>
    <row r="574" spans="1:25" ht="15.75" customHeight="1">
      <c r="A574" s="254"/>
      <c r="B574" s="254"/>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row>
    <row r="575" spans="1:25" ht="15.75" customHeight="1">
      <c r="A575" s="254"/>
      <c r="B575" s="254"/>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row>
    <row r="576" spans="1:25" ht="15.75" customHeight="1">
      <c r="A576" s="254"/>
      <c r="B576" s="254"/>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row>
    <row r="577" spans="1:25" ht="15.75" customHeight="1">
      <c r="A577" s="254"/>
      <c r="B577" s="254"/>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row>
    <row r="578" spans="1:25" ht="15.75" customHeight="1">
      <c r="A578" s="254"/>
      <c r="B578" s="254"/>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row>
    <row r="579" spans="1:25" ht="15.75" customHeight="1">
      <c r="A579" s="254"/>
      <c r="B579" s="254"/>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row>
    <row r="580" spans="1:25" ht="15.75" customHeight="1">
      <c r="A580" s="254"/>
      <c r="B580" s="254"/>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row>
    <row r="581" spans="1:25" ht="15.75" customHeight="1">
      <c r="A581" s="254"/>
      <c r="B581" s="254"/>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row>
    <row r="582" spans="1:25" ht="15.75" customHeight="1">
      <c r="A582" s="254"/>
      <c r="B582" s="254"/>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row>
    <row r="583" spans="1:25" ht="15.75" customHeight="1">
      <c r="A583" s="254"/>
      <c r="B583" s="254"/>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row>
    <row r="584" spans="1:25" ht="15.75" customHeight="1">
      <c r="A584" s="254"/>
      <c r="B584" s="254"/>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row>
    <row r="585" spans="1:25" ht="15.75" customHeight="1">
      <c r="A585" s="254"/>
      <c r="B585" s="254"/>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row>
    <row r="586" spans="1:25" ht="15.75" customHeight="1">
      <c r="A586" s="254"/>
      <c r="B586" s="254"/>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row>
    <row r="587" spans="1:25" ht="15.75" customHeight="1">
      <c r="A587" s="254"/>
      <c r="B587" s="254"/>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row>
    <row r="588" spans="1:25" ht="15.75" customHeight="1">
      <c r="A588" s="254"/>
      <c r="B588" s="254"/>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row>
    <row r="589" spans="1:25" ht="15.75" customHeight="1">
      <c r="A589" s="254"/>
      <c r="B589" s="254"/>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row>
    <row r="590" spans="1:25" ht="15.75" customHeight="1">
      <c r="A590" s="254"/>
      <c r="B590" s="254"/>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row>
    <row r="591" spans="1:25" ht="15.75" customHeight="1">
      <c r="A591" s="254"/>
      <c r="B591" s="254"/>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row>
    <row r="592" spans="1:25" ht="15.75" customHeight="1">
      <c r="A592" s="254"/>
      <c r="B592" s="254"/>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row>
    <row r="593" spans="1:25" ht="15.75" customHeight="1">
      <c r="A593" s="254"/>
      <c r="B593" s="254"/>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row>
    <row r="594" spans="1:25" ht="15.75" customHeight="1">
      <c r="A594" s="254"/>
      <c r="B594" s="254"/>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row>
    <row r="595" spans="1:25" ht="15.75" customHeight="1">
      <c r="A595" s="254"/>
      <c r="B595" s="254"/>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row>
    <row r="596" spans="1:25" ht="15.75" customHeight="1">
      <c r="A596" s="254"/>
      <c r="B596" s="254"/>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row>
    <row r="597" spans="1:25" ht="15.75" customHeight="1">
      <c r="A597" s="254"/>
      <c r="B597" s="254"/>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row>
    <row r="598" spans="1:25" ht="15.75" customHeight="1">
      <c r="A598" s="254"/>
      <c r="B598" s="254"/>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row>
    <row r="599" spans="1:25" ht="15.75" customHeight="1">
      <c r="A599" s="254"/>
      <c r="B599" s="254"/>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row>
    <row r="600" spans="1:25" ht="15.75" customHeight="1">
      <c r="A600" s="254"/>
      <c r="B600" s="254"/>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row>
    <row r="601" spans="1:25" ht="15.75" customHeight="1">
      <c r="A601" s="254"/>
      <c r="B601" s="254"/>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row>
    <row r="602" spans="1:25" ht="15.75" customHeight="1">
      <c r="A602" s="254"/>
      <c r="B602" s="254"/>
      <c r="C602" s="254"/>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row>
    <row r="603" spans="1:25" ht="15.75" customHeight="1">
      <c r="A603" s="254"/>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row>
    <row r="604" spans="1:25" ht="15.75" customHeight="1">
      <c r="A604" s="254"/>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row>
    <row r="605" spans="1:25" ht="15.75" customHeight="1">
      <c r="A605" s="254"/>
      <c r="B605" s="254"/>
      <c r="C605" s="254"/>
      <c r="D605" s="254"/>
      <c r="E605" s="254"/>
      <c r="F605" s="254"/>
      <c r="G605" s="254"/>
      <c r="H605" s="254"/>
      <c r="I605" s="254"/>
      <c r="J605" s="254"/>
      <c r="K605" s="254"/>
      <c r="L605" s="254"/>
      <c r="M605" s="254"/>
      <c r="N605" s="254"/>
      <c r="O605" s="254"/>
      <c r="P605" s="254"/>
      <c r="Q605" s="254"/>
      <c r="R605" s="254"/>
      <c r="S605" s="254"/>
      <c r="T605" s="254"/>
      <c r="U605" s="254"/>
      <c r="V605" s="254"/>
      <c r="W605" s="254"/>
      <c r="X605" s="254"/>
      <c r="Y605" s="254"/>
    </row>
    <row r="606" spans="1:25" ht="15.75" customHeight="1">
      <c r="A606" s="254"/>
      <c r="B606" s="254"/>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row>
    <row r="607" spans="1:25" ht="15.75" customHeight="1">
      <c r="A607" s="254"/>
      <c r="B607" s="254"/>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row>
    <row r="608" spans="1:25" ht="15.75" customHeight="1">
      <c r="A608" s="254"/>
      <c r="B608" s="254"/>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row>
    <row r="609" spans="1:25" ht="15.75" customHeight="1">
      <c r="A609" s="254"/>
      <c r="B609" s="254"/>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row>
    <row r="610" spans="1:25" ht="15.75" customHeight="1">
      <c r="A610" s="254"/>
      <c r="B610" s="254"/>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row>
    <row r="611" spans="1:25" ht="15.75" customHeight="1">
      <c r="A611" s="254"/>
      <c r="B611" s="254"/>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row>
    <row r="612" spans="1:25" ht="15.75" customHeight="1">
      <c r="A612" s="254"/>
      <c r="B612" s="254"/>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row>
    <row r="613" spans="1:25" ht="15.75" customHeight="1">
      <c r="A613" s="254"/>
      <c r="B613" s="254"/>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row>
    <row r="614" spans="1:25" ht="15.75" customHeight="1">
      <c r="A614" s="254"/>
      <c r="B614" s="254"/>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row>
    <row r="615" spans="1:25" ht="15.75" customHeight="1">
      <c r="A615" s="254"/>
      <c r="B615" s="254"/>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row>
    <row r="616" spans="1:25" ht="15.75" customHeight="1">
      <c r="A616" s="254"/>
      <c r="B616" s="254"/>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row>
    <row r="617" spans="1:25" ht="15.75" customHeight="1">
      <c r="A617" s="254"/>
      <c r="B617" s="254"/>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row>
    <row r="618" spans="1:25" ht="15.75" customHeight="1">
      <c r="A618" s="254"/>
      <c r="B618" s="254"/>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row>
    <row r="619" spans="1:25" ht="15.75" customHeight="1">
      <c r="A619" s="254"/>
      <c r="B619" s="254"/>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row>
    <row r="620" spans="1:25" ht="15.75" customHeight="1">
      <c r="A620" s="254"/>
      <c r="B620" s="254"/>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row>
    <row r="621" spans="1:25" ht="15.75" customHeight="1">
      <c r="A621" s="254"/>
      <c r="B621" s="254"/>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row>
    <row r="622" spans="1:25" ht="15.75" customHeight="1">
      <c r="A622" s="254"/>
      <c r="B622" s="254"/>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row>
    <row r="623" spans="1:25" ht="15.75" customHeight="1">
      <c r="A623" s="254"/>
      <c r="B623" s="254"/>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row>
    <row r="624" spans="1:25" ht="15.75" customHeight="1">
      <c r="A624" s="254"/>
      <c r="B624" s="254"/>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row>
    <row r="625" spans="1:25" ht="15.75" customHeight="1">
      <c r="A625" s="254"/>
      <c r="B625" s="254"/>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row>
    <row r="626" spans="1:25" ht="15.75" customHeight="1">
      <c r="A626" s="254"/>
      <c r="B626" s="254"/>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row>
    <row r="627" spans="1:25" ht="15.75" customHeight="1">
      <c r="A627" s="254"/>
      <c r="B627" s="254"/>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row>
    <row r="628" spans="1:25" ht="15.75" customHeight="1">
      <c r="A628" s="254"/>
      <c r="B628" s="254"/>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row>
    <row r="629" spans="1:25" ht="15.75" customHeight="1">
      <c r="A629" s="254"/>
      <c r="B629" s="254"/>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row>
    <row r="630" spans="1:25" ht="15.75" customHeight="1">
      <c r="A630" s="254"/>
      <c r="B630" s="254"/>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row>
    <row r="631" spans="1:25" ht="15.75" customHeight="1">
      <c r="A631" s="254"/>
      <c r="B631" s="254"/>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row>
    <row r="632" spans="1:25" ht="15.75" customHeight="1">
      <c r="A632" s="254"/>
      <c r="B632" s="254"/>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row>
    <row r="633" spans="1:25" ht="15.75" customHeight="1">
      <c r="A633" s="254"/>
      <c r="B633" s="254"/>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row>
    <row r="634" spans="1:25" ht="15.75" customHeight="1">
      <c r="A634" s="254"/>
      <c r="B634" s="254"/>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row>
    <row r="635" spans="1:25" ht="15.75" customHeight="1">
      <c r="A635" s="254"/>
      <c r="B635" s="254"/>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row>
    <row r="636" spans="1:25" ht="15.75" customHeight="1">
      <c r="A636" s="254"/>
      <c r="B636" s="254"/>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row>
    <row r="637" spans="1:25" ht="15.75" customHeight="1">
      <c r="A637" s="254"/>
      <c r="B637" s="254"/>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row>
    <row r="638" spans="1:25" ht="15.75" customHeight="1">
      <c r="A638" s="254"/>
      <c r="B638" s="254"/>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row>
    <row r="639" spans="1:25" ht="15.75" customHeight="1">
      <c r="A639" s="254"/>
      <c r="B639" s="254"/>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row>
    <row r="640" spans="1:25" ht="15.75" customHeight="1">
      <c r="A640" s="254"/>
      <c r="B640" s="254"/>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row>
    <row r="641" spans="1:25" ht="15.75" customHeight="1">
      <c r="A641" s="254"/>
      <c r="B641" s="254"/>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row>
    <row r="642" spans="1:25" ht="15.75" customHeight="1">
      <c r="A642" s="254"/>
      <c r="B642" s="254"/>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row>
    <row r="643" spans="1:25" ht="15.75" customHeight="1">
      <c r="A643" s="254"/>
      <c r="B643" s="254"/>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row>
    <row r="644" spans="1:25" ht="15.75" customHeight="1">
      <c r="A644" s="254"/>
      <c r="B644" s="254"/>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row>
    <row r="645" spans="1:25" ht="15.75" customHeight="1">
      <c r="A645" s="254"/>
      <c r="B645" s="254"/>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row>
    <row r="646" spans="1:25" ht="15.75" customHeight="1">
      <c r="A646" s="254"/>
      <c r="B646" s="254"/>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row>
    <row r="647" spans="1:25" ht="15.75" customHeight="1">
      <c r="A647" s="254"/>
      <c r="B647" s="254"/>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row>
    <row r="648" spans="1:25" ht="15.75" customHeight="1">
      <c r="A648" s="254"/>
      <c r="B648" s="254"/>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row>
    <row r="649" spans="1:25" ht="15.75" customHeight="1">
      <c r="A649" s="254"/>
      <c r="B649" s="254"/>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row>
    <row r="650" spans="1:25" ht="15.75" customHeight="1">
      <c r="A650" s="254"/>
      <c r="B650" s="254"/>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row>
    <row r="651" spans="1:25" ht="15.75" customHeight="1">
      <c r="A651" s="254"/>
      <c r="B651" s="254"/>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row>
    <row r="652" spans="1:25" ht="15.75" customHeight="1">
      <c r="A652" s="254"/>
      <c r="B652" s="254"/>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row>
    <row r="653" spans="1:25" ht="15.75" customHeight="1">
      <c r="A653" s="254"/>
      <c r="B653" s="254"/>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row>
    <row r="654" spans="1:25" ht="15.75" customHeight="1">
      <c r="A654" s="254"/>
      <c r="B654" s="254"/>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row>
    <row r="655" spans="1:25" ht="15.75" customHeight="1">
      <c r="A655" s="254"/>
      <c r="B655" s="254"/>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row>
    <row r="656" spans="1:25" ht="15.75" customHeight="1">
      <c r="A656" s="254"/>
      <c r="B656" s="254"/>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row>
    <row r="657" spans="1:25" ht="15.75" customHeight="1">
      <c r="A657" s="254"/>
      <c r="B657" s="254"/>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row>
    <row r="658" spans="1:25" ht="15.75" customHeight="1">
      <c r="A658" s="254"/>
      <c r="B658" s="254"/>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row>
    <row r="659" spans="1:25" ht="15.75" customHeight="1">
      <c r="A659" s="254"/>
      <c r="B659" s="254"/>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row>
    <row r="660" spans="1:25" ht="15.75" customHeight="1">
      <c r="A660" s="254"/>
      <c r="B660" s="254"/>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row>
    <row r="661" spans="1:25" ht="15.75" customHeight="1">
      <c r="A661" s="254"/>
      <c r="B661" s="254"/>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row>
    <row r="662" spans="1:25" ht="15.75" customHeight="1">
      <c r="A662" s="254"/>
      <c r="B662" s="254"/>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row>
    <row r="663" spans="1:25" ht="15.75" customHeight="1">
      <c r="A663" s="254"/>
      <c r="B663" s="254"/>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row>
    <row r="664" spans="1:25" ht="15.75" customHeight="1">
      <c r="A664" s="254"/>
      <c r="B664" s="254"/>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row>
    <row r="665" spans="1:25" ht="15.75" customHeight="1">
      <c r="A665" s="254"/>
      <c r="B665" s="254"/>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row>
    <row r="666" spans="1:25" ht="15.75" customHeight="1">
      <c r="A666" s="254"/>
      <c r="B666" s="254"/>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row>
    <row r="667" spans="1:25" ht="15.75" customHeight="1">
      <c r="A667" s="254"/>
      <c r="B667" s="254"/>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row>
    <row r="668" spans="1:25" ht="15.75" customHeight="1">
      <c r="A668" s="254"/>
      <c r="B668" s="254"/>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row>
    <row r="669" spans="1:25" ht="15.75" customHeight="1">
      <c r="A669" s="254"/>
      <c r="B669" s="254"/>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row>
    <row r="670" spans="1:25" ht="15.75" customHeight="1">
      <c r="A670" s="254"/>
      <c r="B670" s="254"/>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row>
    <row r="671" spans="1:25" ht="15.75" customHeight="1">
      <c r="A671" s="254"/>
      <c r="B671" s="254"/>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row>
    <row r="672" spans="1:25" ht="15.75" customHeight="1">
      <c r="A672" s="254"/>
      <c r="B672" s="254"/>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row>
    <row r="673" spans="1:25" ht="15.75" customHeight="1">
      <c r="A673" s="254"/>
      <c r="B673" s="254"/>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row>
    <row r="674" spans="1:25" ht="15.75" customHeight="1">
      <c r="A674" s="254"/>
      <c r="B674" s="254"/>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row>
    <row r="675" spans="1:25" ht="15.75" customHeight="1">
      <c r="A675" s="254"/>
      <c r="B675" s="254"/>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row>
    <row r="676" spans="1:25" ht="15.75" customHeight="1">
      <c r="A676" s="254"/>
      <c r="B676" s="254"/>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row>
    <row r="677" spans="1:25" ht="15.75" customHeight="1">
      <c r="A677" s="254"/>
      <c r="B677" s="254"/>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row>
    <row r="678" spans="1:25" ht="15.75" customHeight="1">
      <c r="A678" s="254"/>
      <c r="B678" s="254"/>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row>
    <row r="679" spans="1:25" ht="15.75" customHeight="1">
      <c r="A679" s="254"/>
      <c r="B679" s="254"/>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row>
    <row r="680" spans="1:25" ht="15.75" customHeight="1">
      <c r="A680" s="254"/>
      <c r="B680" s="254"/>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row>
    <row r="681" spans="1:25" ht="15.75" customHeight="1">
      <c r="A681" s="254"/>
      <c r="B681" s="254"/>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row>
    <row r="682" spans="1:25" ht="15.75" customHeight="1">
      <c r="A682" s="254"/>
      <c r="B682" s="254"/>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row>
    <row r="683" spans="1:25" ht="15.75" customHeight="1">
      <c r="A683" s="254"/>
      <c r="B683" s="254"/>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row>
    <row r="684" spans="1:25" ht="15.75" customHeight="1">
      <c r="A684" s="254"/>
      <c r="B684" s="254"/>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row>
    <row r="685" spans="1:25" ht="15.75" customHeight="1">
      <c r="A685" s="254"/>
      <c r="B685" s="254"/>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row>
    <row r="686" spans="1:25" ht="15.75" customHeight="1">
      <c r="A686" s="254"/>
      <c r="B686" s="254"/>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row>
    <row r="687" spans="1:25" ht="15.75" customHeight="1">
      <c r="A687" s="254"/>
      <c r="B687" s="254"/>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row>
    <row r="688" spans="1:25" ht="15.75" customHeight="1">
      <c r="A688" s="254"/>
      <c r="B688" s="254"/>
      <c r="C688" s="254"/>
      <c r="D688" s="254"/>
      <c r="E688" s="254"/>
      <c r="F688" s="254"/>
      <c r="G688" s="254"/>
      <c r="H688" s="254"/>
      <c r="I688" s="254"/>
      <c r="J688" s="254"/>
      <c r="K688" s="254"/>
      <c r="L688" s="254"/>
      <c r="M688" s="254"/>
      <c r="N688" s="254"/>
      <c r="O688" s="254"/>
      <c r="P688" s="254"/>
      <c r="Q688" s="254"/>
      <c r="R688" s="254"/>
      <c r="S688" s="254"/>
      <c r="T688" s="254"/>
      <c r="U688" s="254"/>
      <c r="V688" s="254"/>
      <c r="W688" s="254"/>
      <c r="X688" s="254"/>
      <c r="Y688" s="254"/>
    </row>
    <row r="689" spans="1:25" ht="15.75" customHeight="1">
      <c r="A689" s="254"/>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row>
    <row r="690" spans="1:25" ht="15.75" customHeight="1">
      <c r="A690" s="254"/>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row>
    <row r="691" spans="1:25" ht="15.75" customHeight="1">
      <c r="A691" s="254"/>
      <c r="B691" s="254"/>
      <c r="C691" s="254"/>
      <c r="D691" s="254"/>
      <c r="E691" s="254"/>
      <c r="F691" s="254"/>
      <c r="G691" s="254"/>
      <c r="H691" s="254"/>
      <c r="I691" s="254"/>
      <c r="J691" s="254"/>
      <c r="K691" s="254"/>
      <c r="L691" s="254"/>
      <c r="M691" s="254"/>
      <c r="N691" s="254"/>
      <c r="O691" s="254"/>
      <c r="P691" s="254"/>
      <c r="Q691" s="254"/>
      <c r="R691" s="254"/>
      <c r="S691" s="254"/>
      <c r="T691" s="254"/>
      <c r="U691" s="254"/>
      <c r="V691" s="254"/>
      <c r="W691" s="254"/>
      <c r="X691" s="254"/>
      <c r="Y691" s="254"/>
    </row>
    <row r="692" spans="1:25" ht="15.75" customHeight="1">
      <c r="A692" s="254"/>
      <c r="B692" s="254"/>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row>
    <row r="693" spans="1:25" ht="15.75" customHeight="1">
      <c r="A693" s="254"/>
      <c r="B693" s="254"/>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row>
    <row r="694" spans="1:25" ht="15.75" customHeight="1">
      <c r="A694" s="254"/>
      <c r="B694" s="254"/>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row>
    <row r="695" spans="1:25" ht="15.75" customHeight="1">
      <c r="A695" s="254"/>
      <c r="B695" s="254"/>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row>
    <row r="696" spans="1:25" ht="15.75" customHeight="1">
      <c r="A696" s="254"/>
      <c r="B696" s="254"/>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row>
    <row r="697" spans="1:25" ht="15.75" customHeight="1">
      <c r="A697" s="254"/>
      <c r="B697" s="254"/>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row>
    <row r="698" spans="1:25" ht="15.75" customHeight="1">
      <c r="A698" s="254"/>
      <c r="B698" s="254"/>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row>
    <row r="699" spans="1:25" ht="15.75" customHeight="1">
      <c r="A699" s="254"/>
      <c r="B699" s="254"/>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row>
    <row r="700" spans="1:25" ht="15.75" customHeight="1">
      <c r="A700" s="254"/>
      <c r="B700" s="254"/>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row>
    <row r="701" spans="1:25" ht="15.75" customHeight="1">
      <c r="A701" s="254"/>
      <c r="B701" s="254"/>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row>
    <row r="702" spans="1:25" ht="15.75" customHeight="1">
      <c r="A702" s="254"/>
      <c r="B702" s="254"/>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row>
    <row r="703" spans="1:25" ht="15.75" customHeight="1">
      <c r="A703" s="254"/>
      <c r="B703" s="254"/>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row>
    <row r="704" spans="1:25" ht="15.75" customHeight="1">
      <c r="A704" s="254"/>
      <c r="B704" s="254"/>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row>
    <row r="705" spans="1:25" ht="15.75" customHeight="1">
      <c r="A705" s="254"/>
      <c r="B705" s="254"/>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row>
    <row r="706" spans="1:25" ht="15.75" customHeight="1">
      <c r="A706" s="254"/>
      <c r="B706" s="254"/>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row>
    <row r="707" spans="1:25" ht="15.75" customHeight="1">
      <c r="A707" s="254"/>
      <c r="B707" s="254"/>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row>
    <row r="708" spans="1:25" ht="15.75" customHeight="1">
      <c r="A708" s="254"/>
      <c r="B708" s="254"/>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row>
    <row r="709" spans="1:25" ht="15.75" customHeight="1">
      <c r="A709" s="254"/>
      <c r="B709" s="254"/>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row>
    <row r="710" spans="1:25" ht="15.75" customHeight="1">
      <c r="A710" s="254"/>
      <c r="B710" s="254"/>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row>
    <row r="711" spans="1:25" ht="15.75" customHeight="1">
      <c r="A711" s="254"/>
      <c r="B711" s="254"/>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row>
    <row r="712" spans="1:25" ht="15.75" customHeight="1">
      <c r="A712" s="254"/>
      <c r="B712" s="254"/>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row>
    <row r="713" spans="1:25" ht="15.75" customHeight="1">
      <c r="A713" s="254"/>
      <c r="B713" s="254"/>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row>
    <row r="714" spans="1:25" ht="15.75" customHeight="1">
      <c r="A714" s="254"/>
      <c r="B714" s="254"/>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row>
    <row r="715" spans="1:25" ht="15.75" customHeight="1">
      <c r="A715" s="254"/>
      <c r="B715" s="254"/>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row>
    <row r="716" spans="1:25" ht="15.75" customHeight="1">
      <c r="A716" s="254"/>
      <c r="B716" s="254"/>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row>
    <row r="717" spans="1:25" ht="15.75" customHeight="1">
      <c r="A717" s="254"/>
      <c r="B717" s="254"/>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row>
    <row r="718" spans="1:25" ht="15.75" customHeight="1">
      <c r="A718" s="254"/>
      <c r="B718" s="254"/>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row>
    <row r="719" spans="1:25" ht="15.75" customHeight="1">
      <c r="A719" s="254"/>
      <c r="B719" s="254"/>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row>
    <row r="720" spans="1:25" ht="15.75" customHeight="1">
      <c r="A720" s="254"/>
      <c r="B720" s="254"/>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row>
    <row r="721" spans="1:25" ht="15.75" customHeight="1">
      <c r="A721" s="254"/>
      <c r="B721" s="254"/>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row>
    <row r="722" spans="1:25" ht="15.75" customHeight="1">
      <c r="A722" s="254"/>
      <c r="B722" s="254"/>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row>
    <row r="723" spans="1:25" ht="15.75" customHeight="1">
      <c r="A723" s="254"/>
      <c r="B723" s="254"/>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row>
    <row r="724" spans="1:25" ht="15.75" customHeight="1">
      <c r="A724" s="254"/>
      <c r="B724" s="254"/>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row>
    <row r="725" spans="1:25" ht="15.75" customHeight="1">
      <c r="A725" s="254"/>
      <c r="B725" s="254"/>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row>
    <row r="726" spans="1:25" ht="15.75" customHeight="1">
      <c r="A726" s="254"/>
      <c r="B726" s="254"/>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row>
    <row r="727" spans="1:25" ht="15.75" customHeight="1">
      <c r="A727" s="254"/>
      <c r="B727" s="254"/>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row>
    <row r="728" spans="1:25" ht="15.75" customHeight="1">
      <c r="A728" s="254"/>
      <c r="B728" s="254"/>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row>
    <row r="729" spans="1:25" ht="15.75" customHeight="1">
      <c r="A729" s="254"/>
      <c r="B729" s="254"/>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row>
    <row r="730" spans="1:25" ht="15.75" customHeight="1">
      <c r="A730" s="254"/>
      <c r="B730" s="254"/>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row>
    <row r="731" spans="1:25" ht="15.75" customHeight="1">
      <c r="A731" s="254"/>
      <c r="B731" s="254"/>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row>
    <row r="732" spans="1:25" ht="15.75" customHeight="1">
      <c r="A732" s="254"/>
      <c r="B732" s="254"/>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row>
    <row r="733" spans="1:25" ht="15.75" customHeight="1">
      <c r="A733" s="254"/>
      <c r="B733" s="254"/>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row>
    <row r="734" spans="1:25" ht="15.75" customHeight="1">
      <c r="A734" s="254"/>
      <c r="B734" s="254"/>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row>
    <row r="735" spans="1:25" ht="15.75" customHeight="1">
      <c r="A735" s="254"/>
      <c r="B735" s="254"/>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row>
    <row r="736" spans="1:25" ht="15.75" customHeight="1">
      <c r="A736" s="254"/>
      <c r="B736" s="254"/>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row>
    <row r="737" spans="1:25" ht="15.75" customHeight="1">
      <c r="A737" s="254"/>
      <c r="B737" s="254"/>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row>
    <row r="738" spans="1:25" ht="15.75" customHeight="1">
      <c r="A738" s="254"/>
      <c r="B738" s="254"/>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row>
    <row r="739" spans="1:25" ht="15.75" customHeight="1">
      <c r="A739" s="254"/>
      <c r="B739" s="254"/>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row>
    <row r="740" spans="1:25" ht="15.75" customHeight="1">
      <c r="A740" s="254"/>
      <c r="B740" s="254"/>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row>
    <row r="741" spans="1:25" ht="15.75" customHeight="1">
      <c r="A741" s="254"/>
      <c r="B741" s="254"/>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row>
    <row r="742" spans="1:25" ht="15.75" customHeight="1">
      <c r="A742" s="254"/>
      <c r="B742" s="254"/>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row>
    <row r="743" spans="1:25" ht="15.75" customHeight="1">
      <c r="A743" s="254"/>
      <c r="B743" s="254"/>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row>
    <row r="744" spans="1:25" ht="15.75" customHeight="1">
      <c r="A744" s="254"/>
      <c r="B744" s="254"/>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row>
    <row r="745" spans="1:25" ht="15.75" customHeight="1">
      <c r="A745" s="254"/>
      <c r="B745" s="254"/>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row>
    <row r="746" spans="1:25" ht="15.75" customHeight="1">
      <c r="A746" s="254"/>
      <c r="B746" s="254"/>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row>
    <row r="747" spans="1:25" ht="15.75" customHeight="1">
      <c r="A747" s="254"/>
      <c r="B747" s="254"/>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row>
    <row r="748" spans="1:25" ht="15.75" customHeight="1">
      <c r="A748" s="254"/>
      <c r="B748" s="254"/>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row>
    <row r="749" spans="1:25" ht="15.75" customHeight="1">
      <c r="A749" s="254"/>
      <c r="B749" s="254"/>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row>
    <row r="750" spans="1:25" ht="15.75" customHeight="1">
      <c r="A750" s="254"/>
      <c r="B750" s="254"/>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row>
    <row r="751" spans="1:25" ht="15.75" customHeight="1">
      <c r="A751" s="254"/>
      <c r="B751" s="254"/>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row>
    <row r="752" spans="1:25" ht="15.75" customHeight="1">
      <c r="A752" s="254"/>
      <c r="B752" s="254"/>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row>
    <row r="753" spans="1:25" ht="15.75" customHeight="1">
      <c r="A753" s="254"/>
      <c r="B753" s="254"/>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row>
    <row r="754" spans="1:25" ht="15.75" customHeight="1">
      <c r="A754" s="254"/>
      <c r="B754" s="254"/>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row>
    <row r="755" spans="1:25" ht="15.75" customHeight="1">
      <c r="A755" s="254"/>
      <c r="B755" s="254"/>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row>
    <row r="756" spans="1:25" ht="15.75" customHeight="1">
      <c r="A756" s="254"/>
      <c r="B756" s="254"/>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row>
    <row r="757" spans="1:25" ht="15.75" customHeight="1">
      <c r="A757" s="254"/>
      <c r="B757" s="254"/>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row>
    <row r="758" spans="1:25" ht="15.75" customHeight="1">
      <c r="A758" s="254"/>
      <c r="B758" s="254"/>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row>
    <row r="759" spans="1:25" ht="15.75" customHeight="1">
      <c r="A759" s="254"/>
      <c r="B759" s="254"/>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row>
    <row r="760" spans="1:25" ht="15.75" customHeight="1">
      <c r="A760" s="254"/>
      <c r="B760" s="254"/>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row>
    <row r="761" spans="1:25" ht="15.75" customHeight="1">
      <c r="A761" s="254"/>
      <c r="B761" s="254"/>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row>
    <row r="762" spans="1:25" ht="15.75" customHeight="1">
      <c r="A762" s="254"/>
      <c r="B762" s="254"/>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row>
    <row r="763" spans="1:25" ht="15.75" customHeight="1">
      <c r="A763" s="254"/>
      <c r="B763" s="254"/>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row>
    <row r="764" spans="1:25" ht="15.75" customHeight="1">
      <c r="A764" s="254"/>
      <c r="B764" s="254"/>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row>
    <row r="765" spans="1:25" ht="15.75" customHeight="1">
      <c r="A765" s="254"/>
      <c r="B765" s="254"/>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row>
    <row r="766" spans="1:25" ht="15.75" customHeight="1">
      <c r="A766" s="254"/>
      <c r="B766" s="254"/>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row>
    <row r="767" spans="1:25" ht="15.75" customHeight="1">
      <c r="A767" s="254"/>
      <c r="B767" s="254"/>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row>
    <row r="768" spans="1:25" ht="15.75" customHeight="1">
      <c r="A768" s="254"/>
      <c r="B768" s="254"/>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row>
    <row r="769" spans="1:25" ht="15.75" customHeight="1">
      <c r="A769" s="254"/>
      <c r="B769" s="254"/>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row>
    <row r="770" spans="1:25" ht="15.75" customHeight="1">
      <c r="A770" s="254"/>
      <c r="B770" s="254"/>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row>
    <row r="771" spans="1:25" ht="15.75" customHeight="1">
      <c r="A771" s="254"/>
      <c r="B771" s="254"/>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row>
    <row r="772" spans="1:25" ht="15.75" customHeight="1">
      <c r="A772" s="254"/>
      <c r="B772" s="254"/>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row>
    <row r="773" spans="1:25" ht="15.75" customHeight="1">
      <c r="A773" s="254"/>
      <c r="B773" s="254"/>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row>
    <row r="774" spans="1:25" ht="15.75" customHeight="1">
      <c r="A774" s="254"/>
      <c r="B774" s="254"/>
      <c r="C774" s="254"/>
      <c r="D774" s="254"/>
      <c r="E774" s="254"/>
      <c r="F774" s="254"/>
      <c r="G774" s="254"/>
      <c r="H774" s="254"/>
      <c r="I774" s="254"/>
      <c r="J774" s="254"/>
      <c r="K774" s="254"/>
      <c r="L774" s="254"/>
      <c r="M774" s="254"/>
      <c r="N774" s="254"/>
      <c r="O774" s="254"/>
      <c r="P774" s="254"/>
      <c r="Q774" s="254"/>
      <c r="R774" s="254"/>
      <c r="S774" s="254"/>
      <c r="T774" s="254"/>
      <c r="U774" s="254"/>
      <c r="V774" s="254"/>
      <c r="W774" s="254"/>
      <c r="X774" s="254"/>
      <c r="Y774" s="254"/>
    </row>
    <row r="775" spans="1:25" ht="15.75" customHeight="1">
      <c r="A775" s="254"/>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row>
    <row r="776" spans="1:25" ht="15.75" customHeight="1">
      <c r="A776" s="254"/>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row>
    <row r="777" spans="1:25" ht="15.75" customHeight="1">
      <c r="A777" s="254"/>
      <c r="B777" s="254"/>
      <c r="C777" s="254"/>
      <c r="D777" s="254"/>
      <c r="E777" s="254"/>
      <c r="F777" s="254"/>
      <c r="G777" s="254"/>
      <c r="H777" s="254"/>
      <c r="I777" s="254"/>
      <c r="J777" s="254"/>
      <c r="K777" s="254"/>
      <c r="L777" s="254"/>
      <c r="M777" s="254"/>
      <c r="N777" s="254"/>
      <c r="O777" s="254"/>
      <c r="P777" s="254"/>
      <c r="Q777" s="254"/>
      <c r="R777" s="254"/>
      <c r="S777" s="254"/>
      <c r="T777" s="254"/>
      <c r="U777" s="254"/>
      <c r="V777" s="254"/>
      <c r="W777" s="254"/>
      <c r="X777" s="254"/>
      <c r="Y777" s="254"/>
    </row>
    <row r="778" spans="1:25" ht="15.75" customHeight="1">
      <c r="A778" s="254"/>
      <c r="B778" s="254"/>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row>
    <row r="779" spans="1:25" ht="15.75" customHeight="1">
      <c r="A779" s="254"/>
      <c r="B779" s="254"/>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row>
    <row r="780" spans="1:25" ht="15.75" customHeight="1">
      <c r="A780" s="254"/>
      <c r="B780" s="254"/>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row>
    <row r="781" spans="1:25" ht="15.75" customHeight="1">
      <c r="A781" s="254"/>
      <c r="B781" s="254"/>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row>
    <row r="782" spans="1:25" ht="15.75" customHeight="1">
      <c r="A782" s="254"/>
      <c r="B782" s="254"/>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row>
    <row r="783" spans="1:25" ht="15.75" customHeight="1">
      <c r="A783" s="254"/>
      <c r="B783" s="254"/>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row>
    <row r="784" spans="1:25" ht="15.75" customHeight="1">
      <c r="A784" s="254"/>
      <c r="B784" s="254"/>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row>
    <row r="785" spans="1:25" ht="15.75" customHeight="1">
      <c r="A785" s="254"/>
      <c r="B785" s="254"/>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row>
    <row r="786" spans="1:25" ht="15.75" customHeight="1">
      <c r="A786" s="254"/>
      <c r="B786" s="254"/>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row>
    <row r="787" spans="1:25" ht="15.75" customHeight="1">
      <c r="A787" s="254"/>
      <c r="B787" s="254"/>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row>
    <row r="788" spans="1:25" ht="15.75" customHeight="1">
      <c r="A788" s="254"/>
      <c r="B788" s="254"/>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row>
    <row r="789" spans="1:25" ht="15.75" customHeight="1">
      <c r="A789" s="254"/>
      <c r="B789" s="254"/>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row>
    <row r="790" spans="1:25" ht="15.75" customHeight="1">
      <c r="A790" s="254"/>
      <c r="B790" s="254"/>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row>
    <row r="791" spans="1:25" ht="15.75" customHeight="1">
      <c r="A791" s="254"/>
      <c r="B791" s="254"/>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row>
    <row r="792" spans="1:25" ht="15.75" customHeight="1">
      <c r="A792" s="254"/>
      <c r="B792" s="254"/>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row>
    <row r="793" spans="1:25" ht="15.75" customHeight="1">
      <c r="A793" s="254"/>
      <c r="B793" s="254"/>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row>
    <row r="794" spans="1:25" ht="15.75" customHeight="1">
      <c r="A794" s="254"/>
      <c r="B794" s="254"/>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row>
    <row r="795" spans="1:25" ht="15.75" customHeight="1">
      <c r="A795" s="254"/>
      <c r="B795" s="254"/>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row>
    <row r="796" spans="1:25" ht="15.75" customHeight="1">
      <c r="A796" s="254"/>
      <c r="B796" s="254"/>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row>
    <row r="797" spans="1:25" ht="15.75" customHeight="1">
      <c r="A797" s="254"/>
      <c r="B797" s="254"/>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row>
    <row r="798" spans="1:25" ht="15.75" customHeight="1">
      <c r="A798" s="254"/>
      <c r="B798" s="254"/>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row>
    <row r="799" spans="1:25" ht="15.75" customHeight="1">
      <c r="A799" s="254"/>
      <c r="B799" s="254"/>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row>
    <row r="800" spans="1:25" ht="15.75" customHeight="1">
      <c r="A800" s="254"/>
      <c r="B800" s="254"/>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row>
    <row r="801" spans="1:25" ht="15.75" customHeight="1">
      <c r="A801" s="254"/>
      <c r="B801" s="254"/>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row>
    <row r="802" spans="1:25" ht="15.75" customHeight="1">
      <c r="A802" s="254"/>
      <c r="B802" s="254"/>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row>
    <row r="803" spans="1:25" ht="15.75" customHeight="1">
      <c r="A803" s="254"/>
      <c r="B803" s="254"/>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row>
    <row r="804" spans="1:25" ht="15.75" customHeight="1">
      <c r="A804" s="254"/>
      <c r="B804" s="254"/>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row>
    <row r="805" spans="1:25" ht="15.75" customHeight="1">
      <c r="A805" s="254"/>
      <c r="B805" s="254"/>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row>
    <row r="806" spans="1:25" ht="15.75" customHeight="1">
      <c r="A806" s="254"/>
      <c r="B806" s="254"/>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row>
    <row r="807" spans="1:25" ht="15.75" customHeight="1">
      <c r="A807" s="254"/>
      <c r="B807" s="254"/>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row>
    <row r="808" spans="1:25" ht="15.75" customHeight="1">
      <c r="A808" s="254"/>
      <c r="B808" s="254"/>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row>
    <row r="809" spans="1:25" ht="15.75" customHeight="1">
      <c r="A809" s="254"/>
      <c r="B809" s="254"/>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row>
    <row r="810" spans="1:25" ht="15.75" customHeight="1">
      <c r="A810" s="254"/>
      <c r="B810" s="254"/>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row>
    <row r="811" spans="1:25" ht="15.75" customHeight="1">
      <c r="A811" s="254"/>
      <c r="B811" s="254"/>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row>
    <row r="812" spans="1:25" ht="15.75" customHeight="1">
      <c r="A812" s="254"/>
      <c r="B812" s="254"/>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row>
    <row r="813" spans="1:25" ht="15.75" customHeight="1">
      <c r="A813" s="254"/>
      <c r="B813" s="254"/>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row>
    <row r="814" spans="1:25" ht="15.75" customHeight="1">
      <c r="A814" s="254"/>
      <c r="B814" s="254"/>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row>
    <row r="815" spans="1:25" ht="15.75" customHeight="1">
      <c r="A815" s="254"/>
      <c r="B815" s="254"/>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row>
    <row r="816" spans="1:25" ht="15.75" customHeight="1">
      <c r="A816" s="254"/>
      <c r="B816" s="254"/>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row>
    <row r="817" spans="1:25" ht="15.75" customHeight="1">
      <c r="A817" s="254"/>
      <c r="B817" s="254"/>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row>
    <row r="818" spans="1:25" ht="15.75" customHeight="1">
      <c r="A818" s="254"/>
      <c r="B818" s="254"/>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row>
    <row r="819" spans="1:25" ht="15.75" customHeight="1">
      <c r="A819" s="254"/>
      <c r="B819" s="254"/>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row>
    <row r="820" spans="1:25" ht="15.75" customHeight="1">
      <c r="A820" s="254"/>
      <c r="B820" s="254"/>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row>
    <row r="821" spans="1:25" ht="15.75" customHeight="1">
      <c r="A821" s="254"/>
      <c r="B821" s="254"/>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row>
    <row r="822" spans="1:25" ht="15.75" customHeight="1">
      <c r="A822" s="254"/>
      <c r="B822" s="254"/>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row>
    <row r="823" spans="1:25" ht="15.75" customHeight="1">
      <c r="A823" s="254"/>
      <c r="B823" s="254"/>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row>
    <row r="824" spans="1:25" ht="15.75" customHeight="1">
      <c r="A824" s="254"/>
      <c r="B824" s="254"/>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row>
    <row r="825" spans="1:25" ht="15.75" customHeight="1">
      <c r="A825" s="254"/>
      <c r="B825" s="254"/>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row>
    <row r="826" spans="1:25" ht="15.75" customHeight="1">
      <c r="A826" s="254"/>
      <c r="B826" s="254"/>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row>
    <row r="827" spans="1:25" ht="15.75" customHeight="1">
      <c r="A827" s="254"/>
      <c r="B827" s="254"/>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row>
    <row r="828" spans="1:25" ht="15.75" customHeight="1">
      <c r="A828" s="254"/>
      <c r="B828" s="254"/>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row>
    <row r="829" spans="1:25" ht="15.75" customHeight="1">
      <c r="A829" s="254"/>
      <c r="B829" s="254"/>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row>
    <row r="830" spans="1:25" ht="15.75" customHeight="1">
      <c r="A830" s="254"/>
      <c r="B830" s="254"/>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row>
    <row r="831" spans="1:25" ht="15.75" customHeight="1">
      <c r="A831" s="254"/>
      <c r="B831" s="254"/>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row>
    <row r="832" spans="1:25" ht="15.75" customHeight="1">
      <c r="A832" s="254"/>
      <c r="B832" s="254"/>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row>
    <row r="833" spans="1:25" ht="15.75" customHeight="1">
      <c r="A833" s="254"/>
      <c r="B833" s="254"/>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row>
    <row r="834" spans="1:25" ht="15.75" customHeight="1">
      <c r="A834" s="254"/>
      <c r="B834" s="254"/>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row>
    <row r="835" spans="1:25" ht="15.75" customHeight="1">
      <c r="A835" s="254"/>
      <c r="B835" s="254"/>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row>
    <row r="836" spans="1:25" ht="15.75" customHeight="1">
      <c r="A836" s="254"/>
      <c r="B836" s="254"/>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row>
    <row r="837" spans="1:25" ht="15.75" customHeight="1">
      <c r="A837" s="254"/>
      <c r="B837" s="254"/>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row>
    <row r="838" spans="1:25" ht="15.75" customHeight="1">
      <c r="A838" s="254"/>
      <c r="B838" s="254"/>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row>
    <row r="839" spans="1:25" ht="15.75" customHeight="1">
      <c r="A839" s="254"/>
      <c r="B839" s="254"/>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row>
    <row r="840" spans="1:25" ht="15.75" customHeight="1">
      <c r="A840" s="254"/>
      <c r="B840" s="254"/>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row>
    <row r="841" spans="1:25" ht="15.75" customHeight="1">
      <c r="A841" s="254"/>
      <c r="B841" s="254"/>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row>
    <row r="842" spans="1:25" ht="15.75" customHeight="1">
      <c r="A842" s="254"/>
      <c r="B842" s="254"/>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row>
    <row r="843" spans="1:25" ht="15.75" customHeight="1">
      <c r="A843" s="254"/>
      <c r="B843" s="254"/>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row>
    <row r="844" spans="1:25" ht="15.75" customHeight="1">
      <c r="A844" s="254"/>
      <c r="B844" s="254"/>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row>
    <row r="845" spans="1:25" ht="15.75" customHeight="1">
      <c r="A845" s="254"/>
      <c r="B845" s="254"/>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row>
    <row r="846" spans="1:25" ht="15.75" customHeight="1">
      <c r="A846" s="254"/>
      <c r="B846" s="254"/>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row>
    <row r="847" spans="1:25" ht="15.75" customHeight="1">
      <c r="A847" s="254"/>
      <c r="B847" s="254"/>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row>
    <row r="848" spans="1:25" ht="15.75" customHeight="1">
      <c r="A848" s="254"/>
      <c r="B848" s="254"/>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row>
    <row r="849" spans="1:25" ht="15.75" customHeight="1">
      <c r="A849" s="254"/>
      <c r="B849" s="254"/>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row>
    <row r="850" spans="1:25" ht="15.75" customHeight="1">
      <c r="A850" s="254"/>
      <c r="B850" s="254"/>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row>
    <row r="851" spans="1:25" ht="15.75" customHeight="1">
      <c r="A851" s="254"/>
      <c r="B851" s="254"/>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row>
    <row r="852" spans="1:25" ht="15.75" customHeight="1">
      <c r="A852" s="254"/>
      <c r="B852" s="254"/>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row>
    <row r="853" spans="1:25" ht="15.75" customHeight="1">
      <c r="A853" s="254"/>
      <c r="B853" s="254"/>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row>
    <row r="854" spans="1:25" ht="15.75" customHeight="1">
      <c r="A854" s="254"/>
      <c r="B854" s="254"/>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row>
    <row r="855" spans="1:25" ht="15.75" customHeight="1">
      <c r="A855" s="254"/>
      <c r="B855" s="254"/>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row>
    <row r="856" spans="1:25" ht="15.75" customHeight="1">
      <c r="A856" s="254"/>
      <c r="B856" s="254"/>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row>
    <row r="857" spans="1:25" ht="15.75" customHeight="1">
      <c r="A857" s="254"/>
      <c r="B857" s="254"/>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row>
    <row r="858" spans="1:25" ht="15.75" customHeight="1">
      <c r="A858" s="254"/>
      <c r="B858" s="254"/>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row>
    <row r="859" spans="1:25" ht="15.75" customHeight="1">
      <c r="A859" s="254"/>
      <c r="B859" s="254"/>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row>
    <row r="860" spans="1:25" ht="15.75" customHeight="1">
      <c r="A860" s="254"/>
      <c r="B860" s="254"/>
      <c r="C860" s="254"/>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row>
    <row r="861" spans="1:25" ht="15.75" customHeight="1">
      <c r="A861" s="254"/>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row>
    <row r="862" spans="1:25" ht="15.75" customHeight="1">
      <c r="A862" s="254"/>
      <c r="B862" s="254"/>
      <c r="C862" s="254"/>
      <c r="D862" s="254"/>
      <c r="E862" s="254"/>
      <c r="F862" s="254"/>
      <c r="G862" s="254"/>
      <c r="H862" s="254"/>
      <c r="I862" s="254"/>
      <c r="J862" s="254"/>
      <c r="K862" s="254"/>
      <c r="L862" s="254"/>
      <c r="M862" s="254"/>
      <c r="N862" s="254"/>
      <c r="O862" s="254"/>
      <c r="P862" s="254"/>
      <c r="Q862" s="254"/>
      <c r="R862" s="254"/>
      <c r="S862" s="254"/>
      <c r="T862" s="254"/>
      <c r="U862" s="254"/>
      <c r="V862" s="254"/>
      <c r="W862" s="254"/>
      <c r="X862" s="254"/>
      <c r="Y862" s="254"/>
    </row>
    <row r="863" spans="1:25" ht="15.75" customHeight="1">
      <c r="A863" s="254"/>
      <c r="B863" s="254"/>
      <c r="C863" s="254"/>
      <c r="D863" s="254"/>
      <c r="E863" s="254"/>
      <c r="F863" s="254"/>
      <c r="G863" s="254"/>
      <c r="H863" s="254"/>
      <c r="I863" s="254"/>
      <c r="J863" s="254"/>
      <c r="K863" s="254"/>
      <c r="L863" s="254"/>
      <c r="M863" s="254"/>
      <c r="N863" s="254"/>
      <c r="O863" s="254"/>
      <c r="P863" s="254"/>
      <c r="Q863" s="254"/>
      <c r="R863" s="254"/>
      <c r="S863" s="254"/>
      <c r="T863" s="254"/>
      <c r="U863" s="254"/>
      <c r="V863" s="254"/>
      <c r="W863" s="254"/>
      <c r="X863" s="254"/>
      <c r="Y863" s="254"/>
    </row>
    <row r="864" spans="1:25" ht="15.75" customHeight="1">
      <c r="A864" s="254"/>
      <c r="B864" s="254"/>
      <c r="C864" s="254"/>
      <c r="D864" s="254"/>
      <c r="E864" s="254"/>
      <c r="F864" s="254"/>
      <c r="G864" s="254"/>
      <c r="H864" s="254"/>
      <c r="I864" s="254"/>
      <c r="J864" s="254"/>
      <c r="K864" s="254"/>
      <c r="L864" s="254"/>
      <c r="M864" s="254"/>
      <c r="N864" s="254"/>
      <c r="O864" s="254"/>
      <c r="P864" s="254"/>
      <c r="Q864" s="254"/>
      <c r="R864" s="254"/>
      <c r="S864" s="254"/>
      <c r="T864" s="254"/>
      <c r="U864" s="254"/>
      <c r="V864" s="254"/>
      <c r="W864" s="254"/>
      <c r="X864" s="254"/>
      <c r="Y864" s="254"/>
    </row>
    <row r="865" spans="1:25" ht="15.75" customHeight="1">
      <c r="A865" s="254"/>
      <c r="B865" s="254"/>
      <c r="C865" s="254"/>
      <c r="D865" s="254"/>
      <c r="E865" s="254"/>
      <c r="F865" s="254"/>
      <c r="G865" s="254"/>
      <c r="H865" s="254"/>
      <c r="I865" s="254"/>
      <c r="J865" s="254"/>
      <c r="K865" s="254"/>
      <c r="L865" s="254"/>
      <c r="M865" s="254"/>
      <c r="N865" s="254"/>
      <c r="O865" s="254"/>
      <c r="P865" s="254"/>
      <c r="Q865" s="254"/>
      <c r="R865" s="254"/>
      <c r="S865" s="254"/>
      <c r="T865" s="254"/>
      <c r="U865" s="254"/>
      <c r="V865" s="254"/>
      <c r="W865" s="254"/>
      <c r="X865" s="254"/>
      <c r="Y865" s="254"/>
    </row>
    <row r="866" spans="1:25" ht="15.75" customHeight="1">
      <c r="A866" s="254"/>
      <c r="B866" s="254"/>
      <c r="C866" s="254"/>
      <c r="D866" s="254"/>
      <c r="E866" s="254"/>
      <c r="F866" s="254"/>
      <c r="G866" s="254"/>
      <c r="H866" s="254"/>
      <c r="I866" s="254"/>
      <c r="J866" s="254"/>
      <c r="K866" s="254"/>
      <c r="L866" s="254"/>
      <c r="M866" s="254"/>
      <c r="N866" s="254"/>
      <c r="O866" s="254"/>
      <c r="P866" s="254"/>
      <c r="Q866" s="254"/>
      <c r="R866" s="254"/>
      <c r="S866" s="254"/>
      <c r="T866" s="254"/>
      <c r="U866" s="254"/>
      <c r="V866" s="254"/>
      <c r="W866" s="254"/>
      <c r="X866" s="254"/>
      <c r="Y866" s="254"/>
    </row>
    <row r="867" spans="1:25" ht="15.75" customHeight="1">
      <c r="A867" s="254"/>
      <c r="B867" s="254"/>
      <c r="C867" s="254"/>
      <c r="D867" s="254"/>
      <c r="E867" s="254"/>
      <c r="F867" s="254"/>
      <c r="G867" s="254"/>
      <c r="H867" s="254"/>
      <c r="I867" s="254"/>
      <c r="J867" s="254"/>
      <c r="K867" s="254"/>
      <c r="L867" s="254"/>
      <c r="M867" s="254"/>
      <c r="N867" s="254"/>
      <c r="O867" s="254"/>
      <c r="P867" s="254"/>
      <c r="Q867" s="254"/>
      <c r="R867" s="254"/>
      <c r="S867" s="254"/>
      <c r="T867" s="254"/>
      <c r="U867" s="254"/>
      <c r="V867" s="254"/>
      <c r="W867" s="254"/>
      <c r="X867" s="254"/>
      <c r="Y867" s="254"/>
    </row>
    <row r="868" spans="1:25" ht="15.75" customHeight="1">
      <c r="A868" s="254"/>
      <c r="B868" s="254"/>
      <c r="C868" s="254"/>
      <c r="D868" s="254"/>
      <c r="E868" s="254"/>
      <c r="F868" s="254"/>
      <c r="G868" s="254"/>
      <c r="H868" s="254"/>
      <c r="I868" s="254"/>
      <c r="J868" s="254"/>
      <c r="K868" s="254"/>
      <c r="L868" s="254"/>
      <c r="M868" s="254"/>
      <c r="N868" s="254"/>
      <c r="O868" s="254"/>
      <c r="P868" s="254"/>
      <c r="Q868" s="254"/>
      <c r="R868" s="254"/>
      <c r="S868" s="254"/>
      <c r="T868" s="254"/>
      <c r="U868" s="254"/>
      <c r="V868" s="254"/>
      <c r="W868" s="254"/>
      <c r="X868" s="254"/>
      <c r="Y868" s="254"/>
    </row>
    <row r="869" spans="1:25" ht="15.75" customHeight="1">
      <c r="A869" s="254"/>
      <c r="B869" s="254"/>
      <c r="C869" s="254"/>
      <c r="D869" s="254"/>
      <c r="E869" s="254"/>
      <c r="F869" s="254"/>
      <c r="G869" s="254"/>
      <c r="H869" s="254"/>
      <c r="I869" s="254"/>
      <c r="J869" s="254"/>
      <c r="K869" s="254"/>
      <c r="L869" s="254"/>
      <c r="M869" s="254"/>
      <c r="N869" s="254"/>
      <c r="O869" s="254"/>
      <c r="P869" s="254"/>
      <c r="Q869" s="254"/>
      <c r="R869" s="254"/>
      <c r="S869" s="254"/>
      <c r="T869" s="254"/>
      <c r="U869" s="254"/>
      <c r="V869" s="254"/>
      <c r="W869" s="254"/>
      <c r="X869" s="254"/>
      <c r="Y869" s="254"/>
    </row>
    <row r="870" spans="1:25" ht="15.75" customHeight="1">
      <c r="A870" s="254"/>
      <c r="B870" s="254"/>
      <c r="C870" s="254"/>
      <c r="D870" s="254"/>
      <c r="E870" s="254"/>
      <c r="F870" s="254"/>
      <c r="G870" s="254"/>
      <c r="H870" s="254"/>
      <c r="I870" s="254"/>
      <c r="J870" s="254"/>
      <c r="K870" s="254"/>
      <c r="L870" s="254"/>
      <c r="M870" s="254"/>
      <c r="N870" s="254"/>
      <c r="O870" s="254"/>
      <c r="P870" s="254"/>
      <c r="Q870" s="254"/>
      <c r="R870" s="254"/>
      <c r="S870" s="254"/>
      <c r="T870" s="254"/>
      <c r="U870" s="254"/>
      <c r="V870" s="254"/>
      <c r="W870" s="254"/>
      <c r="X870" s="254"/>
      <c r="Y870" s="254"/>
    </row>
    <row r="871" spans="1:25" ht="15.75" customHeight="1">
      <c r="A871" s="254"/>
      <c r="B871" s="254"/>
      <c r="C871" s="254"/>
      <c r="D871" s="254"/>
      <c r="E871" s="254"/>
      <c r="F871" s="254"/>
      <c r="G871" s="254"/>
      <c r="H871" s="254"/>
      <c r="I871" s="254"/>
      <c r="J871" s="254"/>
      <c r="K871" s="254"/>
      <c r="L871" s="254"/>
      <c r="M871" s="254"/>
      <c r="N871" s="254"/>
      <c r="O871" s="254"/>
      <c r="P871" s="254"/>
      <c r="Q871" s="254"/>
      <c r="R871" s="254"/>
      <c r="S871" s="254"/>
      <c r="T871" s="254"/>
      <c r="U871" s="254"/>
      <c r="V871" s="254"/>
      <c r="W871" s="254"/>
      <c r="X871" s="254"/>
      <c r="Y871" s="254"/>
    </row>
    <row r="872" spans="1:25" ht="15.75" customHeight="1">
      <c r="A872" s="254"/>
      <c r="B872" s="254"/>
      <c r="C872" s="254"/>
      <c r="D872" s="254"/>
      <c r="E872" s="254"/>
      <c r="F872" s="254"/>
      <c r="G872" s="254"/>
      <c r="H872" s="254"/>
      <c r="I872" s="254"/>
      <c r="J872" s="254"/>
      <c r="K872" s="254"/>
      <c r="L872" s="254"/>
      <c r="M872" s="254"/>
      <c r="N872" s="254"/>
      <c r="O872" s="254"/>
      <c r="P872" s="254"/>
      <c r="Q872" s="254"/>
      <c r="R872" s="254"/>
      <c r="S872" s="254"/>
      <c r="T872" s="254"/>
      <c r="U872" s="254"/>
      <c r="V872" s="254"/>
      <c r="W872" s="254"/>
      <c r="X872" s="254"/>
      <c r="Y872" s="254"/>
    </row>
    <row r="873" spans="1:25" ht="15.75" customHeight="1">
      <c r="A873" s="254"/>
      <c r="B873" s="254"/>
      <c r="C873" s="254"/>
      <c r="D873" s="254"/>
      <c r="E873" s="254"/>
      <c r="F873" s="254"/>
      <c r="G873" s="254"/>
      <c r="H873" s="254"/>
      <c r="I873" s="254"/>
      <c r="J873" s="254"/>
      <c r="K873" s="254"/>
      <c r="L873" s="254"/>
      <c r="M873" s="254"/>
      <c r="N873" s="254"/>
      <c r="O873" s="254"/>
      <c r="P873" s="254"/>
      <c r="Q873" s="254"/>
      <c r="R873" s="254"/>
      <c r="S873" s="254"/>
      <c r="T873" s="254"/>
      <c r="U873" s="254"/>
      <c r="V873" s="254"/>
      <c r="W873" s="254"/>
      <c r="X873" s="254"/>
      <c r="Y873" s="254"/>
    </row>
    <row r="874" spans="1:25" ht="15.75" customHeight="1">
      <c r="A874" s="254"/>
      <c r="B874" s="254"/>
      <c r="C874" s="254"/>
      <c r="D874" s="254"/>
      <c r="E874" s="254"/>
      <c r="F874" s="254"/>
      <c r="G874" s="254"/>
      <c r="H874" s="254"/>
      <c r="I874" s="254"/>
      <c r="J874" s="254"/>
      <c r="K874" s="254"/>
      <c r="L874" s="254"/>
      <c r="M874" s="254"/>
      <c r="N874" s="254"/>
      <c r="O874" s="254"/>
      <c r="P874" s="254"/>
      <c r="Q874" s="254"/>
      <c r="R874" s="254"/>
      <c r="S874" s="254"/>
      <c r="T874" s="254"/>
      <c r="U874" s="254"/>
      <c r="V874" s="254"/>
      <c r="W874" s="254"/>
      <c r="X874" s="254"/>
      <c r="Y874" s="254"/>
    </row>
    <row r="875" spans="1:25" ht="15.75" customHeight="1">
      <c r="A875" s="254"/>
      <c r="B875" s="254"/>
      <c r="C875" s="254"/>
      <c r="D875" s="254"/>
      <c r="E875" s="254"/>
      <c r="F875" s="254"/>
      <c r="G875" s="254"/>
      <c r="H875" s="254"/>
      <c r="I875" s="254"/>
      <c r="J875" s="254"/>
      <c r="K875" s="254"/>
      <c r="L875" s="254"/>
      <c r="M875" s="254"/>
      <c r="N875" s="254"/>
      <c r="O875" s="254"/>
      <c r="P875" s="254"/>
      <c r="Q875" s="254"/>
      <c r="R875" s="254"/>
      <c r="S875" s="254"/>
      <c r="T875" s="254"/>
      <c r="U875" s="254"/>
      <c r="V875" s="254"/>
      <c r="W875" s="254"/>
      <c r="X875" s="254"/>
      <c r="Y875" s="254"/>
    </row>
    <row r="876" spans="1:25" ht="15.75" customHeight="1">
      <c r="A876" s="254"/>
      <c r="B876" s="254"/>
      <c r="C876" s="254"/>
      <c r="D876" s="254"/>
      <c r="E876" s="254"/>
      <c r="F876" s="254"/>
      <c r="G876" s="254"/>
      <c r="H876" s="254"/>
      <c r="I876" s="254"/>
      <c r="J876" s="254"/>
      <c r="K876" s="254"/>
      <c r="L876" s="254"/>
      <c r="M876" s="254"/>
      <c r="N876" s="254"/>
      <c r="O876" s="254"/>
      <c r="P876" s="254"/>
      <c r="Q876" s="254"/>
      <c r="R876" s="254"/>
      <c r="S876" s="254"/>
      <c r="T876" s="254"/>
      <c r="U876" s="254"/>
      <c r="V876" s="254"/>
      <c r="W876" s="254"/>
      <c r="X876" s="254"/>
      <c r="Y876" s="254"/>
    </row>
    <row r="877" spans="1:25" ht="15.75" customHeight="1">
      <c r="A877" s="254"/>
      <c r="B877" s="254"/>
      <c r="C877" s="254"/>
      <c r="D877" s="254"/>
      <c r="E877" s="254"/>
      <c r="F877" s="254"/>
      <c r="G877" s="254"/>
      <c r="H877" s="254"/>
      <c r="I877" s="254"/>
      <c r="J877" s="254"/>
      <c r="K877" s="254"/>
      <c r="L877" s="254"/>
      <c r="M877" s="254"/>
      <c r="N877" s="254"/>
      <c r="O877" s="254"/>
      <c r="P877" s="254"/>
      <c r="Q877" s="254"/>
      <c r="R877" s="254"/>
      <c r="S877" s="254"/>
      <c r="T877" s="254"/>
      <c r="U877" s="254"/>
      <c r="V877" s="254"/>
      <c r="W877" s="254"/>
      <c r="X877" s="254"/>
      <c r="Y877" s="254"/>
    </row>
    <row r="878" spans="1:25" ht="15.75" customHeight="1">
      <c r="A878" s="254"/>
      <c r="B878" s="254"/>
      <c r="C878" s="254"/>
      <c r="D878" s="254"/>
      <c r="E878" s="254"/>
      <c r="F878" s="254"/>
      <c r="G878" s="254"/>
      <c r="H878" s="254"/>
      <c r="I878" s="254"/>
      <c r="J878" s="254"/>
      <c r="K878" s="254"/>
      <c r="L878" s="254"/>
      <c r="M878" s="254"/>
      <c r="N878" s="254"/>
      <c r="O878" s="254"/>
      <c r="P878" s="254"/>
      <c r="Q878" s="254"/>
      <c r="R878" s="254"/>
      <c r="S878" s="254"/>
      <c r="T878" s="254"/>
      <c r="U878" s="254"/>
      <c r="V878" s="254"/>
      <c r="W878" s="254"/>
      <c r="X878" s="254"/>
      <c r="Y878" s="254"/>
    </row>
    <row r="879" spans="1:25" ht="15.75" customHeight="1">
      <c r="A879" s="254"/>
      <c r="B879" s="254"/>
      <c r="C879" s="254"/>
      <c r="D879" s="254"/>
      <c r="E879" s="254"/>
      <c r="F879" s="254"/>
      <c r="G879" s="254"/>
      <c r="H879" s="254"/>
      <c r="I879" s="254"/>
      <c r="J879" s="254"/>
      <c r="K879" s="254"/>
      <c r="L879" s="254"/>
      <c r="M879" s="254"/>
      <c r="N879" s="254"/>
      <c r="O879" s="254"/>
      <c r="P879" s="254"/>
      <c r="Q879" s="254"/>
      <c r="R879" s="254"/>
      <c r="S879" s="254"/>
      <c r="T879" s="254"/>
      <c r="U879" s="254"/>
      <c r="V879" s="254"/>
      <c r="W879" s="254"/>
      <c r="X879" s="254"/>
      <c r="Y879" s="254"/>
    </row>
    <row r="880" spans="1:25" ht="15.75" customHeight="1">
      <c r="A880" s="254"/>
      <c r="B880" s="254"/>
      <c r="C880" s="254"/>
      <c r="D880" s="254"/>
      <c r="E880" s="254"/>
      <c r="F880" s="254"/>
      <c r="G880" s="254"/>
      <c r="H880" s="254"/>
      <c r="I880" s="254"/>
      <c r="J880" s="254"/>
      <c r="K880" s="254"/>
      <c r="L880" s="254"/>
      <c r="M880" s="254"/>
      <c r="N880" s="254"/>
      <c r="O880" s="254"/>
      <c r="P880" s="254"/>
      <c r="Q880" s="254"/>
      <c r="R880" s="254"/>
      <c r="S880" s="254"/>
      <c r="T880" s="254"/>
      <c r="U880" s="254"/>
      <c r="V880" s="254"/>
      <c r="W880" s="254"/>
      <c r="X880" s="254"/>
      <c r="Y880" s="254"/>
    </row>
    <row r="881" spans="1:25" ht="15.75" customHeight="1">
      <c r="A881" s="254"/>
      <c r="B881" s="254"/>
      <c r="C881" s="254"/>
      <c r="D881" s="254"/>
      <c r="E881" s="254"/>
      <c r="F881" s="254"/>
      <c r="G881" s="254"/>
      <c r="H881" s="254"/>
      <c r="I881" s="254"/>
      <c r="J881" s="254"/>
      <c r="K881" s="254"/>
      <c r="L881" s="254"/>
      <c r="M881" s="254"/>
      <c r="N881" s="254"/>
      <c r="O881" s="254"/>
      <c r="P881" s="254"/>
      <c r="Q881" s="254"/>
      <c r="R881" s="254"/>
      <c r="S881" s="254"/>
      <c r="T881" s="254"/>
      <c r="U881" s="254"/>
      <c r="V881" s="254"/>
      <c r="W881" s="254"/>
      <c r="X881" s="254"/>
      <c r="Y881" s="254"/>
    </row>
    <row r="882" spans="1:25" ht="15.75" customHeight="1">
      <c r="A882" s="254"/>
      <c r="B882" s="254"/>
      <c r="C882" s="254"/>
      <c r="D882" s="254"/>
      <c r="E882" s="254"/>
      <c r="F882" s="254"/>
      <c r="G882" s="254"/>
      <c r="H882" s="254"/>
      <c r="I882" s="254"/>
      <c r="J882" s="254"/>
      <c r="K882" s="254"/>
      <c r="L882" s="254"/>
      <c r="M882" s="254"/>
      <c r="N882" s="254"/>
      <c r="O882" s="254"/>
      <c r="P882" s="254"/>
      <c r="Q882" s="254"/>
      <c r="R882" s="254"/>
      <c r="S882" s="254"/>
      <c r="T882" s="254"/>
      <c r="U882" s="254"/>
      <c r="V882" s="254"/>
      <c r="W882" s="254"/>
      <c r="X882" s="254"/>
      <c r="Y882" s="254"/>
    </row>
    <row r="883" spans="1:25" ht="15.75" customHeight="1">
      <c r="A883" s="254"/>
      <c r="B883" s="254"/>
      <c r="C883" s="254"/>
      <c r="D883" s="254"/>
      <c r="E883" s="254"/>
      <c r="F883" s="254"/>
      <c r="G883" s="254"/>
      <c r="H883" s="254"/>
      <c r="I883" s="254"/>
      <c r="J883" s="254"/>
      <c r="K883" s="254"/>
      <c r="L883" s="254"/>
      <c r="M883" s="254"/>
      <c r="N883" s="254"/>
      <c r="O883" s="254"/>
      <c r="P883" s="254"/>
      <c r="Q883" s="254"/>
      <c r="R883" s="254"/>
      <c r="S883" s="254"/>
      <c r="T883" s="254"/>
      <c r="U883" s="254"/>
      <c r="V883" s="254"/>
      <c r="W883" s="254"/>
      <c r="X883" s="254"/>
      <c r="Y883" s="254"/>
    </row>
    <row r="884" spans="1:25" ht="15.75" customHeight="1">
      <c r="A884" s="254"/>
      <c r="B884" s="254"/>
      <c r="C884" s="254"/>
      <c r="D884" s="254"/>
      <c r="E884" s="254"/>
      <c r="F884" s="254"/>
      <c r="G884" s="254"/>
      <c r="H884" s="254"/>
      <c r="I884" s="254"/>
      <c r="J884" s="254"/>
      <c r="K884" s="254"/>
      <c r="L884" s="254"/>
      <c r="M884" s="254"/>
      <c r="N884" s="254"/>
      <c r="O884" s="254"/>
      <c r="P884" s="254"/>
      <c r="Q884" s="254"/>
      <c r="R884" s="254"/>
      <c r="S884" s="254"/>
      <c r="T884" s="254"/>
      <c r="U884" s="254"/>
      <c r="V884" s="254"/>
      <c r="W884" s="254"/>
      <c r="X884" s="254"/>
      <c r="Y884" s="254"/>
    </row>
    <row r="885" spans="1:25" ht="15.75" customHeight="1">
      <c r="A885" s="254"/>
      <c r="B885" s="254"/>
      <c r="C885" s="254"/>
      <c r="D885" s="254"/>
      <c r="E885" s="254"/>
      <c r="F885" s="254"/>
      <c r="G885" s="254"/>
      <c r="H885" s="254"/>
      <c r="I885" s="254"/>
      <c r="J885" s="254"/>
      <c r="K885" s="254"/>
      <c r="L885" s="254"/>
      <c r="M885" s="254"/>
      <c r="N885" s="254"/>
      <c r="O885" s="254"/>
      <c r="P885" s="254"/>
      <c r="Q885" s="254"/>
      <c r="R885" s="254"/>
      <c r="S885" s="254"/>
      <c r="T885" s="254"/>
      <c r="U885" s="254"/>
      <c r="V885" s="254"/>
      <c r="W885" s="254"/>
      <c r="X885" s="254"/>
      <c r="Y885" s="254"/>
    </row>
    <row r="886" spans="1:25" ht="15.75" customHeight="1">
      <c r="A886" s="254"/>
      <c r="B886" s="254"/>
      <c r="C886" s="254"/>
      <c r="D886" s="254"/>
      <c r="E886" s="254"/>
      <c r="F886" s="254"/>
      <c r="G886" s="254"/>
      <c r="H886" s="254"/>
      <c r="I886" s="254"/>
      <c r="J886" s="254"/>
      <c r="K886" s="254"/>
      <c r="L886" s="254"/>
      <c r="M886" s="254"/>
      <c r="N886" s="254"/>
      <c r="O886" s="254"/>
      <c r="P886" s="254"/>
      <c r="Q886" s="254"/>
      <c r="R886" s="254"/>
      <c r="S886" s="254"/>
      <c r="T886" s="254"/>
      <c r="U886" s="254"/>
      <c r="V886" s="254"/>
      <c r="W886" s="254"/>
      <c r="X886" s="254"/>
      <c r="Y886" s="254"/>
    </row>
    <row r="887" spans="1:25" ht="15.75" customHeight="1">
      <c r="A887" s="254"/>
      <c r="B887" s="254"/>
      <c r="C887" s="254"/>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row>
    <row r="888" spans="1:25" ht="15.75" customHeight="1">
      <c r="A888" s="254"/>
      <c r="B888" s="254"/>
      <c r="C888" s="254"/>
      <c r="D888" s="254"/>
      <c r="E888" s="254"/>
      <c r="F888" s="254"/>
      <c r="G888" s="254"/>
      <c r="H888" s="254"/>
      <c r="I888" s="254"/>
      <c r="J888" s="254"/>
      <c r="K888" s="254"/>
      <c r="L888" s="254"/>
      <c r="M888" s="254"/>
      <c r="N888" s="254"/>
      <c r="O888" s="254"/>
      <c r="P888" s="254"/>
      <c r="Q888" s="254"/>
      <c r="R888" s="254"/>
      <c r="S888" s="254"/>
      <c r="T888" s="254"/>
      <c r="U888" s="254"/>
      <c r="V888" s="254"/>
      <c r="W888" s="254"/>
      <c r="X888" s="254"/>
      <c r="Y888" s="254"/>
    </row>
    <row r="889" spans="1:25" ht="15.75" customHeight="1">
      <c r="A889" s="254"/>
      <c r="B889" s="254"/>
      <c r="C889" s="254"/>
      <c r="D889" s="254"/>
      <c r="E889" s="254"/>
      <c r="F889" s="254"/>
      <c r="G889" s="254"/>
      <c r="H889" s="254"/>
      <c r="I889" s="254"/>
      <c r="J889" s="254"/>
      <c r="K889" s="254"/>
      <c r="L889" s="254"/>
      <c r="M889" s="254"/>
      <c r="N889" s="254"/>
      <c r="O889" s="254"/>
      <c r="P889" s="254"/>
      <c r="Q889" s="254"/>
      <c r="R889" s="254"/>
      <c r="S889" s="254"/>
      <c r="T889" s="254"/>
      <c r="U889" s="254"/>
      <c r="V889" s="254"/>
      <c r="W889" s="254"/>
      <c r="X889" s="254"/>
      <c r="Y889" s="254"/>
    </row>
    <row r="890" spans="1:25" ht="15.75" customHeight="1">
      <c r="A890" s="254"/>
      <c r="B890" s="254"/>
      <c r="C890" s="254"/>
      <c r="D890" s="254"/>
      <c r="E890" s="254"/>
      <c r="F890" s="254"/>
      <c r="G890" s="254"/>
      <c r="H890" s="254"/>
      <c r="I890" s="254"/>
      <c r="J890" s="254"/>
      <c r="K890" s="254"/>
      <c r="L890" s="254"/>
      <c r="M890" s="254"/>
      <c r="N890" s="254"/>
      <c r="O890" s="254"/>
      <c r="P890" s="254"/>
      <c r="Q890" s="254"/>
      <c r="R890" s="254"/>
      <c r="S890" s="254"/>
      <c r="T890" s="254"/>
      <c r="U890" s="254"/>
      <c r="V890" s="254"/>
      <c r="W890" s="254"/>
      <c r="X890" s="254"/>
      <c r="Y890" s="254"/>
    </row>
    <row r="891" spans="1:25" ht="15.75" customHeight="1">
      <c r="A891" s="254"/>
      <c r="B891" s="254"/>
      <c r="C891" s="254"/>
      <c r="D891" s="254"/>
      <c r="E891" s="254"/>
      <c r="F891" s="254"/>
      <c r="G891" s="254"/>
      <c r="H891" s="254"/>
      <c r="I891" s="254"/>
      <c r="J891" s="254"/>
      <c r="K891" s="254"/>
      <c r="L891" s="254"/>
      <c r="M891" s="254"/>
      <c r="N891" s="254"/>
      <c r="O891" s="254"/>
      <c r="P891" s="254"/>
      <c r="Q891" s="254"/>
      <c r="R891" s="254"/>
      <c r="S891" s="254"/>
      <c r="T891" s="254"/>
      <c r="U891" s="254"/>
      <c r="V891" s="254"/>
      <c r="W891" s="254"/>
      <c r="X891" s="254"/>
      <c r="Y891" s="254"/>
    </row>
    <row r="892" spans="1:25" ht="15.75" customHeight="1">
      <c r="A892" s="254"/>
      <c r="B892" s="254"/>
      <c r="C892" s="254"/>
      <c r="D892" s="254"/>
      <c r="E892" s="254"/>
      <c r="F892" s="254"/>
      <c r="G892" s="254"/>
      <c r="H892" s="254"/>
      <c r="I892" s="254"/>
      <c r="J892" s="254"/>
      <c r="K892" s="254"/>
      <c r="L892" s="254"/>
      <c r="M892" s="254"/>
      <c r="N892" s="254"/>
      <c r="O892" s="254"/>
      <c r="P892" s="254"/>
      <c r="Q892" s="254"/>
      <c r="R892" s="254"/>
      <c r="S892" s="254"/>
      <c r="T892" s="254"/>
      <c r="U892" s="254"/>
      <c r="V892" s="254"/>
      <c r="W892" s="254"/>
      <c r="X892" s="254"/>
      <c r="Y892" s="254"/>
    </row>
    <row r="893" spans="1:25" ht="15.75" customHeight="1">
      <c r="A893" s="254"/>
      <c r="B893" s="254"/>
      <c r="C893" s="254"/>
      <c r="D893" s="254"/>
      <c r="E893" s="254"/>
      <c r="F893" s="254"/>
      <c r="G893" s="254"/>
      <c r="H893" s="254"/>
      <c r="I893" s="254"/>
      <c r="J893" s="254"/>
      <c r="K893" s="254"/>
      <c r="L893" s="254"/>
      <c r="M893" s="254"/>
      <c r="N893" s="254"/>
      <c r="O893" s="254"/>
      <c r="P893" s="254"/>
      <c r="Q893" s="254"/>
      <c r="R893" s="254"/>
      <c r="S893" s="254"/>
      <c r="T893" s="254"/>
      <c r="U893" s="254"/>
      <c r="V893" s="254"/>
      <c r="W893" s="254"/>
      <c r="X893" s="254"/>
      <c r="Y893" s="254"/>
    </row>
    <row r="894" spans="1:25" ht="15.75" customHeight="1">
      <c r="A894" s="254"/>
      <c r="B894" s="254"/>
      <c r="C894" s="254"/>
      <c r="D894" s="254"/>
      <c r="E894" s="254"/>
      <c r="F894" s="254"/>
      <c r="G894" s="254"/>
      <c r="H894" s="254"/>
      <c r="I894" s="254"/>
      <c r="J894" s="254"/>
      <c r="K894" s="254"/>
      <c r="L894" s="254"/>
      <c r="M894" s="254"/>
      <c r="N894" s="254"/>
      <c r="O894" s="254"/>
      <c r="P894" s="254"/>
      <c r="Q894" s="254"/>
      <c r="R894" s="254"/>
      <c r="S894" s="254"/>
      <c r="T894" s="254"/>
      <c r="U894" s="254"/>
      <c r="V894" s="254"/>
      <c r="W894" s="254"/>
      <c r="X894" s="254"/>
      <c r="Y894" s="254"/>
    </row>
    <row r="895" spans="1:25" ht="15.75" customHeight="1">
      <c r="A895" s="254"/>
      <c r="B895" s="254"/>
      <c r="C895" s="254"/>
      <c r="D895" s="254"/>
      <c r="E895" s="254"/>
      <c r="F895" s="254"/>
      <c r="G895" s="254"/>
      <c r="H895" s="254"/>
      <c r="I895" s="254"/>
      <c r="J895" s="254"/>
      <c r="K895" s="254"/>
      <c r="L895" s="254"/>
      <c r="M895" s="254"/>
      <c r="N895" s="254"/>
      <c r="O895" s="254"/>
      <c r="P895" s="254"/>
      <c r="Q895" s="254"/>
      <c r="R895" s="254"/>
      <c r="S895" s="254"/>
      <c r="T895" s="254"/>
      <c r="U895" s="254"/>
      <c r="V895" s="254"/>
      <c r="W895" s="254"/>
      <c r="X895" s="254"/>
      <c r="Y895" s="254"/>
    </row>
    <row r="896" spans="1:25" ht="15.75" customHeight="1">
      <c r="A896" s="254"/>
      <c r="B896" s="254"/>
      <c r="C896" s="254"/>
      <c r="D896" s="254"/>
      <c r="E896" s="254"/>
      <c r="F896" s="254"/>
      <c r="G896" s="254"/>
      <c r="H896" s="254"/>
      <c r="I896" s="254"/>
      <c r="J896" s="254"/>
      <c r="K896" s="254"/>
      <c r="L896" s="254"/>
      <c r="M896" s="254"/>
      <c r="N896" s="254"/>
      <c r="O896" s="254"/>
      <c r="P896" s="254"/>
      <c r="Q896" s="254"/>
      <c r="R896" s="254"/>
      <c r="S896" s="254"/>
      <c r="T896" s="254"/>
      <c r="U896" s="254"/>
      <c r="V896" s="254"/>
      <c r="W896" s="254"/>
      <c r="X896" s="254"/>
      <c r="Y896" s="254"/>
    </row>
    <row r="897" spans="1:25" ht="15.75" customHeight="1">
      <c r="A897" s="254"/>
      <c r="B897" s="254"/>
      <c r="C897" s="254"/>
      <c r="D897" s="254"/>
      <c r="E897" s="254"/>
      <c r="F897" s="254"/>
      <c r="G897" s="254"/>
      <c r="H897" s="254"/>
      <c r="I897" s="254"/>
      <c r="J897" s="254"/>
      <c r="K897" s="254"/>
      <c r="L897" s="254"/>
      <c r="M897" s="254"/>
      <c r="N897" s="254"/>
      <c r="O897" s="254"/>
      <c r="P897" s="254"/>
      <c r="Q897" s="254"/>
      <c r="R897" s="254"/>
      <c r="S897" s="254"/>
      <c r="T897" s="254"/>
      <c r="U897" s="254"/>
      <c r="V897" s="254"/>
      <c r="W897" s="254"/>
      <c r="X897" s="254"/>
      <c r="Y897" s="254"/>
    </row>
    <row r="898" spans="1:25" ht="15.75" customHeight="1">
      <c r="A898" s="254"/>
      <c r="B898" s="254"/>
      <c r="C898" s="254"/>
      <c r="D898" s="254"/>
      <c r="E898" s="254"/>
      <c r="F898" s="254"/>
      <c r="G898" s="254"/>
      <c r="H898" s="254"/>
      <c r="I898" s="254"/>
      <c r="J898" s="254"/>
      <c r="K898" s="254"/>
      <c r="L898" s="254"/>
      <c r="M898" s="254"/>
      <c r="N898" s="254"/>
      <c r="O898" s="254"/>
      <c r="P898" s="254"/>
      <c r="Q898" s="254"/>
      <c r="R898" s="254"/>
      <c r="S898" s="254"/>
      <c r="T898" s="254"/>
      <c r="U898" s="254"/>
      <c r="V898" s="254"/>
      <c r="W898" s="254"/>
      <c r="X898" s="254"/>
      <c r="Y898" s="254"/>
    </row>
    <row r="899" spans="1:25" ht="15.75" customHeight="1">
      <c r="A899" s="254"/>
      <c r="B899" s="254"/>
      <c r="C899" s="254"/>
      <c r="D899" s="254"/>
      <c r="E899" s="254"/>
      <c r="F899" s="254"/>
      <c r="G899" s="254"/>
      <c r="H899" s="254"/>
      <c r="I899" s="254"/>
      <c r="J899" s="254"/>
      <c r="K899" s="254"/>
      <c r="L899" s="254"/>
      <c r="M899" s="254"/>
      <c r="N899" s="254"/>
      <c r="O899" s="254"/>
      <c r="P899" s="254"/>
      <c r="Q899" s="254"/>
      <c r="R899" s="254"/>
      <c r="S899" s="254"/>
      <c r="T899" s="254"/>
      <c r="U899" s="254"/>
      <c r="V899" s="254"/>
      <c r="W899" s="254"/>
      <c r="X899" s="254"/>
      <c r="Y899" s="254"/>
    </row>
    <row r="900" spans="1:25" ht="15.75" customHeight="1">
      <c r="A900" s="254"/>
      <c r="B900" s="254"/>
      <c r="C900" s="254"/>
      <c r="D900" s="254"/>
      <c r="E900" s="254"/>
      <c r="F900" s="254"/>
      <c r="G900" s="254"/>
      <c r="H900" s="254"/>
      <c r="I900" s="254"/>
      <c r="J900" s="254"/>
      <c r="K900" s="254"/>
      <c r="L900" s="254"/>
      <c r="M900" s="254"/>
      <c r="N900" s="254"/>
      <c r="O900" s="254"/>
      <c r="P900" s="254"/>
      <c r="Q900" s="254"/>
      <c r="R900" s="254"/>
      <c r="S900" s="254"/>
      <c r="T900" s="254"/>
      <c r="U900" s="254"/>
      <c r="V900" s="254"/>
      <c r="W900" s="254"/>
      <c r="X900" s="254"/>
      <c r="Y900" s="254"/>
    </row>
    <row r="901" spans="1:25" ht="15.75" customHeight="1">
      <c r="A901" s="254"/>
      <c r="B901" s="254"/>
      <c r="C901" s="254"/>
      <c r="D901" s="254"/>
      <c r="E901" s="254"/>
      <c r="F901" s="254"/>
      <c r="G901" s="254"/>
      <c r="H901" s="254"/>
      <c r="I901" s="254"/>
      <c r="J901" s="254"/>
      <c r="K901" s="254"/>
      <c r="L901" s="254"/>
      <c r="M901" s="254"/>
      <c r="N901" s="254"/>
      <c r="O901" s="254"/>
      <c r="P901" s="254"/>
      <c r="Q901" s="254"/>
      <c r="R901" s="254"/>
      <c r="S901" s="254"/>
      <c r="T901" s="254"/>
      <c r="U901" s="254"/>
      <c r="V901" s="254"/>
      <c r="W901" s="254"/>
      <c r="X901" s="254"/>
      <c r="Y901" s="254"/>
    </row>
    <row r="902" spans="1:25" ht="15.75" customHeight="1">
      <c r="A902" s="254"/>
      <c r="B902" s="254"/>
      <c r="C902" s="254"/>
      <c r="D902" s="254"/>
      <c r="E902" s="254"/>
      <c r="F902" s="254"/>
      <c r="G902" s="254"/>
      <c r="H902" s="254"/>
      <c r="I902" s="254"/>
      <c r="J902" s="254"/>
      <c r="K902" s="254"/>
      <c r="L902" s="254"/>
      <c r="M902" s="254"/>
      <c r="N902" s="254"/>
      <c r="O902" s="254"/>
      <c r="P902" s="254"/>
      <c r="Q902" s="254"/>
      <c r="R902" s="254"/>
      <c r="S902" s="254"/>
      <c r="T902" s="254"/>
      <c r="U902" s="254"/>
      <c r="V902" s="254"/>
      <c r="W902" s="254"/>
      <c r="X902" s="254"/>
      <c r="Y902" s="254"/>
    </row>
    <row r="903" spans="1:25" ht="15.75" customHeight="1">
      <c r="A903" s="254"/>
      <c r="B903" s="254"/>
      <c r="C903" s="254"/>
      <c r="D903" s="254"/>
      <c r="E903" s="254"/>
      <c r="F903" s="254"/>
      <c r="G903" s="254"/>
      <c r="H903" s="254"/>
      <c r="I903" s="254"/>
      <c r="J903" s="254"/>
      <c r="K903" s="254"/>
      <c r="L903" s="254"/>
      <c r="M903" s="254"/>
      <c r="N903" s="254"/>
      <c r="O903" s="254"/>
      <c r="P903" s="254"/>
      <c r="Q903" s="254"/>
      <c r="R903" s="254"/>
      <c r="S903" s="254"/>
      <c r="T903" s="254"/>
      <c r="U903" s="254"/>
      <c r="V903" s="254"/>
      <c r="W903" s="254"/>
      <c r="X903" s="254"/>
      <c r="Y903" s="254"/>
    </row>
    <row r="904" spans="1:25" ht="15.75" customHeight="1">
      <c r="A904" s="254"/>
      <c r="B904" s="254"/>
      <c r="C904" s="254"/>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row>
    <row r="905" spans="1:25" ht="15.75" customHeight="1">
      <c r="A905" s="254"/>
      <c r="B905" s="254"/>
      <c r="C905" s="254"/>
      <c r="D905" s="254"/>
      <c r="E905" s="254"/>
      <c r="F905" s="254"/>
      <c r="G905" s="254"/>
      <c r="H905" s="254"/>
      <c r="I905" s="254"/>
      <c r="J905" s="254"/>
      <c r="K905" s="254"/>
      <c r="L905" s="254"/>
      <c r="M905" s="254"/>
      <c r="N905" s="254"/>
      <c r="O905" s="254"/>
      <c r="P905" s="254"/>
      <c r="Q905" s="254"/>
      <c r="R905" s="254"/>
      <c r="S905" s="254"/>
      <c r="T905" s="254"/>
      <c r="U905" s="254"/>
      <c r="V905" s="254"/>
      <c r="W905" s="254"/>
      <c r="X905" s="254"/>
      <c r="Y905" s="254"/>
    </row>
    <row r="906" spans="1:25" ht="15.75" customHeight="1">
      <c r="A906" s="254"/>
      <c r="B906" s="254"/>
      <c r="C906" s="254"/>
      <c r="D906" s="254"/>
      <c r="E906" s="254"/>
      <c r="F906" s="254"/>
      <c r="G906" s="254"/>
      <c r="H906" s="254"/>
      <c r="I906" s="254"/>
      <c r="J906" s="254"/>
      <c r="K906" s="254"/>
      <c r="L906" s="254"/>
      <c r="M906" s="254"/>
      <c r="N906" s="254"/>
      <c r="O906" s="254"/>
      <c r="P906" s="254"/>
      <c r="Q906" s="254"/>
      <c r="R906" s="254"/>
      <c r="S906" s="254"/>
      <c r="T906" s="254"/>
      <c r="U906" s="254"/>
      <c r="V906" s="254"/>
      <c r="W906" s="254"/>
      <c r="X906" s="254"/>
      <c r="Y906" s="254"/>
    </row>
    <row r="907" spans="1:25" ht="15.75" customHeight="1">
      <c r="A907" s="254"/>
      <c r="B907" s="254"/>
      <c r="C907" s="254"/>
      <c r="D907" s="254"/>
      <c r="E907" s="254"/>
      <c r="F907" s="254"/>
      <c r="G907" s="254"/>
      <c r="H907" s="254"/>
      <c r="I907" s="254"/>
      <c r="J907" s="254"/>
      <c r="K907" s="254"/>
      <c r="L907" s="254"/>
      <c r="M907" s="254"/>
      <c r="N907" s="254"/>
      <c r="O907" s="254"/>
      <c r="P907" s="254"/>
      <c r="Q907" s="254"/>
      <c r="R907" s="254"/>
      <c r="S907" s="254"/>
      <c r="T907" s="254"/>
      <c r="U907" s="254"/>
      <c r="V907" s="254"/>
      <c r="W907" s="254"/>
      <c r="X907" s="254"/>
      <c r="Y907" s="254"/>
    </row>
    <row r="908" spans="1:25" ht="15.75" customHeight="1">
      <c r="A908" s="254"/>
      <c r="B908" s="254"/>
      <c r="C908" s="254"/>
      <c r="D908" s="254"/>
      <c r="E908" s="254"/>
      <c r="F908" s="254"/>
      <c r="G908" s="254"/>
      <c r="H908" s="254"/>
      <c r="I908" s="254"/>
      <c r="J908" s="254"/>
      <c r="K908" s="254"/>
      <c r="L908" s="254"/>
      <c r="M908" s="254"/>
      <c r="N908" s="254"/>
      <c r="O908" s="254"/>
      <c r="P908" s="254"/>
      <c r="Q908" s="254"/>
      <c r="R908" s="254"/>
      <c r="S908" s="254"/>
      <c r="T908" s="254"/>
      <c r="U908" s="254"/>
      <c r="V908" s="254"/>
      <c r="W908" s="254"/>
      <c r="X908" s="254"/>
      <c r="Y908" s="254"/>
    </row>
    <row r="909" spans="1:25" ht="15.75" customHeight="1">
      <c r="A909" s="254"/>
      <c r="B909" s="254"/>
      <c r="C909" s="254"/>
      <c r="D909" s="254"/>
      <c r="E909" s="254"/>
      <c r="F909" s="254"/>
      <c r="G909" s="254"/>
      <c r="H909" s="254"/>
      <c r="I909" s="254"/>
      <c r="J909" s="254"/>
      <c r="K909" s="254"/>
      <c r="L909" s="254"/>
      <c r="M909" s="254"/>
      <c r="N909" s="254"/>
      <c r="O909" s="254"/>
      <c r="P909" s="254"/>
      <c r="Q909" s="254"/>
      <c r="R909" s="254"/>
      <c r="S909" s="254"/>
      <c r="T909" s="254"/>
      <c r="U909" s="254"/>
      <c r="V909" s="254"/>
      <c r="W909" s="254"/>
      <c r="X909" s="254"/>
      <c r="Y909" s="254"/>
    </row>
    <row r="910" spans="1:25" ht="15.75" customHeight="1">
      <c r="A910" s="254"/>
      <c r="B910" s="254"/>
      <c r="C910" s="254"/>
      <c r="D910" s="254"/>
      <c r="E910" s="254"/>
      <c r="F910" s="254"/>
      <c r="G910" s="254"/>
      <c r="H910" s="254"/>
      <c r="I910" s="254"/>
      <c r="J910" s="254"/>
      <c r="K910" s="254"/>
      <c r="L910" s="254"/>
      <c r="M910" s="254"/>
      <c r="N910" s="254"/>
      <c r="O910" s="254"/>
      <c r="P910" s="254"/>
      <c r="Q910" s="254"/>
      <c r="R910" s="254"/>
      <c r="S910" s="254"/>
      <c r="T910" s="254"/>
      <c r="U910" s="254"/>
      <c r="V910" s="254"/>
      <c r="W910" s="254"/>
      <c r="X910" s="254"/>
      <c r="Y910" s="254"/>
    </row>
    <row r="911" spans="1:25" ht="15.75" customHeight="1">
      <c r="A911" s="254"/>
      <c r="B911" s="254"/>
      <c r="C911" s="254"/>
      <c r="D911" s="254"/>
      <c r="E911" s="254"/>
      <c r="F911" s="254"/>
      <c r="G911" s="254"/>
      <c r="H911" s="254"/>
      <c r="I911" s="254"/>
      <c r="J911" s="254"/>
      <c r="K911" s="254"/>
      <c r="L911" s="254"/>
      <c r="M911" s="254"/>
      <c r="N911" s="254"/>
      <c r="O911" s="254"/>
      <c r="P911" s="254"/>
      <c r="Q911" s="254"/>
      <c r="R911" s="254"/>
      <c r="S911" s="254"/>
      <c r="T911" s="254"/>
      <c r="U911" s="254"/>
      <c r="V911" s="254"/>
      <c r="W911" s="254"/>
      <c r="X911" s="254"/>
      <c r="Y911" s="254"/>
    </row>
    <row r="912" spans="1:25" ht="15.75" customHeight="1">
      <c r="A912" s="254"/>
      <c r="B912" s="254"/>
      <c r="C912" s="254"/>
      <c r="D912" s="254"/>
      <c r="E912" s="254"/>
      <c r="F912" s="254"/>
      <c r="G912" s="254"/>
      <c r="H912" s="254"/>
      <c r="I912" s="254"/>
      <c r="J912" s="254"/>
      <c r="K912" s="254"/>
      <c r="L912" s="254"/>
      <c r="M912" s="254"/>
      <c r="N912" s="254"/>
      <c r="O912" s="254"/>
      <c r="P912" s="254"/>
      <c r="Q912" s="254"/>
      <c r="R912" s="254"/>
      <c r="S912" s="254"/>
      <c r="T912" s="254"/>
      <c r="U912" s="254"/>
      <c r="V912" s="254"/>
      <c r="W912" s="254"/>
      <c r="X912" s="254"/>
      <c r="Y912" s="254"/>
    </row>
    <row r="913" spans="1:25" ht="15.75" customHeight="1">
      <c r="A913" s="254"/>
      <c r="B913" s="254"/>
      <c r="C913" s="254"/>
      <c r="D913" s="254"/>
      <c r="E913" s="254"/>
      <c r="F913" s="254"/>
      <c r="G913" s="254"/>
      <c r="H913" s="254"/>
      <c r="I913" s="254"/>
      <c r="J913" s="254"/>
      <c r="K913" s="254"/>
      <c r="L913" s="254"/>
      <c r="M913" s="254"/>
      <c r="N913" s="254"/>
      <c r="O913" s="254"/>
      <c r="P913" s="254"/>
      <c r="Q913" s="254"/>
      <c r="R913" s="254"/>
      <c r="S913" s="254"/>
      <c r="T913" s="254"/>
      <c r="U913" s="254"/>
      <c r="V913" s="254"/>
      <c r="W913" s="254"/>
      <c r="X913" s="254"/>
      <c r="Y913" s="254"/>
    </row>
    <row r="914" spans="1:25" ht="15.75" customHeight="1">
      <c r="A914" s="254"/>
      <c r="B914" s="254"/>
      <c r="C914" s="254"/>
      <c r="D914" s="254"/>
      <c r="E914" s="254"/>
      <c r="F914" s="254"/>
      <c r="G914" s="254"/>
      <c r="H914" s="254"/>
      <c r="I914" s="254"/>
      <c r="J914" s="254"/>
      <c r="K914" s="254"/>
      <c r="L914" s="254"/>
      <c r="M914" s="254"/>
      <c r="N914" s="254"/>
      <c r="O914" s="254"/>
      <c r="P914" s="254"/>
      <c r="Q914" s="254"/>
      <c r="R914" s="254"/>
      <c r="S914" s="254"/>
      <c r="T914" s="254"/>
      <c r="U914" s="254"/>
      <c r="V914" s="254"/>
      <c r="W914" s="254"/>
      <c r="X914" s="254"/>
      <c r="Y914" s="254"/>
    </row>
    <row r="915" spans="1:25" ht="15.75" customHeight="1">
      <c r="A915" s="254"/>
      <c r="B915" s="254"/>
      <c r="C915" s="254"/>
      <c r="D915" s="254"/>
      <c r="E915" s="254"/>
      <c r="F915" s="254"/>
      <c r="G915" s="254"/>
      <c r="H915" s="254"/>
      <c r="I915" s="254"/>
      <c r="J915" s="254"/>
      <c r="K915" s="254"/>
      <c r="L915" s="254"/>
      <c r="M915" s="254"/>
      <c r="N915" s="254"/>
      <c r="O915" s="254"/>
      <c r="P915" s="254"/>
      <c r="Q915" s="254"/>
      <c r="R915" s="254"/>
      <c r="S915" s="254"/>
      <c r="T915" s="254"/>
      <c r="U915" s="254"/>
      <c r="V915" s="254"/>
      <c r="W915" s="254"/>
      <c r="X915" s="254"/>
      <c r="Y915" s="254"/>
    </row>
    <row r="916" spans="1:25" ht="15.75" customHeight="1">
      <c r="A916" s="254"/>
      <c r="B916" s="254"/>
      <c r="C916" s="254"/>
      <c r="D916" s="254"/>
      <c r="E916" s="254"/>
      <c r="F916" s="254"/>
      <c r="G916" s="254"/>
      <c r="H916" s="254"/>
      <c r="I916" s="254"/>
      <c r="J916" s="254"/>
      <c r="K916" s="254"/>
      <c r="L916" s="254"/>
      <c r="M916" s="254"/>
      <c r="N916" s="254"/>
      <c r="O916" s="254"/>
      <c r="P916" s="254"/>
      <c r="Q916" s="254"/>
      <c r="R916" s="254"/>
      <c r="S916" s="254"/>
      <c r="T916" s="254"/>
      <c r="U916" s="254"/>
      <c r="V916" s="254"/>
      <c r="W916" s="254"/>
      <c r="X916" s="254"/>
      <c r="Y916" s="254"/>
    </row>
    <row r="917" spans="1:25" ht="15.75" customHeight="1">
      <c r="A917" s="254"/>
      <c r="B917" s="254"/>
      <c r="C917" s="254"/>
      <c r="D917" s="254"/>
      <c r="E917" s="254"/>
      <c r="F917" s="254"/>
      <c r="G917" s="254"/>
      <c r="H917" s="254"/>
      <c r="I917" s="254"/>
      <c r="J917" s="254"/>
      <c r="K917" s="254"/>
      <c r="L917" s="254"/>
      <c r="M917" s="254"/>
      <c r="N917" s="254"/>
      <c r="O917" s="254"/>
      <c r="P917" s="254"/>
      <c r="Q917" s="254"/>
      <c r="R917" s="254"/>
      <c r="S917" s="254"/>
      <c r="T917" s="254"/>
      <c r="U917" s="254"/>
      <c r="V917" s="254"/>
      <c r="W917" s="254"/>
      <c r="X917" s="254"/>
      <c r="Y917" s="254"/>
    </row>
    <row r="918" spans="1:25" ht="15.75" customHeight="1">
      <c r="A918" s="254"/>
      <c r="B918" s="254"/>
      <c r="C918" s="254"/>
      <c r="D918" s="254"/>
      <c r="E918" s="254"/>
      <c r="F918" s="254"/>
      <c r="G918" s="254"/>
      <c r="H918" s="254"/>
      <c r="I918" s="254"/>
      <c r="J918" s="254"/>
      <c r="K918" s="254"/>
      <c r="L918" s="254"/>
      <c r="M918" s="254"/>
      <c r="N918" s="254"/>
      <c r="O918" s="254"/>
      <c r="P918" s="254"/>
      <c r="Q918" s="254"/>
      <c r="R918" s="254"/>
      <c r="S918" s="254"/>
      <c r="T918" s="254"/>
      <c r="U918" s="254"/>
      <c r="V918" s="254"/>
      <c r="W918" s="254"/>
      <c r="X918" s="254"/>
      <c r="Y918" s="254"/>
    </row>
    <row r="919" spans="1:25" ht="15.75" customHeight="1">
      <c r="A919" s="254"/>
      <c r="B919" s="254"/>
      <c r="C919" s="254"/>
      <c r="D919" s="254"/>
      <c r="E919" s="254"/>
      <c r="F919" s="254"/>
      <c r="G919" s="254"/>
      <c r="H919" s="254"/>
      <c r="I919" s="254"/>
      <c r="J919" s="254"/>
      <c r="K919" s="254"/>
      <c r="L919" s="254"/>
      <c r="M919" s="254"/>
      <c r="N919" s="254"/>
      <c r="O919" s="254"/>
      <c r="P919" s="254"/>
      <c r="Q919" s="254"/>
      <c r="R919" s="254"/>
      <c r="S919" s="254"/>
      <c r="T919" s="254"/>
      <c r="U919" s="254"/>
      <c r="V919" s="254"/>
      <c r="W919" s="254"/>
      <c r="X919" s="254"/>
      <c r="Y919" s="254"/>
    </row>
    <row r="920" spans="1:25" ht="15.75" customHeight="1">
      <c r="A920" s="254"/>
      <c r="B920" s="254"/>
      <c r="C920" s="254"/>
      <c r="D920" s="254"/>
      <c r="E920" s="254"/>
      <c r="F920" s="254"/>
      <c r="G920" s="254"/>
      <c r="H920" s="254"/>
      <c r="I920" s="254"/>
      <c r="J920" s="254"/>
      <c r="K920" s="254"/>
      <c r="L920" s="254"/>
      <c r="M920" s="254"/>
      <c r="N920" s="254"/>
      <c r="O920" s="254"/>
      <c r="P920" s="254"/>
      <c r="Q920" s="254"/>
      <c r="R920" s="254"/>
      <c r="S920" s="254"/>
      <c r="T920" s="254"/>
      <c r="U920" s="254"/>
      <c r="V920" s="254"/>
      <c r="W920" s="254"/>
      <c r="X920" s="254"/>
      <c r="Y920" s="254"/>
    </row>
    <row r="921" spans="1:25" ht="15.75" customHeight="1">
      <c r="A921" s="254"/>
      <c r="B921" s="254"/>
      <c r="C921" s="254"/>
      <c r="D921" s="254"/>
      <c r="E921" s="254"/>
      <c r="F921" s="254"/>
      <c r="G921" s="254"/>
      <c r="H921" s="254"/>
      <c r="I921" s="254"/>
      <c r="J921" s="254"/>
      <c r="K921" s="254"/>
      <c r="L921" s="254"/>
      <c r="M921" s="254"/>
      <c r="N921" s="254"/>
      <c r="O921" s="254"/>
      <c r="P921" s="254"/>
      <c r="Q921" s="254"/>
      <c r="R921" s="254"/>
      <c r="S921" s="254"/>
      <c r="T921" s="254"/>
      <c r="U921" s="254"/>
      <c r="V921" s="254"/>
      <c r="W921" s="254"/>
      <c r="X921" s="254"/>
      <c r="Y921" s="254"/>
    </row>
    <row r="922" spans="1:25" ht="15.75" customHeight="1">
      <c r="A922" s="254"/>
      <c r="B922" s="254"/>
      <c r="C922" s="254"/>
      <c r="D922" s="254"/>
      <c r="E922" s="254"/>
      <c r="F922" s="254"/>
      <c r="G922" s="254"/>
      <c r="H922" s="254"/>
      <c r="I922" s="254"/>
      <c r="J922" s="254"/>
      <c r="K922" s="254"/>
      <c r="L922" s="254"/>
      <c r="M922" s="254"/>
      <c r="N922" s="254"/>
      <c r="O922" s="254"/>
      <c r="P922" s="254"/>
      <c r="Q922" s="254"/>
      <c r="R922" s="254"/>
      <c r="S922" s="254"/>
      <c r="T922" s="254"/>
      <c r="U922" s="254"/>
      <c r="V922" s="254"/>
      <c r="W922" s="254"/>
      <c r="X922" s="254"/>
      <c r="Y922" s="254"/>
    </row>
    <row r="923" spans="1:25" ht="15.75" customHeight="1">
      <c r="A923" s="254"/>
      <c r="B923" s="254"/>
      <c r="C923" s="254"/>
      <c r="D923" s="254"/>
      <c r="E923" s="254"/>
      <c r="F923" s="254"/>
      <c r="G923" s="254"/>
      <c r="H923" s="254"/>
      <c r="I923" s="254"/>
      <c r="J923" s="254"/>
      <c r="K923" s="254"/>
      <c r="L923" s="254"/>
      <c r="M923" s="254"/>
      <c r="N923" s="254"/>
      <c r="O923" s="254"/>
      <c r="P923" s="254"/>
      <c r="Q923" s="254"/>
      <c r="R923" s="254"/>
      <c r="S923" s="254"/>
      <c r="T923" s="254"/>
      <c r="U923" s="254"/>
      <c r="V923" s="254"/>
      <c r="W923" s="254"/>
      <c r="X923" s="254"/>
      <c r="Y923" s="254"/>
    </row>
    <row r="924" spans="1:25" ht="15.75" customHeight="1">
      <c r="A924" s="254"/>
      <c r="B924" s="254"/>
      <c r="C924" s="254"/>
      <c r="D924" s="254"/>
      <c r="E924" s="254"/>
      <c r="F924" s="254"/>
      <c r="G924" s="254"/>
      <c r="H924" s="254"/>
      <c r="I924" s="254"/>
      <c r="J924" s="254"/>
      <c r="K924" s="254"/>
      <c r="L924" s="254"/>
      <c r="M924" s="254"/>
      <c r="N924" s="254"/>
      <c r="O924" s="254"/>
      <c r="P924" s="254"/>
      <c r="Q924" s="254"/>
      <c r="R924" s="254"/>
      <c r="S924" s="254"/>
      <c r="T924" s="254"/>
      <c r="U924" s="254"/>
      <c r="V924" s="254"/>
      <c r="W924" s="254"/>
      <c r="X924" s="254"/>
      <c r="Y924" s="254"/>
    </row>
    <row r="925" spans="1:25" ht="15.75" customHeight="1">
      <c r="A925" s="254"/>
      <c r="B925" s="254"/>
      <c r="C925" s="254"/>
      <c r="D925" s="254"/>
      <c r="E925" s="254"/>
      <c r="F925" s="254"/>
      <c r="G925" s="254"/>
      <c r="H925" s="254"/>
      <c r="I925" s="254"/>
      <c r="J925" s="254"/>
      <c r="K925" s="254"/>
      <c r="L925" s="254"/>
      <c r="M925" s="254"/>
      <c r="N925" s="254"/>
      <c r="O925" s="254"/>
      <c r="P925" s="254"/>
      <c r="Q925" s="254"/>
      <c r="R925" s="254"/>
      <c r="S925" s="254"/>
      <c r="T925" s="254"/>
      <c r="U925" s="254"/>
      <c r="V925" s="254"/>
      <c r="W925" s="254"/>
      <c r="X925" s="254"/>
      <c r="Y925" s="254"/>
    </row>
    <row r="926" spans="1:25" ht="15.75" customHeight="1">
      <c r="A926" s="254"/>
      <c r="B926" s="254"/>
      <c r="C926" s="254"/>
      <c r="D926" s="254"/>
      <c r="E926" s="254"/>
      <c r="F926" s="254"/>
      <c r="G926" s="254"/>
      <c r="H926" s="254"/>
      <c r="I926" s="254"/>
      <c r="J926" s="254"/>
      <c r="K926" s="254"/>
      <c r="L926" s="254"/>
      <c r="M926" s="254"/>
      <c r="N926" s="254"/>
      <c r="O926" s="254"/>
      <c r="P926" s="254"/>
      <c r="Q926" s="254"/>
      <c r="R926" s="254"/>
      <c r="S926" s="254"/>
      <c r="T926" s="254"/>
      <c r="U926" s="254"/>
      <c r="V926" s="254"/>
      <c r="W926" s="254"/>
      <c r="X926" s="254"/>
      <c r="Y926" s="254"/>
    </row>
    <row r="927" spans="1:25" ht="15.75" customHeight="1">
      <c r="A927" s="254"/>
      <c r="B927" s="254"/>
      <c r="C927" s="254"/>
      <c r="D927" s="254"/>
      <c r="E927" s="254"/>
      <c r="F927" s="254"/>
      <c r="G927" s="254"/>
      <c r="H927" s="254"/>
      <c r="I927" s="254"/>
      <c r="J927" s="254"/>
      <c r="K927" s="254"/>
      <c r="L927" s="254"/>
      <c r="M927" s="254"/>
      <c r="N927" s="254"/>
      <c r="O927" s="254"/>
      <c r="P927" s="254"/>
      <c r="Q927" s="254"/>
      <c r="R927" s="254"/>
      <c r="S927" s="254"/>
      <c r="T927" s="254"/>
      <c r="U927" s="254"/>
      <c r="V927" s="254"/>
      <c r="W927" s="254"/>
      <c r="X927" s="254"/>
      <c r="Y927" s="254"/>
    </row>
    <row r="928" spans="1:25" ht="15.75" customHeight="1">
      <c r="A928" s="254"/>
      <c r="B928" s="254"/>
      <c r="C928" s="254"/>
      <c r="D928" s="254"/>
      <c r="E928" s="254"/>
      <c r="F928" s="254"/>
      <c r="G928" s="254"/>
      <c r="H928" s="254"/>
      <c r="I928" s="254"/>
      <c r="J928" s="254"/>
      <c r="K928" s="254"/>
      <c r="L928" s="254"/>
      <c r="M928" s="254"/>
      <c r="N928" s="254"/>
      <c r="O928" s="254"/>
      <c r="P928" s="254"/>
      <c r="Q928" s="254"/>
      <c r="R928" s="254"/>
      <c r="S928" s="254"/>
      <c r="T928" s="254"/>
      <c r="U928" s="254"/>
      <c r="V928" s="254"/>
      <c r="W928" s="254"/>
      <c r="X928" s="254"/>
      <c r="Y928" s="254"/>
    </row>
    <row r="929" spans="1:25" ht="15.75" customHeight="1">
      <c r="A929" s="254"/>
      <c r="B929" s="254"/>
      <c r="C929" s="254"/>
      <c r="D929" s="254"/>
      <c r="E929" s="254"/>
      <c r="F929" s="254"/>
      <c r="G929" s="254"/>
      <c r="H929" s="254"/>
      <c r="I929" s="254"/>
      <c r="J929" s="254"/>
      <c r="K929" s="254"/>
      <c r="L929" s="254"/>
      <c r="M929" s="254"/>
      <c r="N929" s="254"/>
      <c r="O929" s="254"/>
      <c r="P929" s="254"/>
      <c r="Q929" s="254"/>
      <c r="R929" s="254"/>
      <c r="S929" s="254"/>
      <c r="T929" s="254"/>
      <c r="U929" s="254"/>
      <c r="V929" s="254"/>
      <c r="W929" s="254"/>
      <c r="X929" s="254"/>
      <c r="Y929" s="254"/>
    </row>
    <row r="930" spans="1:25" ht="15.75" customHeight="1">
      <c r="A930" s="254"/>
      <c r="B930" s="254"/>
      <c r="C930" s="254"/>
      <c r="D930" s="254"/>
      <c r="E930" s="254"/>
      <c r="F930" s="254"/>
      <c r="G930" s="254"/>
      <c r="H930" s="254"/>
      <c r="I930" s="254"/>
      <c r="J930" s="254"/>
      <c r="K930" s="254"/>
      <c r="L930" s="254"/>
      <c r="M930" s="254"/>
      <c r="N930" s="254"/>
      <c r="O930" s="254"/>
      <c r="P930" s="254"/>
      <c r="Q930" s="254"/>
      <c r="R930" s="254"/>
      <c r="S930" s="254"/>
      <c r="T930" s="254"/>
      <c r="U930" s="254"/>
      <c r="V930" s="254"/>
      <c r="W930" s="254"/>
      <c r="X930" s="254"/>
      <c r="Y930" s="254"/>
    </row>
    <row r="931" spans="1:25" ht="15.75" customHeight="1">
      <c r="A931" s="254"/>
      <c r="B931" s="254"/>
      <c r="C931" s="254"/>
      <c r="D931" s="254"/>
      <c r="E931" s="254"/>
      <c r="F931" s="254"/>
      <c r="G931" s="254"/>
      <c r="H931" s="254"/>
      <c r="I931" s="254"/>
      <c r="J931" s="254"/>
      <c r="K931" s="254"/>
      <c r="L931" s="254"/>
      <c r="M931" s="254"/>
      <c r="N931" s="254"/>
      <c r="O931" s="254"/>
      <c r="P931" s="254"/>
      <c r="Q931" s="254"/>
      <c r="R931" s="254"/>
      <c r="S931" s="254"/>
      <c r="T931" s="254"/>
      <c r="U931" s="254"/>
      <c r="V931" s="254"/>
      <c r="W931" s="254"/>
      <c r="X931" s="254"/>
      <c r="Y931" s="254"/>
    </row>
    <row r="932" spans="1:25" ht="15.75" customHeight="1">
      <c r="A932" s="254"/>
      <c r="B932" s="254"/>
      <c r="C932" s="254"/>
      <c r="D932" s="254"/>
      <c r="E932" s="254"/>
      <c r="F932" s="254"/>
      <c r="G932" s="254"/>
      <c r="H932" s="254"/>
      <c r="I932" s="254"/>
      <c r="J932" s="254"/>
      <c r="K932" s="254"/>
      <c r="L932" s="254"/>
      <c r="M932" s="254"/>
      <c r="N932" s="254"/>
      <c r="O932" s="254"/>
      <c r="P932" s="254"/>
      <c r="Q932" s="254"/>
      <c r="R932" s="254"/>
      <c r="S932" s="254"/>
      <c r="T932" s="254"/>
      <c r="U932" s="254"/>
      <c r="V932" s="254"/>
      <c r="W932" s="254"/>
      <c r="X932" s="254"/>
      <c r="Y932" s="254"/>
    </row>
    <row r="933" spans="1:25" ht="15.75" customHeight="1">
      <c r="A933" s="254"/>
      <c r="B933" s="254"/>
      <c r="C933" s="254"/>
      <c r="D933" s="254"/>
      <c r="E933" s="254"/>
      <c r="F933" s="254"/>
      <c r="G933" s="254"/>
      <c r="H933" s="254"/>
      <c r="I933" s="254"/>
      <c r="J933" s="254"/>
      <c r="K933" s="254"/>
      <c r="L933" s="254"/>
      <c r="M933" s="254"/>
      <c r="N933" s="254"/>
      <c r="O933" s="254"/>
      <c r="P933" s="254"/>
      <c r="Q933" s="254"/>
      <c r="R933" s="254"/>
      <c r="S933" s="254"/>
      <c r="T933" s="254"/>
      <c r="U933" s="254"/>
      <c r="V933" s="254"/>
      <c r="W933" s="254"/>
      <c r="X933" s="254"/>
      <c r="Y933" s="254"/>
    </row>
    <row r="934" spans="1:25" ht="15.75" customHeight="1">
      <c r="A934" s="254"/>
      <c r="B934" s="254"/>
      <c r="C934" s="254"/>
      <c r="D934" s="254"/>
      <c r="E934" s="254"/>
      <c r="F934" s="254"/>
      <c r="G934" s="254"/>
      <c r="H934" s="254"/>
      <c r="I934" s="254"/>
      <c r="J934" s="254"/>
      <c r="K934" s="254"/>
      <c r="L934" s="254"/>
      <c r="M934" s="254"/>
      <c r="N934" s="254"/>
      <c r="O934" s="254"/>
      <c r="P934" s="254"/>
      <c r="Q934" s="254"/>
      <c r="R934" s="254"/>
      <c r="S934" s="254"/>
      <c r="T934" s="254"/>
      <c r="U934" s="254"/>
      <c r="V934" s="254"/>
      <c r="W934" s="254"/>
      <c r="X934" s="254"/>
      <c r="Y934" s="254"/>
    </row>
    <row r="935" spans="1:25" ht="15.75" customHeight="1">
      <c r="A935" s="254"/>
      <c r="B935" s="254"/>
      <c r="C935" s="254"/>
      <c r="D935" s="254"/>
      <c r="E935" s="254"/>
      <c r="F935" s="254"/>
      <c r="G935" s="254"/>
      <c r="H935" s="254"/>
      <c r="I935" s="254"/>
      <c r="J935" s="254"/>
      <c r="K935" s="254"/>
      <c r="L935" s="254"/>
      <c r="M935" s="254"/>
      <c r="N935" s="254"/>
      <c r="O935" s="254"/>
      <c r="P935" s="254"/>
      <c r="Q935" s="254"/>
      <c r="R935" s="254"/>
      <c r="S935" s="254"/>
      <c r="T935" s="254"/>
      <c r="U935" s="254"/>
      <c r="V935" s="254"/>
      <c r="W935" s="254"/>
      <c r="X935" s="254"/>
      <c r="Y935" s="254"/>
    </row>
    <row r="936" spans="1:25" ht="15.75" customHeight="1">
      <c r="A936" s="254"/>
      <c r="B936" s="254"/>
      <c r="C936" s="254"/>
      <c r="D936" s="254"/>
      <c r="E936" s="254"/>
      <c r="F936" s="254"/>
      <c r="G936" s="254"/>
      <c r="H936" s="254"/>
      <c r="I936" s="254"/>
      <c r="J936" s="254"/>
      <c r="K936" s="254"/>
      <c r="L936" s="254"/>
      <c r="M936" s="254"/>
      <c r="N936" s="254"/>
      <c r="O936" s="254"/>
      <c r="P936" s="254"/>
      <c r="Q936" s="254"/>
      <c r="R936" s="254"/>
      <c r="S936" s="254"/>
      <c r="T936" s="254"/>
      <c r="U936" s="254"/>
      <c r="V936" s="254"/>
      <c r="W936" s="254"/>
      <c r="X936" s="254"/>
      <c r="Y936" s="254"/>
    </row>
    <row r="937" spans="1:25" ht="15.75" customHeight="1">
      <c r="A937" s="254"/>
      <c r="B937" s="254"/>
      <c r="C937" s="254"/>
      <c r="D937" s="254"/>
      <c r="E937" s="254"/>
      <c r="F937" s="254"/>
      <c r="G937" s="254"/>
      <c r="H937" s="254"/>
      <c r="I937" s="254"/>
      <c r="J937" s="254"/>
      <c r="K937" s="254"/>
      <c r="L937" s="254"/>
      <c r="M937" s="254"/>
      <c r="N937" s="254"/>
      <c r="O937" s="254"/>
      <c r="P937" s="254"/>
      <c r="Q937" s="254"/>
      <c r="R937" s="254"/>
      <c r="S937" s="254"/>
      <c r="T937" s="254"/>
      <c r="U937" s="254"/>
      <c r="V937" s="254"/>
      <c r="W937" s="254"/>
      <c r="X937" s="254"/>
      <c r="Y937" s="254"/>
    </row>
    <row r="938" spans="1:25" ht="15.75" customHeight="1">
      <c r="A938" s="254"/>
      <c r="B938" s="254"/>
      <c r="C938" s="254"/>
      <c r="D938" s="254"/>
      <c r="E938" s="254"/>
      <c r="F938" s="254"/>
      <c r="G938" s="254"/>
      <c r="H938" s="254"/>
      <c r="I938" s="254"/>
      <c r="J938" s="254"/>
      <c r="K938" s="254"/>
      <c r="L938" s="254"/>
      <c r="M938" s="254"/>
      <c r="N938" s="254"/>
      <c r="O938" s="254"/>
      <c r="P938" s="254"/>
      <c r="Q938" s="254"/>
      <c r="R938" s="254"/>
      <c r="S938" s="254"/>
      <c r="T938" s="254"/>
      <c r="U938" s="254"/>
      <c r="V938" s="254"/>
      <c r="W938" s="254"/>
      <c r="X938" s="254"/>
      <c r="Y938" s="254"/>
    </row>
    <row r="939" spans="1:25" ht="15.75" customHeight="1">
      <c r="A939" s="254"/>
      <c r="B939" s="254"/>
      <c r="C939" s="254"/>
      <c r="D939" s="254"/>
      <c r="E939" s="254"/>
      <c r="F939" s="254"/>
      <c r="G939" s="254"/>
      <c r="H939" s="254"/>
      <c r="I939" s="254"/>
      <c r="J939" s="254"/>
      <c r="K939" s="254"/>
      <c r="L939" s="254"/>
      <c r="M939" s="254"/>
      <c r="N939" s="254"/>
      <c r="O939" s="254"/>
      <c r="P939" s="254"/>
      <c r="Q939" s="254"/>
      <c r="R939" s="254"/>
      <c r="S939" s="254"/>
      <c r="T939" s="254"/>
      <c r="U939" s="254"/>
      <c r="V939" s="254"/>
      <c r="W939" s="254"/>
      <c r="X939" s="254"/>
      <c r="Y939" s="254"/>
    </row>
    <row r="940" spans="1:25" ht="15.75" customHeight="1">
      <c r="A940" s="254"/>
      <c r="B940" s="254"/>
      <c r="C940" s="254"/>
      <c r="D940" s="254"/>
      <c r="E940" s="254"/>
      <c r="F940" s="254"/>
      <c r="G940" s="254"/>
      <c r="H940" s="254"/>
      <c r="I940" s="254"/>
      <c r="J940" s="254"/>
      <c r="K940" s="254"/>
      <c r="L940" s="254"/>
      <c r="M940" s="254"/>
      <c r="N940" s="254"/>
      <c r="O940" s="254"/>
      <c r="P940" s="254"/>
      <c r="Q940" s="254"/>
      <c r="R940" s="254"/>
      <c r="S940" s="254"/>
      <c r="T940" s="254"/>
      <c r="U940" s="254"/>
      <c r="V940" s="254"/>
      <c r="W940" s="254"/>
      <c r="X940" s="254"/>
      <c r="Y940" s="254"/>
    </row>
    <row r="941" spans="1:25" ht="15.75" customHeight="1">
      <c r="A941" s="254"/>
      <c r="B941" s="254"/>
      <c r="C941" s="254"/>
      <c r="D941" s="254"/>
      <c r="E941" s="254"/>
      <c r="F941" s="254"/>
      <c r="G941" s="254"/>
      <c r="H941" s="254"/>
      <c r="I941" s="254"/>
      <c r="J941" s="254"/>
      <c r="K941" s="254"/>
      <c r="L941" s="254"/>
      <c r="M941" s="254"/>
      <c r="N941" s="254"/>
      <c r="O941" s="254"/>
      <c r="P941" s="254"/>
      <c r="Q941" s="254"/>
      <c r="R941" s="254"/>
      <c r="S941" s="254"/>
      <c r="T941" s="254"/>
      <c r="U941" s="254"/>
      <c r="V941" s="254"/>
      <c r="W941" s="254"/>
      <c r="X941" s="254"/>
      <c r="Y941" s="254"/>
    </row>
    <row r="942" spans="1:25" ht="15.75" customHeight="1">
      <c r="A942" s="254"/>
      <c r="B942" s="254"/>
      <c r="C942" s="254"/>
      <c r="D942" s="254"/>
      <c r="E942" s="254"/>
      <c r="F942" s="254"/>
      <c r="G942" s="254"/>
      <c r="H942" s="254"/>
      <c r="I942" s="254"/>
      <c r="J942" s="254"/>
      <c r="K942" s="254"/>
      <c r="L942" s="254"/>
      <c r="M942" s="254"/>
      <c r="N942" s="254"/>
      <c r="O942" s="254"/>
      <c r="P942" s="254"/>
      <c r="Q942" s="254"/>
      <c r="R942" s="254"/>
      <c r="S942" s="254"/>
      <c r="T942" s="254"/>
      <c r="U942" s="254"/>
      <c r="V942" s="254"/>
      <c r="W942" s="254"/>
      <c r="X942" s="254"/>
      <c r="Y942" s="254"/>
    </row>
    <row r="943" spans="1:25" ht="15.75" customHeight="1">
      <c r="A943" s="254"/>
      <c r="B943" s="254"/>
      <c r="C943" s="254"/>
      <c r="D943" s="254"/>
      <c r="E943" s="254"/>
      <c r="F943" s="254"/>
      <c r="G943" s="254"/>
      <c r="H943" s="254"/>
      <c r="I943" s="254"/>
      <c r="J943" s="254"/>
      <c r="K943" s="254"/>
      <c r="L943" s="254"/>
      <c r="M943" s="254"/>
      <c r="N943" s="254"/>
      <c r="O943" s="254"/>
      <c r="P943" s="254"/>
      <c r="Q943" s="254"/>
      <c r="R943" s="254"/>
      <c r="S943" s="254"/>
      <c r="T943" s="254"/>
      <c r="U943" s="254"/>
      <c r="V943" s="254"/>
      <c r="W943" s="254"/>
      <c r="X943" s="254"/>
      <c r="Y943" s="254"/>
    </row>
    <row r="944" spans="1:25" ht="15.75" customHeight="1">
      <c r="A944" s="254"/>
      <c r="B944" s="254"/>
      <c r="C944" s="254"/>
      <c r="D944" s="254"/>
      <c r="E944" s="254"/>
      <c r="F944" s="254"/>
      <c r="G944" s="254"/>
      <c r="H944" s="254"/>
      <c r="I944" s="254"/>
      <c r="J944" s="254"/>
      <c r="K944" s="254"/>
      <c r="L944" s="254"/>
      <c r="M944" s="254"/>
      <c r="N944" s="254"/>
      <c r="O944" s="254"/>
      <c r="P944" s="254"/>
      <c r="Q944" s="254"/>
      <c r="R944" s="254"/>
      <c r="S944" s="254"/>
      <c r="T944" s="254"/>
      <c r="U944" s="254"/>
      <c r="V944" s="254"/>
      <c r="W944" s="254"/>
      <c r="X944" s="254"/>
      <c r="Y944" s="254"/>
    </row>
    <row r="945" spans="1:25" ht="15.75" customHeight="1">
      <c r="A945" s="254"/>
      <c r="B945" s="254"/>
      <c r="C945" s="254"/>
      <c r="D945" s="254"/>
      <c r="E945" s="254"/>
      <c r="F945" s="254"/>
      <c r="G945" s="254"/>
      <c r="H945" s="254"/>
      <c r="I945" s="254"/>
      <c r="J945" s="254"/>
      <c r="K945" s="254"/>
      <c r="L945" s="254"/>
      <c r="M945" s="254"/>
      <c r="N945" s="254"/>
      <c r="O945" s="254"/>
      <c r="P945" s="254"/>
      <c r="Q945" s="254"/>
      <c r="R945" s="254"/>
      <c r="S945" s="254"/>
      <c r="T945" s="254"/>
      <c r="U945" s="254"/>
      <c r="V945" s="254"/>
      <c r="W945" s="254"/>
      <c r="X945" s="254"/>
      <c r="Y945" s="254"/>
    </row>
    <row r="946" spans="1:25" ht="15.75" customHeight="1">
      <c r="A946" s="254"/>
      <c r="B946" s="254"/>
      <c r="C946" s="254"/>
      <c r="D946" s="254"/>
      <c r="E946" s="254"/>
      <c r="F946" s="254"/>
      <c r="G946" s="254"/>
      <c r="H946" s="254"/>
      <c r="I946" s="254"/>
      <c r="J946" s="254"/>
      <c r="K946" s="254"/>
      <c r="L946" s="254"/>
      <c r="M946" s="254"/>
      <c r="N946" s="254"/>
      <c r="O946" s="254"/>
      <c r="P946" s="254"/>
      <c r="Q946" s="254"/>
      <c r="R946" s="254"/>
      <c r="S946" s="254"/>
      <c r="T946" s="254"/>
      <c r="U946" s="254"/>
      <c r="V946" s="254"/>
      <c r="W946" s="254"/>
      <c r="X946" s="254"/>
      <c r="Y946" s="254"/>
    </row>
    <row r="947" spans="1:25" ht="15.75" customHeight="1">
      <c r="A947" s="254"/>
      <c r="B947" s="254"/>
      <c r="C947" s="254"/>
      <c r="D947" s="254"/>
      <c r="E947" s="254"/>
      <c r="F947" s="254"/>
      <c r="G947" s="254"/>
      <c r="H947" s="254"/>
      <c r="I947" s="254"/>
      <c r="J947" s="254"/>
      <c r="K947" s="254"/>
      <c r="L947" s="254"/>
      <c r="M947" s="254"/>
      <c r="N947" s="254"/>
      <c r="O947" s="254"/>
      <c r="P947" s="254"/>
      <c r="Q947" s="254"/>
      <c r="R947" s="254"/>
      <c r="S947" s="254"/>
      <c r="T947" s="254"/>
      <c r="U947" s="254"/>
      <c r="V947" s="254"/>
      <c r="W947" s="254"/>
      <c r="X947" s="254"/>
      <c r="Y947" s="254"/>
    </row>
    <row r="948" spans="1:25" ht="15.75" customHeight="1">
      <c r="A948" s="254"/>
      <c r="B948" s="254"/>
      <c r="C948" s="254"/>
      <c r="D948" s="254"/>
      <c r="E948" s="254"/>
      <c r="F948" s="254"/>
      <c r="G948" s="254"/>
      <c r="H948" s="254"/>
      <c r="I948" s="254"/>
      <c r="J948" s="254"/>
      <c r="K948" s="254"/>
      <c r="L948" s="254"/>
      <c r="M948" s="254"/>
      <c r="N948" s="254"/>
      <c r="O948" s="254"/>
      <c r="P948" s="254"/>
      <c r="Q948" s="254"/>
      <c r="R948" s="254"/>
      <c r="S948" s="254"/>
      <c r="T948" s="254"/>
      <c r="U948" s="254"/>
      <c r="V948" s="254"/>
      <c r="W948" s="254"/>
      <c r="X948" s="254"/>
      <c r="Y948" s="254"/>
    </row>
    <row r="949" spans="1:25" ht="15.75" customHeight="1">
      <c r="A949" s="254"/>
      <c r="B949" s="254"/>
      <c r="C949" s="254"/>
      <c r="D949" s="254"/>
      <c r="E949" s="254"/>
      <c r="F949" s="254"/>
      <c r="G949" s="254"/>
      <c r="H949" s="254"/>
      <c r="I949" s="254"/>
      <c r="J949" s="254"/>
      <c r="K949" s="254"/>
      <c r="L949" s="254"/>
      <c r="M949" s="254"/>
      <c r="N949" s="254"/>
      <c r="O949" s="254"/>
      <c r="P949" s="254"/>
      <c r="Q949" s="254"/>
      <c r="R949" s="254"/>
      <c r="S949" s="254"/>
      <c r="T949" s="254"/>
      <c r="U949" s="254"/>
      <c r="V949" s="254"/>
      <c r="W949" s="254"/>
      <c r="X949" s="254"/>
      <c r="Y949" s="254"/>
    </row>
    <row r="950" spans="1:25" ht="15.75" customHeight="1">
      <c r="A950" s="254"/>
      <c r="B950" s="254"/>
      <c r="C950" s="254"/>
      <c r="D950" s="254"/>
      <c r="E950" s="254"/>
      <c r="F950" s="254"/>
      <c r="G950" s="254"/>
      <c r="H950" s="254"/>
      <c r="I950" s="254"/>
      <c r="J950" s="254"/>
      <c r="K950" s="254"/>
      <c r="L950" s="254"/>
      <c r="M950" s="254"/>
      <c r="N950" s="254"/>
      <c r="O950" s="254"/>
      <c r="P950" s="254"/>
      <c r="Q950" s="254"/>
      <c r="R950" s="254"/>
      <c r="S950" s="254"/>
      <c r="T950" s="254"/>
      <c r="U950" s="254"/>
      <c r="V950" s="254"/>
      <c r="W950" s="254"/>
      <c r="X950" s="254"/>
      <c r="Y950" s="254"/>
    </row>
    <row r="951" spans="1:25" ht="15.75" customHeight="1">
      <c r="A951" s="254"/>
      <c r="B951" s="254"/>
      <c r="C951" s="254"/>
      <c r="D951" s="254"/>
      <c r="E951" s="254"/>
      <c r="F951" s="254"/>
      <c r="G951" s="254"/>
      <c r="H951" s="254"/>
      <c r="I951" s="254"/>
      <c r="J951" s="254"/>
      <c r="K951" s="254"/>
      <c r="L951" s="254"/>
      <c r="M951" s="254"/>
      <c r="N951" s="254"/>
      <c r="O951" s="254"/>
      <c r="P951" s="254"/>
      <c r="Q951" s="254"/>
      <c r="R951" s="254"/>
      <c r="S951" s="254"/>
      <c r="T951" s="254"/>
      <c r="U951" s="254"/>
      <c r="V951" s="254"/>
      <c r="W951" s="254"/>
      <c r="X951" s="254"/>
      <c r="Y951" s="254"/>
    </row>
    <row r="952" spans="1:25" ht="15.75" customHeight="1">
      <c r="A952" s="254"/>
      <c r="B952" s="254"/>
      <c r="C952" s="254"/>
      <c r="D952" s="254"/>
      <c r="E952" s="254"/>
      <c r="F952" s="254"/>
      <c r="G952" s="254"/>
      <c r="H952" s="254"/>
      <c r="I952" s="254"/>
      <c r="J952" s="254"/>
      <c r="K952" s="254"/>
      <c r="L952" s="254"/>
      <c r="M952" s="254"/>
      <c r="N952" s="254"/>
      <c r="O952" s="254"/>
      <c r="P952" s="254"/>
      <c r="Q952" s="254"/>
      <c r="R952" s="254"/>
      <c r="S952" s="254"/>
      <c r="T952" s="254"/>
      <c r="U952" s="254"/>
      <c r="V952" s="254"/>
      <c r="W952" s="254"/>
      <c r="X952" s="254"/>
      <c r="Y952" s="254"/>
    </row>
    <row r="953" spans="1:25" ht="15.75" customHeight="1">
      <c r="A953" s="254"/>
      <c r="B953" s="254"/>
      <c r="C953" s="254"/>
      <c r="D953" s="254"/>
      <c r="E953" s="254"/>
      <c r="F953" s="254"/>
      <c r="G953" s="254"/>
      <c r="H953" s="254"/>
      <c r="I953" s="254"/>
      <c r="J953" s="254"/>
      <c r="K953" s="254"/>
      <c r="L953" s="254"/>
      <c r="M953" s="254"/>
      <c r="N953" s="254"/>
      <c r="O953" s="254"/>
      <c r="P953" s="254"/>
      <c r="Q953" s="254"/>
      <c r="R953" s="254"/>
      <c r="S953" s="254"/>
      <c r="T953" s="254"/>
      <c r="U953" s="254"/>
      <c r="V953" s="254"/>
      <c r="W953" s="254"/>
      <c r="X953" s="254"/>
      <c r="Y953" s="254"/>
    </row>
    <row r="954" spans="1:25" ht="15.75" customHeight="1">
      <c r="A954" s="254"/>
      <c r="B954" s="254"/>
      <c r="C954" s="254"/>
      <c r="D954" s="254"/>
      <c r="E954" s="254"/>
      <c r="F954" s="254"/>
      <c r="G954" s="254"/>
      <c r="H954" s="254"/>
      <c r="I954" s="254"/>
      <c r="J954" s="254"/>
      <c r="K954" s="254"/>
      <c r="L954" s="254"/>
      <c r="M954" s="254"/>
      <c r="N954" s="254"/>
      <c r="O954" s="254"/>
      <c r="P954" s="254"/>
      <c r="Q954" s="254"/>
      <c r="R954" s="254"/>
      <c r="S954" s="254"/>
      <c r="T954" s="254"/>
      <c r="U954" s="254"/>
      <c r="V954" s="254"/>
      <c r="W954" s="254"/>
      <c r="X954" s="254"/>
      <c r="Y954" s="254"/>
    </row>
    <row r="955" spans="1:25" ht="15.75" customHeight="1">
      <c r="A955" s="254"/>
      <c r="B955" s="254"/>
      <c r="C955" s="254"/>
      <c r="D955" s="254"/>
      <c r="E955" s="254"/>
      <c r="F955" s="254"/>
      <c r="G955" s="254"/>
      <c r="H955" s="254"/>
      <c r="I955" s="254"/>
      <c r="J955" s="254"/>
      <c r="K955" s="254"/>
      <c r="L955" s="254"/>
      <c r="M955" s="254"/>
      <c r="N955" s="254"/>
      <c r="O955" s="254"/>
      <c r="P955" s="254"/>
      <c r="Q955" s="254"/>
      <c r="R955" s="254"/>
      <c r="S955" s="254"/>
      <c r="T955" s="254"/>
      <c r="U955" s="254"/>
      <c r="V955" s="254"/>
      <c r="W955" s="254"/>
      <c r="X955" s="254"/>
      <c r="Y955" s="254"/>
    </row>
    <row r="956" spans="1:25" ht="15.75" customHeight="1">
      <c r="A956" s="254"/>
      <c r="B956" s="254"/>
      <c r="C956" s="254"/>
      <c r="D956" s="254"/>
      <c r="E956" s="254"/>
      <c r="F956" s="254"/>
      <c r="G956" s="254"/>
      <c r="H956" s="254"/>
      <c r="I956" s="254"/>
      <c r="J956" s="254"/>
      <c r="K956" s="254"/>
      <c r="L956" s="254"/>
      <c r="M956" s="254"/>
      <c r="N956" s="254"/>
      <c r="O956" s="254"/>
      <c r="P956" s="254"/>
      <c r="Q956" s="254"/>
      <c r="R956" s="254"/>
      <c r="S956" s="254"/>
      <c r="T956" s="254"/>
      <c r="U956" s="254"/>
      <c r="V956" s="254"/>
      <c r="W956" s="254"/>
      <c r="X956" s="254"/>
      <c r="Y956" s="254"/>
    </row>
    <row r="957" spans="1:25" ht="15.75" customHeight="1">
      <c r="A957" s="254"/>
      <c r="B957" s="254"/>
      <c r="C957" s="254"/>
      <c r="D957" s="254"/>
      <c r="E957" s="254"/>
      <c r="F957" s="254"/>
      <c r="G957" s="254"/>
      <c r="H957" s="254"/>
      <c r="I957" s="254"/>
      <c r="J957" s="254"/>
      <c r="K957" s="254"/>
      <c r="L957" s="254"/>
      <c r="M957" s="254"/>
      <c r="N957" s="254"/>
      <c r="O957" s="254"/>
      <c r="P957" s="254"/>
      <c r="Q957" s="254"/>
      <c r="R957" s="254"/>
      <c r="S957" s="254"/>
      <c r="T957" s="254"/>
      <c r="U957" s="254"/>
      <c r="V957" s="254"/>
      <c r="W957" s="254"/>
      <c r="X957" s="254"/>
      <c r="Y957" s="254"/>
    </row>
    <row r="958" spans="1:25" ht="15.75" customHeight="1">
      <c r="A958" s="254"/>
      <c r="B958" s="254"/>
      <c r="C958" s="254"/>
      <c r="D958" s="254"/>
      <c r="E958" s="254"/>
      <c r="F958" s="254"/>
      <c r="G958" s="254"/>
      <c r="H958" s="254"/>
      <c r="I958" s="254"/>
      <c r="J958" s="254"/>
      <c r="K958" s="254"/>
      <c r="L958" s="254"/>
      <c r="M958" s="254"/>
      <c r="N958" s="254"/>
      <c r="O958" s="254"/>
      <c r="P958" s="254"/>
      <c r="Q958" s="254"/>
      <c r="R958" s="254"/>
      <c r="S958" s="254"/>
      <c r="T958" s="254"/>
      <c r="U958" s="254"/>
      <c r="V958" s="254"/>
      <c r="W958" s="254"/>
      <c r="X958" s="254"/>
      <c r="Y958" s="254"/>
    </row>
    <row r="959" spans="1:25" ht="15.75" customHeight="1">
      <c r="A959" s="254"/>
      <c r="B959" s="254"/>
      <c r="C959" s="254"/>
      <c r="D959" s="254"/>
      <c r="E959" s="254"/>
      <c r="F959" s="254"/>
      <c r="G959" s="254"/>
      <c r="H959" s="254"/>
      <c r="I959" s="254"/>
      <c r="J959" s="254"/>
      <c r="K959" s="254"/>
      <c r="L959" s="254"/>
      <c r="M959" s="254"/>
      <c r="N959" s="254"/>
      <c r="O959" s="254"/>
      <c r="P959" s="254"/>
      <c r="Q959" s="254"/>
      <c r="R959" s="254"/>
      <c r="S959" s="254"/>
      <c r="T959" s="254"/>
      <c r="U959" s="254"/>
      <c r="V959" s="254"/>
      <c r="W959" s="254"/>
      <c r="X959" s="254"/>
      <c r="Y959" s="254"/>
    </row>
    <row r="960" spans="1:25" ht="15.75" customHeight="1">
      <c r="A960" s="254"/>
      <c r="B960" s="254"/>
      <c r="C960" s="254"/>
      <c r="D960" s="254"/>
      <c r="E960" s="254"/>
      <c r="F960" s="254"/>
      <c r="G960" s="254"/>
      <c r="H960" s="254"/>
      <c r="I960" s="254"/>
      <c r="J960" s="254"/>
      <c r="K960" s="254"/>
      <c r="L960" s="254"/>
      <c r="M960" s="254"/>
      <c r="N960" s="254"/>
      <c r="O960" s="254"/>
      <c r="P960" s="254"/>
      <c r="Q960" s="254"/>
      <c r="R960" s="254"/>
      <c r="S960" s="254"/>
      <c r="T960" s="254"/>
      <c r="U960" s="254"/>
      <c r="V960" s="254"/>
      <c r="W960" s="254"/>
      <c r="X960" s="254"/>
      <c r="Y960" s="254"/>
    </row>
    <row r="961" spans="1:25" ht="15.75" customHeight="1">
      <c r="A961" s="254"/>
      <c r="B961" s="254"/>
      <c r="C961" s="254"/>
      <c r="D961" s="254"/>
      <c r="E961" s="254"/>
      <c r="F961" s="254"/>
      <c r="G961" s="254"/>
      <c r="H961" s="254"/>
      <c r="I961" s="254"/>
      <c r="J961" s="254"/>
      <c r="K961" s="254"/>
      <c r="L961" s="254"/>
      <c r="M961" s="254"/>
      <c r="N961" s="254"/>
      <c r="O961" s="254"/>
      <c r="P961" s="254"/>
      <c r="Q961" s="254"/>
      <c r="R961" s="254"/>
      <c r="S961" s="254"/>
      <c r="T961" s="254"/>
      <c r="U961" s="254"/>
      <c r="V961" s="254"/>
      <c r="W961" s="254"/>
      <c r="X961" s="254"/>
      <c r="Y961" s="254"/>
    </row>
    <row r="962" spans="1:25" ht="15.75" customHeight="1">
      <c r="A962" s="254"/>
      <c r="B962" s="254"/>
      <c r="C962" s="254"/>
      <c r="D962" s="254"/>
      <c r="E962" s="254"/>
      <c r="F962" s="254"/>
      <c r="G962" s="254"/>
      <c r="H962" s="254"/>
      <c r="I962" s="254"/>
      <c r="J962" s="254"/>
      <c r="K962" s="254"/>
      <c r="L962" s="254"/>
      <c r="M962" s="254"/>
      <c r="N962" s="254"/>
      <c r="O962" s="254"/>
      <c r="P962" s="254"/>
      <c r="Q962" s="254"/>
      <c r="R962" s="254"/>
      <c r="S962" s="254"/>
      <c r="T962" s="254"/>
      <c r="U962" s="254"/>
      <c r="V962" s="254"/>
      <c r="W962" s="254"/>
      <c r="X962" s="254"/>
      <c r="Y962" s="254"/>
    </row>
    <row r="963" spans="1:25" ht="15.75" customHeight="1">
      <c r="A963" s="254"/>
      <c r="B963" s="254"/>
      <c r="C963" s="254"/>
      <c r="D963" s="254"/>
      <c r="E963" s="254"/>
      <c r="F963" s="254"/>
      <c r="G963" s="254"/>
      <c r="H963" s="254"/>
      <c r="I963" s="254"/>
      <c r="J963" s="254"/>
      <c r="K963" s="254"/>
      <c r="L963" s="254"/>
      <c r="M963" s="254"/>
      <c r="N963" s="254"/>
      <c r="O963" s="254"/>
      <c r="P963" s="254"/>
      <c r="Q963" s="254"/>
      <c r="R963" s="254"/>
      <c r="S963" s="254"/>
      <c r="T963" s="254"/>
      <c r="U963" s="254"/>
      <c r="V963" s="254"/>
      <c r="W963" s="254"/>
      <c r="X963" s="254"/>
      <c r="Y963" s="254"/>
    </row>
    <row r="964" spans="1:25" ht="15.75" customHeight="1">
      <c r="A964" s="254"/>
      <c r="B964" s="254"/>
      <c r="C964" s="254"/>
      <c r="D964" s="254"/>
      <c r="E964" s="254"/>
      <c r="F964" s="254"/>
      <c r="G964" s="254"/>
      <c r="H964" s="254"/>
      <c r="I964" s="254"/>
      <c r="J964" s="254"/>
      <c r="K964" s="254"/>
      <c r="L964" s="254"/>
      <c r="M964" s="254"/>
      <c r="N964" s="254"/>
      <c r="O964" s="254"/>
      <c r="P964" s="254"/>
      <c r="Q964" s="254"/>
      <c r="R964" s="254"/>
      <c r="S964" s="254"/>
      <c r="T964" s="254"/>
      <c r="U964" s="254"/>
      <c r="V964" s="254"/>
      <c r="W964" s="254"/>
      <c r="X964" s="254"/>
      <c r="Y964" s="254"/>
    </row>
    <row r="965" spans="1:25" ht="15.75" customHeight="1">
      <c r="A965" s="254"/>
      <c r="B965" s="254"/>
      <c r="C965" s="254"/>
      <c r="D965" s="254"/>
      <c r="E965" s="254"/>
      <c r="F965" s="254"/>
      <c r="G965" s="254"/>
      <c r="H965" s="254"/>
      <c r="I965" s="254"/>
      <c r="J965" s="254"/>
      <c r="K965" s="254"/>
      <c r="L965" s="254"/>
      <c r="M965" s="254"/>
      <c r="N965" s="254"/>
      <c r="O965" s="254"/>
      <c r="P965" s="254"/>
      <c r="Q965" s="254"/>
      <c r="R965" s="254"/>
      <c r="S965" s="254"/>
      <c r="T965" s="254"/>
      <c r="U965" s="254"/>
      <c r="V965" s="254"/>
      <c r="W965" s="254"/>
      <c r="X965" s="254"/>
      <c r="Y965" s="254"/>
    </row>
    <row r="966" spans="1:25" ht="15.75" customHeight="1">
      <c r="A966" s="254"/>
      <c r="B966" s="254"/>
      <c r="C966" s="254"/>
      <c r="D966" s="254"/>
      <c r="E966" s="254"/>
      <c r="F966" s="254"/>
      <c r="G966" s="254"/>
      <c r="H966" s="254"/>
      <c r="I966" s="254"/>
      <c r="J966" s="254"/>
      <c r="K966" s="254"/>
      <c r="L966" s="254"/>
      <c r="M966" s="254"/>
      <c r="N966" s="254"/>
      <c r="O966" s="254"/>
      <c r="P966" s="254"/>
      <c r="Q966" s="254"/>
      <c r="R966" s="254"/>
      <c r="S966" s="254"/>
      <c r="T966" s="254"/>
      <c r="U966" s="254"/>
      <c r="V966" s="254"/>
      <c r="W966" s="254"/>
      <c r="X966" s="254"/>
      <c r="Y966" s="254"/>
    </row>
    <row r="967" spans="1:25" ht="15.75" customHeight="1">
      <c r="A967" s="254"/>
      <c r="B967" s="254"/>
      <c r="C967" s="254"/>
      <c r="D967" s="254"/>
      <c r="E967" s="254"/>
      <c r="F967" s="254"/>
      <c r="G967" s="254"/>
      <c r="H967" s="254"/>
      <c r="I967" s="254"/>
      <c r="J967" s="254"/>
      <c r="K967" s="254"/>
      <c r="L967" s="254"/>
      <c r="M967" s="254"/>
      <c r="N967" s="254"/>
      <c r="O967" s="254"/>
      <c r="P967" s="254"/>
      <c r="Q967" s="254"/>
      <c r="R967" s="254"/>
      <c r="S967" s="254"/>
      <c r="T967" s="254"/>
      <c r="U967" s="254"/>
      <c r="V967" s="254"/>
      <c r="W967" s="254"/>
      <c r="X967" s="254"/>
      <c r="Y967" s="254"/>
    </row>
    <row r="968" spans="1:25" ht="15.75" customHeight="1">
      <c r="A968" s="254"/>
      <c r="B968" s="254"/>
      <c r="C968" s="254"/>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row>
    <row r="969" spans="1:25" ht="15.75" customHeight="1">
      <c r="A969" s="254"/>
      <c r="B969" s="254"/>
      <c r="C969" s="254"/>
      <c r="D969" s="254"/>
      <c r="E969" s="254"/>
      <c r="F969" s="254"/>
      <c r="G969" s="254"/>
      <c r="H969" s="254"/>
      <c r="I969" s="254"/>
      <c r="J969" s="254"/>
      <c r="K969" s="254"/>
      <c r="L969" s="254"/>
      <c r="M969" s="254"/>
      <c r="N969" s="254"/>
      <c r="O969" s="254"/>
      <c r="P969" s="254"/>
      <c r="Q969" s="254"/>
      <c r="R969" s="254"/>
      <c r="S969" s="254"/>
      <c r="T969" s="254"/>
      <c r="U969" s="254"/>
      <c r="V969" s="254"/>
      <c r="W969" s="254"/>
      <c r="X969" s="254"/>
      <c r="Y969" s="254"/>
    </row>
    <row r="970" spans="1:25" ht="15.75" customHeight="1">
      <c r="A970" s="254"/>
      <c r="B970" s="254"/>
      <c r="C970" s="254"/>
      <c r="D970" s="254"/>
      <c r="E970" s="254"/>
      <c r="F970" s="254"/>
      <c r="G970" s="254"/>
      <c r="H970" s="254"/>
      <c r="I970" s="254"/>
      <c r="J970" s="254"/>
      <c r="K970" s="254"/>
      <c r="L970" s="254"/>
      <c r="M970" s="254"/>
      <c r="N970" s="254"/>
      <c r="O970" s="254"/>
      <c r="P970" s="254"/>
      <c r="Q970" s="254"/>
      <c r="R970" s="254"/>
      <c r="S970" s="254"/>
      <c r="T970" s="254"/>
      <c r="U970" s="254"/>
      <c r="V970" s="254"/>
      <c r="W970" s="254"/>
      <c r="X970" s="254"/>
      <c r="Y970" s="254"/>
    </row>
    <row r="971" spans="1:25" ht="15.75" customHeight="1">
      <c r="A971" s="254"/>
      <c r="B971" s="254"/>
      <c r="C971" s="254"/>
      <c r="D971" s="254"/>
      <c r="E971" s="254"/>
      <c r="F971" s="254"/>
      <c r="G971" s="254"/>
      <c r="H971" s="254"/>
      <c r="I971" s="254"/>
      <c r="J971" s="254"/>
      <c r="K971" s="254"/>
      <c r="L971" s="254"/>
      <c r="M971" s="254"/>
      <c r="N971" s="254"/>
      <c r="O971" s="254"/>
      <c r="P971" s="254"/>
      <c r="Q971" s="254"/>
      <c r="R971" s="254"/>
      <c r="S971" s="254"/>
      <c r="T971" s="254"/>
      <c r="U971" s="254"/>
      <c r="V971" s="254"/>
      <c r="W971" s="254"/>
      <c r="X971" s="254"/>
      <c r="Y971" s="254"/>
    </row>
    <row r="972" spans="1:25" ht="15.75" customHeight="1">
      <c r="A972" s="254"/>
      <c r="B972" s="254"/>
      <c r="C972" s="254"/>
      <c r="D972" s="254"/>
      <c r="E972" s="254"/>
      <c r="F972" s="254"/>
      <c r="G972" s="254"/>
      <c r="H972" s="254"/>
      <c r="I972" s="254"/>
      <c r="J972" s="254"/>
      <c r="K972" s="254"/>
      <c r="L972" s="254"/>
      <c r="M972" s="254"/>
      <c r="N972" s="254"/>
      <c r="O972" s="254"/>
      <c r="P972" s="254"/>
      <c r="Q972" s="254"/>
      <c r="R972" s="254"/>
      <c r="S972" s="254"/>
      <c r="T972" s="254"/>
      <c r="U972" s="254"/>
      <c r="V972" s="254"/>
      <c r="W972" s="254"/>
      <c r="X972" s="254"/>
      <c r="Y972" s="254"/>
    </row>
    <row r="973" spans="1:25" ht="15.75" customHeight="1">
      <c r="A973" s="254"/>
      <c r="B973" s="254"/>
      <c r="C973" s="254"/>
      <c r="D973" s="254"/>
      <c r="E973" s="254"/>
      <c r="F973" s="254"/>
      <c r="G973" s="254"/>
      <c r="H973" s="254"/>
      <c r="I973" s="254"/>
      <c r="J973" s="254"/>
      <c r="K973" s="254"/>
      <c r="L973" s="254"/>
      <c r="M973" s="254"/>
      <c r="N973" s="254"/>
      <c r="O973" s="254"/>
      <c r="P973" s="254"/>
      <c r="Q973" s="254"/>
      <c r="R973" s="254"/>
      <c r="S973" s="254"/>
      <c r="T973" s="254"/>
      <c r="U973" s="254"/>
      <c r="V973" s="254"/>
      <c r="W973" s="254"/>
      <c r="X973" s="254"/>
      <c r="Y973" s="254"/>
    </row>
    <row r="974" spans="1:25" ht="15.75" customHeight="1">
      <c r="A974" s="254"/>
      <c r="B974" s="254"/>
      <c r="C974" s="254"/>
      <c r="D974" s="254"/>
      <c r="E974" s="254"/>
      <c r="F974" s="254"/>
      <c r="G974" s="254"/>
      <c r="H974" s="254"/>
      <c r="I974" s="254"/>
      <c r="J974" s="254"/>
      <c r="K974" s="254"/>
      <c r="L974" s="254"/>
      <c r="M974" s="254"/>
      <c r="N974" s="254"/>
      <c r="O974" s="254"/>
      <c r="P974" s="254"/>
      <c r="Q974" s="254"/>
      <c r="R974" s="254"/>
      <c r="S974" s="254"/>
      <c r="T974" s="254"/>
      <c r="U974" s="254"/>
      <c r="V974" s="254"/>
      <c r="W974" s="254"/>
      <c r="X974" s="254"/>
      <c r="Y974" s="254"/>
    </row>
    <row r="975" spans="1:25" ht="15.75" customHeight="1">
      <c r="A975" s="254"/>
      <c r="B975" s="254"/>
      <c r="C975" s="254"/>
      <c r="D975" s="254"/>
      <c r="E975" s="254"/>
      <c r="F975" s="254"/>
      <c r="G975" s="254"/>
      <c r="H975" s="254"/>
      <c r="I975" s="254"/>
      <c r="J975" s="254"/>
      <c r="K975" s="254"/>
      <c r="L975" s="254"/>
      <c r="M975" s="254"/>
      <c r="N975" s="254"/>
      <c r="O975" s="254"/>
      <c r="P975" s="254"/>
      <c r="Q975" s="254"/>
      <c r="R975" s="254"/>
      <c r="S975" s="254"/>
      <c r="T975" s="254"/>
      <c r="U975" s="254"/>
      <c r="V975" s="254"/>
      <c r="W975" s="254"/>
      <c r="X975" s="254"/>
      <c r="Y975" s="254"/>
    </row>
    <row r="976" spans="1:25" ht="15.75" customHeight="1">
      <c r="A976" s="254"/>
      <c r="B976" s="254"/>
      <c r="C976" s="254"/>
      <c r="D976" s="254"/>
      <c r="E976" s="254"/>
      <c r="F976" s="254"/>
      <c r="G976" s="254"/>
      <c r="H976" s="254"/>
      <c r="I976" s="254"/>
      <c r="J976" s="254"/>
      <c r="K976" s="254"/>
      <c r="L976" s="254"/>
      <c r="M976" s="254"/>
      <c r="N976" s="254"/>
      <c r="O976" s="254"/>
      <c r="P976" s="254"/>
      <c r="Q976" s="254"/>
      <c r="R976" s="254"/>
      <c r="S976" s="254"/>
      <c r="T976" s="254"/>
      <c r="U976" s="254"/>
      <c r="V976" s="254"/>
      <c r="W976" s="254"/>
      <c r="X976" s="254"/>
      <c r="Y976" s="254"/>
    </row>
    <row r="977" spans="1:25" ht="15.75" customHeight="1">
      <c r="A977" s="254"/>
      <c r="B977" s="254"/>
      <c r="C977" s="254"/>
      <c r="D977" s="254"/>
      <c r="E977" s="254"/>
      <c r="F977" s="254"/>
      <c r="G977" s="254"/>
      <c r="H977" s="254"/>
      <c r="I977" s="254"/>
      <c r="J977" s="254"/>
      <c r="K977" s="254"/>
      <c r="L977" s="254"/>
      <c r="M977" s="254"/>
      <c r="N977" s="254"/>
      <c r="O977" s="254"/>
      <c r="P977" s="254"/>
      <c r="Q977" s="254"/>
      <c r="R977" s="254"/>
      <c r="S977" s="254"/>
      <c r="T977" s="254"/>
      <c r="U977" s="254"/>
      <c r="V977" s="254"/>
      <c r="W977" s="254"/>
      <c r="X977" s="254"/>
      <c r="Y977" s="254"/>
    </row>
    <row r="978" spans="1:25" ht="15.75" customHeight="1">
      <c r="A978" s="254"/>
      <c r="B978" s="254"/>
      <c r="C978" s="254"/>
      <c r="D978" s="254"/>
      <c r="E978" s="254"/>
      <c r="F978" s="254"/>
      <c r="G978" s="254"/>
      <c r="H978" s="254"/>
      <c r="I978" s="254"/>
      <c r="J978" s="254"/>
      <c r="K978" s="254"/>
      <c r="L978" s="254"/>
      <c r="M978" s="254"/>
      <c r="N978" s="254"/>
      <c r="O978" s="254"/>
      <c r="P978" s="254"/>
      <c r="Q978" s="254"/>
      <c r="R978" s="254"/>
      <c r="S978" s="254"/>
      <c r="T978" s="254"/>
      <c r="U978" s="254"/>
      <c r="V978" s="254"/>
      <c r="W978" s="254"/>
      <c r="X978" s="254"/>
      <c r="Y978" s="254"/>
    </row>
    <row r="979" spans="1:25" ht="15.75" customHeight="1">
      <c r="A979" s="254"/>
      <c r="B979" s="254"/>
      <c r="C979" s="254"/>
      <c r="D979" s="254"/>
      <c r="E979" s="254"/>
      <c r="F979" s="254"/>
      <c r="G979" s="254"/>
      <c r="H979" s="254"/>
      <c r="I979" s="254"/>
      <c r="J979" s="254"/>
      <c r="K979" s="254"/>
      <c r="L979" s="254"/>
      <c r="M979" s="254"/>
      <c r="N979" s="254"/>
      <c r="O979" s="254"/>
      <c r="P979" s="254"/>
      <c r="Q979" s="254"/>
      <c r="R979" s="254"/>
      <c r="S979" s="254"/>
      <c r="T979" s="254"/>
      <c r="U979" s="254"/>
      <c r="V979" s="254"/>
      <c r="W979" s="254"/>
      <c r="X979" s="254"/>
      <c r="Y979" s="254"/>
    </row>
    <row r="980" spans="1:25" ht="15.75" customHeight="1">
      <c r="A980" s="254"/>
      <c r="B980" s="254"/>
      <c r="C980" s="254"/>
      <c r="D980" s="254"/>
      <c r="E980" s="254"/>
      <c r="F980" s="254"/>
      <c r="G980" s="254"/>
      <c r="H980" s="254"/>
      <c r="I980" s="254"/>
      <c r="J980" s="254"/>
      <c r="K980" s="254"/>
      <c r="L980" s="254"/>
      <c r="M980" s="254"/>
      <c r="N980" s="254"/>
      <c r="O980" s="254"/>
      <c r="P980" s="254"/>
      <c r="Q980" s="254"/>
      <c r="R980" s="254"/>
      <c r="S980" s="254"/>
      <c r="T980" s="254"/>
      <c r="U980" s="254"/>
      <c r="V980" s="254"/>
      <c r="W980" s="254"/>
      <c r="X980" s="254"/>
      <c r="Y980" s="254"/>
    </row>
    <row r="981" spans="1:25" ht="15.75" customHeight="1">
      <c r="A981" s="254"/>
      <c r="B981" s="254"/>
      <c r="C981" s="254"/>
      <c r="D981" s="254"/>
      <c r="E981" s="254"/>
      <c r="F981" s="254"/>
      <c r="G981" s="254"/>
      <c r="H981" s="254"/>
      <c r="I981" s="254"/>
      <c r="J981" s="254"/>
      <c r="K981" s="254"/>
      <c r="L981" s="254"/>
      <c r="M981" s="254"/>
      <c r="N981" s="254"/>
      <c r="O981" s="254"/>
      <c r="P981" s="254"/>
      <c r="Q981" s="254"/>
      <c r="R981" s="254"/>
      <c r="S981" s="254"/>
      <c r="T981" s="254"/>
      <c r="U981" s="254"/>
      <c r="V981" s="254"/>
      <c r="W981" s="254"/>
      <c r="X981" s="254"/>
      <c r="Y981" s="254"/>
    </row>
    <row r="982" spans="1:25" ht="15.75" customHeight="1">
      <c r="A982" s="254"/>
      <c r="B982" s="254"/>
      <c r="C982" s="254"/>
      <c r="D982" s="254"/>
      <c r="E982" s="254"/>
      <c r="F982" s="254"/>
      <c r="G982" s="254"/>
      <c r="H982" s="254"/>
      <c r="I982" s="254"/>
      <c r="J982" s="254"/>
      <c r="K982" s="254"/>
      <c r="L982" s="254"/>
      <c r="M982" s="254"/>
      <c r="N982" s="254"/>
      <c r="O982" s="254"/>
      <c r="P982" s="254"/>
      <c r="Q982" s="254"/>
      <c r="R982" s="254"/>
      <c r="S982" s="254"/>
      <c r="T982" s="254"/>
      <c r="U982" s="254"/>
      <c r="V982" s="254"/>
      <c r="W982" s="254"/>
      <c r="X982" s="254"/>
      <c r="Y982" s="254"/>
    </row>
    <row r="983" spans="1:25" ht="15.75" customHeight="1">
      <c r="A983" s="254"/>
      <c r="B983" s="254"/>
      <c r="C983" s="254"/>
      <c r="D983" s="254"/>
      <c r="E983" s="254"/>
      <c r="F983" s="254"/>
      <c r="G983" s="254"/>
      <c r="H983" s="254"/>
      <c r="I983" s="254"/>
      <c r="J983" s="254"/>
      <c r="K983" s="254"/>
      <c r="L983" s="254"/>
      <c r="M983" s="254"/>
      <c r="N983" s="254"/>
      <c r="O983" s="254"/>
      <c r="P983" s="254"/>
      <c r="Q983" s="254"/>
      <c r="R983" s="254"/>
      <c r="S983" s="254"/>
      <c r="T983" s="254"/>
      <c r="U983" s="254"/>
      <c r="V983" s="254"/>
      <c r="W983" s="254"/>
      <c r="X983" s="254"/>
      <c r="Y983" s="254"/>
    </row>
    <row r="984" spans="1:25" ht="15.75" customHeight="1">
      <c r="A984" s="254"/>
      <c r="B984" s="254"/>
      <c r="C984" s="254"/>
      <c r="D984" s="254"/>
      <c r="E984" s="254"/>
      <c r="F984" s="254"/>
      <c r="G984" s="254"/>
      <c r="H984" s="254"/>
      <c r="I984" s="254"/>
      <c r="J984" s="254"/>
      <c r="K984" s="254"/>
      <c r="L984" s="254"/>
      <c r="M984" s="254"/>
      <c r="N984" s="254"/>
      <c r="O984" s="254"/>
      <c r="P984" s="254"/>
      <c r="Q984" s="254"/>
      <c r="R984" s="254"/>
      <c r="S984" s="254"/>
      <c r="T984" s="254"/>
      <c r="U984" s="254"/>
      <c r="V984" s="254"/>
      <c r="W984" s="254"/>
      <c r="X984" s="254"/>
      <c r="Y984" s="254"/>
    </row>
    <row r="985" spans="1:25" ht="15.75" customHeight="1">
      <c r="A985" s="254"/>
      <c r="B985" s="254"/>
      <c r="C985" s="254"/>
      <c r="D985" s="254"/>
      <c r="E985" s="254"/>
      <c r="F985" s="254"/>
      <c r="G985" s="254"/>
      <c r="H985" s="254"/>
      <c r="I985" s="254"/>
      <c r="J985" s="254"/>
      <c r="K985" s="254"/>
      <c r="L985" s="254"/>
      <c r="M985" s="254"/>
      <c r="N985" s="254"/>
      <c r="O985" s="254"/>
      <c r="P985" s="254"/>
      <c r="Q985" s="254"/>
      <c r="R985" s="254"/>
      <c r="S985" s="254"/>
      <c r="T985" s="254"/>
      <c r="U985" s="254"/>
      <c r="V985" s="254"/>
      <c r="W985" s="254"/>
      <c r="X985" s="254"/>
      <c r="Y985" s="254"/>
    </row>
    <row r="986" spans="1:25" ht="15.75" customHeight="1">
      <c r="A986" s="254"/>
      <c r="B986" s="254"/>
      <c r="C986" s="254"/>
      <c r="D986" s="254"/>
      <c r="E986" s="254"/>
      <c r="F986" s="254"/>
      <c r="G986" s="254"/>
      <c r="H986" s="254"/>
      <c r="I986" s="254"/>
      <c r="J986" s="254"/>
      <c r="K986" s="254"/>
      <c r="L986" s="254"/>
      <c r="M986" s="254"/>
      <c r="N986" s="254"/>
      <c r="O986" s="254"/>
      <c r="P986" s="254"/>
      <c r="Q986" s="254"/>
      <c r="R986" s="254"/>
      <c r="S986" s="254"/>
      <c r="T986" s="254"/>
      <c r="U986" s="254"/>
      <c r="V986" s="254"/>
      <c r="W986" s="254"/>
      <c r="X986" s="254"/>
      <c r="Y986" s="254"/>
    </row>
    <row r="987" spans="1:25" ht="15.75" customHeight="1">
      <c r="A987" s="254"/>
      <c r="B987" s="254"/>
      <c r="C987" s="254"/>
      <c r="D987" s="254"/>
      <c r="E987" s="254"/>
      <c r="F987" s="254"/>
      <c r="G987" s="254"/>
      <c r="H987" s="254"/>
      <c r="I987" s="254"/>
      <c r="J987" s="254"/>
      <c r="K987" s="254"/>
      <c r="L987" s="254"/>
      <c r="M987" s="254"/>
      <c r="N987" s="254"/>
      <c r="O987" s="254"/>
      <c r="P987" s="254"/>
      <c r="Q987" s="254"/>
      <c r="R987" s="254"/>
      <c r="S987" s="254"/>
      <c r="T987" s="254"/>
      <c r="U987" s="254"/>
      <c r="V987" s="254"/>
      <c r="W987" s="254"/>
      <c r="X987" s="254"/>
      <c r="Y987" s="254"/>
    </row>
    <row r="988" spans="1:25" ht="15.75" customHeight="1">
      <c r="A988" s="254"/>
      <c r="B988" s="254"/>
      <c r="C988" s="254"/>
      <c r="D988" s="254"/>
      <c r="E988" s="254"/>
      <c r="F988" s="254"/>
      <c r="G988" s="254"/>
      <c r="H988" s="254"/>
      <c r="I988" s="254"/>
      <c r="J988" s="254"/>
      <c r="K988" s="254"/>
      <c r="L988" s="254"/>
      <c r="M988" s="254"/>
      <c r="N988" s="254"/>
      <c r="O988" s="254"/>
      <c r="P988" s="254"/>
      <c r="Q988" s="254"/>
      <c r="R988" s="254"/>
      <c r="S988" s="254"/>
      <c r="T988" s="254"/>
      <c r="U988" s="254"/>
      <c r="V988" s="254"/>
      <c r="W988" s="254"/>
      <c r="X988" s="254"/>
      <c r="Y988" s="254"/>
    </row>
    <row r="989" spans="1:25" ht="15.75" customHeight="1">
      <c r="A989" s="254"/>
      <c r="B989" s="254"/>
      <c r="C989" s="254"/>
      <c r="D989" s="254"/>
      <c r="E989" s="254"/>
      <c r="F989" s="254"/>
      <c r="G989" s="254"/>
      <c r="H989" s="254"/>
      <c r="I989" s="254"/>
      <c r="J989" s="254"/>
      <c r="K989" s="254"/>
      <c r="L989" s="254"/>
      <c r="M989" s="254"/>
      <c r="N989" s="254"/>
      <c r="O989" s="254"/>
      <c r="P989" s="254"/>
      <c r="Q989" s="254"/>
      <c r="R989" s="254"/>
      <c r="S989" s="254"/>
      <c r="T989" s="254"/>
      <c r="U989" s="254"/>
      <c r="V989" s="254"/>
      <c r="W989" s="254"/>
      <c r="X989" s="254"/>
      <c r="Y989" s="254"/>
    </row>
    <row r="990" spans="1:25" ht="15.75" customHeight="1">
      <c r="A990" s="254"/>
      <c r="B990" s="254"/>
      <c r="C990" s="254"/>
      <c r="D990" s="254"/>
      <c r="E990" s="254"/>
      <c r="F990" s="254"/>
      <c r="G990" s="254"/>
      <c r="H990" s="254"/>
      <c r="I990" s="254"/>
      <c r="J990" s="254"/>
      <c r="K990" s="254"/>
      <c r="L990" s="254"/>
      <c r="M990" s="254"/>
      <c r="N990" s="254"/>
      <c r="O990" s="254"/>
      <c r="P990" s="254"/>
      <c r="Q990" s="254"/>
      <c r="R990" s="254"/>
      <c r="S990" s="254"/>
      <c r="T990" s="254"/>
      <c r="U990" s="254"/>
      <c r="V990" s="254"/>
      <c r="W990" s="254"/>
      <c r="X990" s="254"/>
      <c r="Y990" s="254"/>
    </row>
    <row r="991" spans="1:25" ht="15.75" customHeight="1">
      <c r="A991" s="254"/>
      <c r="B991" s="254"/>
      <c r="C991" s="254"/>
      <c r="D991" s="254"/>
      <c r="E991" s="254"/>
      <c r="F991" s="254"/>
      <c r="G991" s="254"/>
      <c r="H991" s="254"/>
      <c r="I991" s="254"/>
      <c r="J991" s="254"/>
      <c r="K991" s="254"/>
      <c r="L991" s="254"/>
      <c r="M991" s="254"/>
      <c r="N991" s="254"/>
      <c r="O991" s="254"/>
      <c r="P991" s="254"/>
      <c r="Q991" s="254"/>
      <c r="R991" s="254"/>
      <c r="S991" s="254"/>
      <c r="T991" s="254"/>
      <c r="U991" s="254"/>
      <c r="V991" s="254"/>
      <c r="W991" s="254"/>
      <c r="X991" s="254"/>
      <c r="Y991" s="254"/>
    </row>
    <row r="992" spans="1:25" ht="15.75" customHeight="1">
      <c r="A992" s="254"/>
      <c r="B992" s="254"/>
      <c r="C992" s="254"/>
      <c r="D992" s="254"/>
      <c r="E992" s="254"/>
      <c r="F992" s="254"/>
      <c r="G992" s="254"/>
      <c r="H992" s="254"/>
      <c r="I992" s="254"/>
      <c r="J992" s="254"/>
      <c r="K992" s="254"/>
      <c r="L992" s="254"/>
      <c r="M992" s="254"/>
      <c r="N992" s="254"/>
      <c r="O992" s="254"/>
      <c r="P992" s="254"/>
      <c r="Q992" s="254"/>
      <c r="R992" s="254"/>
      <c r="S992" s="254"/>
      <c r="T992" s="254"/>
      <c r="U992" s="254"/>
      <c r="V992" s="254"/>
      <c r="W992" s="254"/>
      <c r="X992" s="254"/>
      <c r="Y992" s="254"/>
    </row>
    <row r="993" spans="1:25" ht="15.75" customHeight="1">
      <c r="A993" s="254"/>
      <c r="B993" s="254"/>
      <c r="C993" s="254"/>
      <c r="D993" s="254"/>
      <c r="E993" s="254"/>
      <c r="F993" s="254"/>
      <c r="G993" s="254"/>
      <c r="H993" s="254"/>
      <c r="I993" s="254"/>
      <c r="J993" s="254"/>
      <c r="K993" s="254"/>
      <c r="L993" s="254"/>
      <c r="M993" s="254"/>
      <c r="N993" s="254"/>
      <c r="O993" s="254"/>
      <c r="P993" s="254"/>
      <c r="Q993" s="254"/>
      <c r="R993" s="254"/>
      <c r="S993" s="254"/>
      <c r="T993" s="254"/>
      <c r="U993" s="254"/>
      <c r="V993" s="254"/>
      <c r="W993" s="254"/>
      <c r="X993" s="254"/>
      <c r="Y993" s="254"/>
    </row>
    <row r="994" spans="1:25" ht="15.75" customHeight="1">
      <c r="A994" s="254"/>
      <c r="B994" s="254"/>
      <c r="C994" s="254"/>
      <c r="D994" s="254"/>
      <c r="E994" s="254"/>
      <c r="F994" s="254"/>
      <c r="G994" s="254"/>
      <c r="H994" s="254"/>
      <c r="I994" s="254"/>
      <c r="J994" s="254"/>
      <c r="K994" s="254"/>
      <c r="L994" s="254"/>
      <c r="M994" s="254"/>
      <c r="N994" s="254"/>
      <c r="O994" s="254"/>
      <c r="P994" s="254"/>
      <c r="Q994" s="254"/>
      <c r="R994" s="254"/>
      <c r="S994" s="254"/>
      <c r="T994" s="254"/>
      <c r="U994" s="254"/>
      <c r="V994" s="254"/>
      <c r="W994" s="254"/>
      <c r="X994" s="254"/>
      <c r="Y994" s="254"/>
    </row>
    <row r="995" spans="1:25" ht="15.75" customHeight="1">
      <c r="A995" s="254"/>
      <c r="B995" s="254"/>
      <c r="C995" s="254"/>
      <c r="D995" s="254"/>
      <c r="E995" s="254"/>
      <c r="F995" s="254"/>
      <c r="G995" s="254"/>
      <c r="H995" s="254"/>
      <c r="I995" s="254"/>
      <c r="J995" s="254"/>
      <c r="K995" s="254"/>
      <c r="L995" s="254"/>
      <c r="M995" s="254"/>
      <c r="N995" s="254"/>
      <c r="O995" s="254"/>
      <c r="P995" s="254"/>
      <c r="Q995" s="254"/>
      <c r="R995" s="254"/>
      <c r="S995" s="254"/>
      <c r="T995" s="254"/>
      <c r="U995" s="254"/>
      <c r="V995" s="254"/>
      <c r="W995" s="254"/>
      <c r="X995" s="254"/>
      <c r="Y995" s="254"/>
    </row>
    <row r="996" spans="1:25" ht="15.75" customHeight="1">
      <c r="A996" s="254"/>
      <c r="B996" s="254"/>
      <c r="C996" s="254"/>
      <c r="D996" s="254"/>
      <c r="E996" s="254"/>
      <c r="F996" s="254"/>
      <c r="G996" s="254"/>
      <c r="H996" s="254"/>
      <c r="I996" s="254"/>
      <c r="J996" s="254"/>
      <c r="K996" s="254"/>
      <c r="L996" s="254"/>
      <c r="M996" s="254"/>
      <c r="N996" s="254"/>
      <c r="O996" s="254"/>
      <c r="P996" s="254"/>
      <c r="Q996" s="254"/>
      <c r="R996" s="254"/>
      <c r="S996" s="254"/>
      <c r="T996" s="254"/>
      <c r="U996" s="254"/>
      <c r="V996" s="254"/>
      <c r="W996" s="254"/>
      <c r="X996" s="254"/>
      <c r="Y996" s="254"/>
    </row>
    <row r="997" spans="1:25" ht="15.75" customHeight="1">
      <c r="A997" s="254"/>
      <c r="B997" s="254"/>
      <c r="C997" s="254"/>
      <c r="D997" s="254"/>
      <c r="E997" s="254"/>
      <c r="F997" s="254"/>
      <c r="G997" s="254"/>
      <c r="H997" s="254"/>
      <c r="I997" s="254"/>
      <c r="J997" s="254"/>
      <c r="K997" s="254"/>
      <c r="L997" s="254"/>
      <c r="M997" s="254"/>
      <c r="N997" s="254"/>
      <c r="O997" s="254"/>
      <c r="P997" s="254"/>
      <c r="Q997" s="254"/>
      <c r="R997" s="254"/>
      <c r="S997" s="254"/>
      <c r="T997" s="254"/>
      <c r="U997" s="254"/>
      <c r="V997" s="254"/>
      <c r="W997" s="254"/>
      <c r="X997" s="254"/>
      <c r="Y997" s="254"/>
    </row>
    <row r="998" spans="1:25" ht="15.75" customHeight="1">
      <c r="A998" s="254"/>
      <c r="B998" s="254"/>
      <c r="C998" s="254"/>
      <c r="D998" s="254"/>
      <c r="E998" s="254"/>
      <c r="F998" s="254"/>
      <c r="G998" s="254"/>
      <c r="H998" s="254"/>
      <c r="I998" s="254"/>
      <c r="J998" s="254"/>
      <c r="K998" s="254"/>
      <c r="L998" s="254"/>
      <c r="M998" s="254"/>
      <c r="N998" s="254"/>
      <c r="O998" s="254"/>
      <c r="P998" s="254"/>
      <c r="Q998" s="254"/>
      <c r="R998" s="254"/>
      <c r="S998" s="254"/>
      <c r="T998" s="254"/>
      <c r="U998" s="254"/>
      <c r="V998" s="254"/>
      <c r="W998" s="254"/>
      <c r="X998" s="254"/>
      <c r="Y998" s="254"/>
    </row>
    <row r="999" spans="1:25" ht="15.75" customHeight="1">
      <c r="A999" s="254"/>
      <c r="B999" s="254"/>
      <c r="C999" s="254"/>
      <c r="D999" s="254"/>
      <c r="E999" s="254"/>
      <c r="F999" s="254"/>
      <c r="G999" s="254"/>
      <c r="H999" s="254"/>
      <c r="I999" s="254"/>
      <c r="J999" s="254"/>
      <c r="K999" s="254"/>
      <c r="L999" s="254"/>
      <c r="M999" s="254"/>
      <c r="N999" s="254"/>
      <c r="O999" s="254"/>
      <c r="P999" s="254"/>
      <c r="Q999" s="254"/>
      <c r="R999" s="254"/>
      <c r="S999" s="254"/>
      <c r="T999" s="254"/>
      <c r="U999" s="254"/>
      <c r="V999" s="254"/>
      <c r="W999" s="254"/>
      <c r="X999" s="254"/>
      <c r="Y999" s="254"/>
    </row>
    <row r="1000" spans="1:25" ht="15.75" customHeight="1">
      <c r="A1000" s="254"/>
      <c r="B1000" s="254"/>
      <c r="C1000" s="254"/>
      <c r="D1000" s="254"/>
      <c r="E1000" s="254"/>
      <c r="F1000" s="254"/>
      <c r="G1000" s="254"/>
      <c r="H1000" s="254"/>
      <c r="I1000" s="254"/>
      <c r="J1000" s="254"/>
      <c r="K1000" s="254"/>
      <c r="L1000" s="254"/>
      <c r="M1000" s="254"/>
      <c r="N1000" s="254"/>
      <c r="O1000" s="254"/>
      <c r="P1000" s="254"/>
      <c r="Q1000" s="254"/>
      <c r="R1000" s="254"/>
      <c r="S1000" s="254"/>
      <c r="T1000" s="254"/>
      <c r="U1000" s="254"/>
      <c r="V1000" s="254"/>
      <c r="W1000" s="254"/>
      <c r="X1000" s="254"/>
      <c r="Y1000" s="254"/>
    </row>
    <row r="1001" spans="1:25" ht="15.75" customHeight="1">
      <c r="A1001" s="254"/>
      <c r="B1001" s="254"/>
      <c r="C1001" s="254"/>
      <c r="D1001" s="254"/>
      <c r="E1001" s="254"/>
      <c r="F1001" s="254"/>
      <c r="G1001" s="254"/>
      <c r="H1001" s="254"/>
      <c r="I1001" s="254"/>
      <c r="J1001" s="254"/>
      <c r="K1001" s="254"/>
      <c r="L1001" s="254"/>
      <c r="M1001" s="254"/>
      <c r="N1001" s="254"/>
      <c r="O1001" s="254"/>
      <c r="P1001" s="254"/>
      <c r="Q1001" s="254"/>
      <c r="R1001" s="254"/>
      <c r="S1001" s="254"/>
      <c r="T1001" s="254"/>
      <c r="U1001" s="254"/>
      <c r="V1001" s="254"/>
      <c r="W1001" s="254"/>
      <c r="X1001" s="254"/>
      <c r="Y1001" s="254"/>
    </row>
    <row r="1002" spans="1:25" ht="15.75" customHeight="1">
      <c r="A1002" s="254"/>
      <c r="B1002" s="254"/>
      <c r="C1002" s="254"/>
      <c r="D1002" s="254"/>
      <c r="E1002" s="254"/>
      <c r="F1002" s="254"/>
      <c r="G1002" s="254"/>
      <c r="H1002" s="254"/>
      <c r="I1002" s="254"/>
      <c r="J1002" s="254"/>
      <c r="K1002" s="254"/>
      <c r="L1002" s="254"/>
      <c r="M1002" s="254"/>
      <c r="N1002" s="254"/>
      <c r="O1002" s="254"/>
      <c r="P1002" s="254"/>
      <c r="Q1002" s="254"/>
      <c r="R1002" s="254"/>
      <c r="S1002" s="254"/>
      <c r="T1002" s="254"/>
      <c r="U1002" s="254"/>
      <c r="V1002" s="254"/>
      <c r="W1002" s="254"/>
      <c r="X1002" s="254"/>
      <c r="Y1002" s="254"/>
    </row>
    <row r="1003" spans="1:25" ht="15.75" customHeight="1">
      <c r="A1003" s="254"/>
      <c r="B1003" s="254"/>
      <c r="C1003" s="254"/>
      <c r="D1003" s="254"/>
      <c r="E1003" s="254"/>
      <c r="F1003" s="254"/>
      <c r="G1003" s="254"/>
      <c r="H1003" s="254"/>
      <c r="I1003" s="254"/>
      <c r="J1003" s="254"/>
      <c r="K1003" s="254"/>
      <c r="L1003" s="254"/>
      <c r="M1003" s="254"/>
      <c r="N1003" s="254"/>
      <c r="O1003" s="254"/>
      <c r="P1003" s="254"/>
      <c r="Q1003" s="254"/>
      <c r="R1003" s="254"/>
      <c r="S1003" s="254"/>
      <c r="T1003" s="254"/>
      <c r="U1003" s="254"/>
      <c r="V1003" s="254"/>
      <c r="W1003" s="254"/>
      <c r="X1003" s="254"/>
      <c r="Y1003" s="254"/>
    </row>
    <row r="1004" spans="1:25" ht="15.75" customHeight="1">
      <c r="A1004" s="254"/>
      <c r="B1004" s="254"/>
      <c r="C1004" s="254"/>
      <c r="D1004" s="254"/>
      <c r="E1004" s="254"/>
      <c r="F1004" s="254"/>
      <c r="G1004" s="254"/>
      <c r="H1004" s="254"/>
      <c r="I1004" s="254"/>
      <c r="J1004" s="254"/>
      <c r="K1004" s="254"/>
      <c r="L1004" s="254"/>
      <c r="M1004" s="254"/>
      <c r="N1004" s="254"/>
      <c r="O1004" s="254"/>
      <c r="P1004" s="254"/>
      <c r="Q1004" s="254"/>
      <c r="R1004" s="254"/>
      <c r="S1004" s="254"/>
      <c r="T1004" s="254"/>
      <c r="U1004" s="254"/>
      <c r="V1004" s="254"/>
      <c r="W1004" s="254"/>
      <c r="X1004" s="254"/>
      <c r="Y1004" s="254"/>
    </row>
    <row r="1005" spans="1:25" ht="15.75" customHeight="1">
      <c r="A1005" s="254"/>
      <c r="B1005" s="254"/>
      <c r="C1005" s="254"/>
      <c r="D1005" s="254"/>
      <c r="E1005" s="254"/>
      <c r="F1005" s="254"/>
      <c r="G1005" s="254"/>
      <c r="H1005" s="254"/>
      <c r="I1005" s="254"/>
      <c r="J1005" s="254"/>
      <c r="K1005" s="254"/>
      <c r="L1005" s="254"/>
      <c r="M1005" s="254"/>
      <c r="N1005" s="254"/>
      <c r="O1005" s="254"/>
      <c r="P1005" s="254"/>
      <c r="Q1005" s="254"/>
      <c r="R1005" s="254"/>
      <c r="S1005" s="254"/>
      <c r="T1005" s="254"/>
      <c r="U1005" s="254"/>
      <c r="V1005" s="254"/>
      <c r="W1005" s="254"/>
      <c r="X1005" s="254"/>
      <c r="Y1005" s="254"/>
    </row>
  </sheetData>
  <pageMargins left="0.7" right="0.7" top="0.75" bottom="0.75" header="0" footer="0"/>
  <pageSetup orientation="landscape"/>
  <legacyDrawing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topLeftCell="E1" workbookViewId="0">
      <selection activeCell="H5" sqref="H5"/>
    </sheetView>
  </sheetViews>
  <sheetFormatPr defaultColWidth="11.19921875" defaultRowHeight="15" customHeight="1"/>
  <cols>
    <col min="7" max="7" width="17.296875" customWidth="1"/>
    <col min="8" max="8" width="12.19921875" customWidth="1"/>
  </cols>
  <sheetData>
    <row r="1" spans="1:26">
      <c r="A1" s="422" t="s">
        <v>360</v>
      </c>
      <c r="B1" s="423" t="s">
        <v>361</v>
      </c>
      <c r="C1" s="423" t="s">
        <v>362</v>
      </c>
      <c r="D1" s="423" t="s">
        <v>363</v>
      </c>
      <c r="E1" s="424" t="s">
        <v>364</v>
      </c>
      <c r="F1" s="221"/>
      <c r="G1" s="425"/>
      <c r="H1" s="425"/>
      <c r="I1" s="6"/>
      <c r="J1" s="6"/>
      <c r="K1" s="6"/>
      <c r="L1" s="6"/>
      <c r="M1" s="6"/>
      <c r="N1" s="6"/>
      <c r="O1" s="6"/>
      <c r="P1" s="6"/>
      <c r="Q1" s="6"/>
      <c r="R1" s="6"/>
      <c r="S1" s="6"/>
      <c r="T1" s="6"/>
      <c r="U1" s="6"/>
      <c r="V1" s="6"/>
      <c r="W1" s="6"/>
      <c r="X1" s="6"/>
      <c r="Y1" s="6"/>
      <c r="Z1" s="6"/>
    </row>
    <row r="2" spans="1:26">
      <c r="A2" s="426">
        <v>44539</v>
      </c>
      <c r="B2" s="427">
        <v>19550</v>
      </c>
      <c r="C2" s="427">
        <v>1463.54</v>
      </c>
      <c r="D2" s="428">
        <f t="shared" ref="D2:E2" si="0">LN(B2/B3)</f>
        <v>1.0282866955584056E-2</v>
      </c>
      <c r="E2" s="429">
        <f t="shared" si="0"/>
        <v>-3.0291476060347899E-3</v>
      </c>
      <c r="F2" s="206"/>
      <c r="G2" s="430" t="s">
        <v>162</v>
      </c>
      <c r="H2" s="431">
        <f>SLOPE(D2:D488,E2:E488)</f>
        <v>0.74372847945502807</v>
      </c>
      <c r="I2" s="15"/>
      <c r="J2" s="6"/>
      <c r="K2" s="6"/>
      <c r="L2" s="6"/>
      <c r="M2" s="6"/>
      <c r="N2" s="6"/>
      <c r="O2" s="6"/>
      <c r="P2" s="6"/>
      <c r="Q2" s="6"/>
      <c r="R2" s="6"/>
      <c r="S2" s="6"/>
      <c r="T2" s="6"/>
      <c r="U2" s="6"/>
      <c r="V2" s="6"/>
      <c r="W2" s="6"/>
      <c r="X2" s="6"/>
      <c r="Y2" s="6"/>
      <c r="Z2" s="6"/>
    </row>
    <row r="3" spans="1:26">
      <c r="A3" s="432">
        <v>44538</v>
      </c>
      <c r="B3" s="433">
        <v>19350</v>
      </c>
      <c r="C3" s="433">
        <v>1467.98</v>
      </c>
      <c r="D3" s="434">
        <f t="shared" ref="D3:E3" si="1">LN(B3/B4)</f>
        <v>2.5873235649509544E-3</v>
      </c>
      <c r="E3" s="435">
        <f t="shared" si="1"/>
        <v>1.0346395597794697E-2</v>
      </c>
      <c r="F3" s="206"/>
      <c r="G3" s="436" t="s">
        <v>165</v>
      </c>
      <c r="H3" s="437">
        <f>3.7%</f>
        <v>3.7000000000000005E-2</v>
      </c>
      <c r="I3" s="15"/>
      <c r="J3" s="6"/>
      <c r="K3" s="6"/>
      <c r="L3" s="6"/>
      <c r="M3" s="6"/>
      <c r="N3" s="6"/>
      <c r="O3" s="6"/>
      <c r="P3" s="6"/>
      <c r="Q3" s="6"/>
      <c r="R3" s="6"/>
      <c r="S3" s="6"/>
      <c r="T3" s="6"/>
      <c r="U3" s="6"/>
      <c r="V3" s="6"/>
      <c r="W3" s="6"/>
      <c r="X3" s="6"/>
      <c r="Y3" s="6"/>
      <c r="Z3" s="6"/>
    </row>
    <row r="4" spans="1:26">
      <c r="A4" s="432">
        <v>44537</v>
      </c>
      <c r="B4" s="433">
        <v>19300</v>
      </c>
      <c r="C4" s="433">
        <v>1452.87</v>
      </c>
      <c r="D4" s="434">
        <f t="shared" ref="D4:E4" si="2">LN(B4/B5)</f>
        <v>-1.5424470325631639E-2</v>
      </c>
      <c r="E4" s="435">
        <f t="shared" si="2"/>
        <v>4.2074250587867791E-3</v>
      </c>
      <c r="F4" s="206"/>
      <c r="G4" s="436" t="s">
        <v>441</v>
      </c>
      <c r="H4" s="437">
        <v>8.2100000000000006E-2</v>
      </c>
      <c r="I4" s="15"/>
      <c r="J4" s="6"/>
      <c r="K4" s="15"/>
      <c r="L4" s="6"/>
      <c r="M4" s="6"/>
      <c r="N4" s="6"/>
      <c r="O4" s="6"/>
      <c r="P4" s="6"/>
      <c r="Q4" s="6"/>
      <c r="R4" s="6"/>
      <c r="S4" s="6"/>
      <c r="T4" s="6"/>
      <c r="U4" s="6"/>
      <c r="V4" s="6"/>
      <c r="W4" s="6"/>
      <c r="X4" s="6"/>
      <c r="Y4" s="6"/>
      <c r="Z4" s="6"/>
    </row>
    <row r="5" spans="1:26">
      <c r="A5" s="432">
        <v>44536</v>
      </c>
      <c r="B5" s="433">
        <v>19600</v>
      </c>
      <c r="C5" s="433">
        <v>1446.77</v>
      </c>
      <c r="D5" s="434">
        <f t="shared" ref="D5:E5" si="3">LN(B5/B6)</f>
        <v>3.1090587070031182E-2</v>
      </c>
      <c r="E5" s="435">
        <f t="shared" si="3"/>
        <v>2.3207991815382346E-2</v>
      </c>
      <c r="F5" s="206"/>
      <c r="G5" s="436" t="s">
        <v>169</v>
      </c>
      <c r="H5" s="437">
        <f>(AVERAGE(BS!G21:K21)+AVERAGE(BS!G19:K19))/((SUM(BS!G17,BS!G25)+SUM(BS!H17,BS!H25)+SUM(BS!I17,BS!I25)+SUM(BS!J17,BS!J25)+SUM(BS!K17,BS!K25))/5)</f>
        <v>0.57223052843325894</v>
      </c>
      <c r="I5" s="15"/>
      <c r="J5" s="6"/>
      <c r="K5" s="15"/>
      <c r="L5" s="6"/>
      <c r="M5" s="6"/>
      <c r="N5" s="6"/>
      <c r="O5" s="6"/>
      <c r="P5" s="6"/>
      <c r="Q5" s="6"/>
      <c r="R5" s="6"/>
      <c r="S5" s="6"/>
      <c r="T5" s="6"/>
      <c r="U5" s="6"/>
      <c r="V5" s="6"/>
      <c r="W5" s="6"/>
      <c r="X5" s="6"/>
      <c r="Y5" s="6"/>
      <c r="Z5" s="6"/>
    </row>
    <row r="6" spans="1:26">
      <c r="A6" s="432">
        <v>44535</v>
      </c>
      <c r="B6" s="433">
        <v>19000</v>
      </c>
      <c r="C6" s="433">
        <v>1413.58</v>
      </c>
      <c r="D6" s="434">
        <f t="shared" ref="D6:E6" si="4">LN(B6/B7)</f>
        <v>-4.6280752564006225E-2</v>
      </c>
      <c r="E6" s="435">
        <f t="shared" si="4"/>
        <v>-2.082052177897949E-2</v>
      </c>
      <c r="F6" s="206"/>
      <c r="G6" s="436" t="s">
        <v>170</v>
      </c>
      <c r="H6" s="437">
        <f>1-H5</f>
        <v>0.42776947156674106</v>
      </c>
      <c r="I6" s="15"/>
      <c r="J6" s="6"/>
      <c r="K6" s="15"/>
      <c r="L6" s="6"/>
      <c r="M6" s="6"/>
      <c r="N6" s="6"/>
      <c r="O6" s="6"/>
      <c r="P6" s="6"/>
      <c r="Q6" s="6"/>
      <c r="R6" s="6"/>
      <c r="S6" s="6"/>
      <c r="T6" s="6"/>
      <c r="U6" s="6"/>
      <c r="V6" s="6"/>
      <c r="W6" s="6"/>
      <c r="X6" s="6"/>
      <c r="Y6" s="6"/>
      <c r="Z6" s="6"/>
    </row>
    <row r="7" spans="1:26">
      <c r="A7" s="432">
        <v>44532</v>
      </c>
      <c r="B7" s="433">
        <v>19900</v>
      </c>
      <c r="C7" s="433">
        <v>1443.32</v>
      </c>
      <c r="D7" s="434">
        <f t="shared" ref="D7:E7" si="5">LN(B7/B8)</f>
        <v>-2.481516911972402E-2</v>
      </c>
      <c r="E7" s="435">
        <f t="shared" si="5"/>
        <v>-2.6480249068077378E-2</v>
      </c>
      <c r="F7" s="206"/>
      <c r="G7" s="436" t="s">
        <v>171</v>
      </c>
      <c r="H7" s="438">
        <v>7.0000000000000007E-2</v>
      </c>
      <c r="I7" s="15"/>
      <c r="J7" s="6"/>
      <c r="K7" s="15"/>
      <c r="L7" s="6"/>
      <c r="M7" s="6"/>
      <c r="N7" s="6"/>
      <c r="O7" s="6"/>
      <c r="P7" s="6"/>
      <c r="Q7" s="6"/>
      <c r="R7" s="6"/>
      <c r="S7" s="6"/>
      <c r="T7" s="6"/>
      <c r="U7" s="6"/>
      <c r="V7" s="6"/>
      <c r="W7" s="6"/>
      <c r="X7" s="6"/>
      <c r="Y7" s="6"/>
      <c r="Z7" s="6"/>
    </row>
    <row r="8" spans="1:26">
      <c r="A8" s="432">
        <v>44531</v>
      </c>
      <c r="B8" s="433">
        <v>20400</v>
      </c>
      <c r="C8" s="433">
        <v>1482.05</v>
      </c>
      <c r="D8" s="434">
        <f t="shared" ref="D8:E8" si="6">LN(B8/B9)</f>
        <v>1.980262729617973E-2</v>
      </c>
      <c r="E8" s="435">
        <f t="shared" si="6"/>
        <v>-2.1164457017933446E-3</v>
      </c>
      <c r="F8" s="206"/>
      <c r="G8" s="436" t="s">
        <v>172</v>
      </c>
      <c r="H8" s="439">
        <f>H3+H2*H4</f>
        <v>9.8060108163257817E-2</v>
      </c>
      <c r="I8" s="15"/>
      <c r="J8" s="6"/>
      <c r="K8" s="15"/>
      <c r="L8" s="6"/>
      <c r="M8" s="6"/>
      <c r="N8" s="6"/>
      <c r="O8" s="6"/>
      <c r="P8" s="6"/>
      <c r="Q8" s="6"/>
      <c r="R8" s="6"/>
      <c r="S8" s="6"/>
      <c r="T8" s="6"/>
      <c r="U8" s="6"/>
      <c r="V8" s="6"/>
      <c r="W8" s="6"/>
      <c r="X8" s="6"/>
      <c r="Y8" s="6"/>
      <c r="Z8" s="6"/>
    </row>
    <row r="9" spans="1:26">
      <c r="A9" s="440">
        <v>44530</v>
      </c>
      <c r="B9" s="433">
        <v>20000</v>
      </c>
      <c r="C9" s="433">
        <v>1485.19</v>
      </c>
      <c r="D9" s="434">
        <f t="shared" ref="D9:E9" si="7">LN(B9/B10)</f>
        <v>0</v>
      </c>
      <c r="E9" s="435">
        <f t="shared" si="7"/>
        <v>4.5552323818769617E-3</v>
      </c>
      <c r="F9" s="206"/>
      <c r="G9" s="436" t="s">
        <v>173</v>
      </c>
      <c r="H9" s="439">
        <f>9%</f>
        <v>0.09</v>
      </c>
      <c r="I9" s="15"/>
      <c r="J9" s="6"/>
      <c r="K9" s="15"/>
      <c r="L9" s="6"/>
      <c r="M9" s="6"/>
      <c r="N9" s="6"/>
      <c r="O9" s="6"/>
      <c r="P9" s="6"/>
      <c r="Q9" s="6"/>
      <c r="R9" s="6"/>
      <c r="S9" s="6"/>
      <c r="T9" s="6"/>
      <c r="U9" s="6"/>
      <c r="V9" s="6"/>
      <c r="W9" s="6"/>
      <c r="X9" s="6"/>
      <c r="Y9" s="6"/>
      <c r="Z9" s="6"/>
    </row>
    <row r="10" spans="1:26">
      <c r="A10" s="440">
        <v>44529</v>
      </c>
      <c r="B10" s="433">
        <v>20000</v>
      </c>
      <c r="C10" s="433">
        <v>1478.44</v>
      </c>
      <c r="D10" s="434">
        <f t="shared" ref="D10:E10" si="8">LN(B10/B11)</f>
        <v>0</v>
      </c>
      <c r="E10" s="435">
        <f t="shared" si="8"/>
        <v>-4.3195445257808926E-3</v>
      </c>
      <c r="F10" s="206"/>
      <c r="G10" s="441" t="s">
        <v>160</v>
      </c>
      <c r="H10" s="442">
        <f>H8*H6+H9*(1-H7)*H5</f>
        <v>8.9842815880638027E-2</v>
      </c>
      <c r="I10" s="15"/>
      <c r="J10" s="6"/>
      <c r="K10" s="15"/>
      <c r="L10" s="6"/>
      <c r="M10" s="6"/>
      <c r="N10" s="6"/>
      <c r="O10" s="6"/>
      <c r="P10" s="6"/>
      <c r="Q10" s="6"/>
      <c r="R10" s="6"/>
      <c r="S10" s="6"/>
      <c r="T10" s="6"/>
      <c r="U10" s="6"/>
      <c r="V10" s="6"/>
      <c r="W10" s="6"/>
      <c r="X10" s="6"/>
      <c r="Y10" s="6"/>
      <c r="Z10" s="6"/>
    </row>
    <row r="11" spans="1:26">
      <c r="A11" s="440">
        <v>44528</v>
      </c>
      <c r="B11" s="433">
        <v>20000</v>
      </c>
      <c r="C11" s="433">
        <v>1484.84</v>
      </c>
      <c r="D11" s="434">
        <f t="shared" ref="D11:E11" si="9">LN(B11/B12)</f>
        <v>7.5282664207915878E-3</v>
      </c>
      <c r="E11" s="435">
        <f t="shared" si="9"/>
        <v>-5.5005897840017803E-3</v>
      </c>
      <c r="F11" s="221"/>
      <c r="I11" s="6"/>
      <c r="J11" s="6"/>
      <c r="K11" s="6"/>
      <c r="L11" s="6"/>
      <c r="M11" s="6"/>
      <c r="N11" s="6"/>
      <c r="O11" s="6"/>
      <c r="P11" s="6"/>
      <c r="Q11" s="6"/>
      <c r="R11" s="6"/>
      <c r="S11" s="6"/>
      <c r="T11" s="6"/>
      <c r="U11" s="6"/>
      <c r="V11" s="6"/>
      <c r="W11" s="6"/>
      <c r="X11" s="6"/>
      <c r="Y11" s="6"/>
      <c r="Z11" s="6"/>
    </row>
    <row r="12" spans="1:26">
      <c r="A12" s="440">
        <v>44525</v>
      </c>
      <c r="B12" s="433">
        <v>19850</v>
      </c>
      <c r="C12" s="433">
        <v>1493.03</v>
      </c>
      <c r="D12" s="434">
        <f t="shared" ref="D12:E12" si="10">LN(B12/B13)</f>
        <v>7.5853713892565641E-3</v>
      </c>
      <c r="E12" s="435">
        <f t="shared" si="10"/>
        <v>-5.1973502345238638E-3</v>
      </c>
      <c r="F12" s="221"/>
      <c r="G12" s="222"/>
      <c r="H12" s="222"/>
      <c r="I12" s="6"/>
      <c r="J12" s="6"/>
      <c r="K12" s="6"/>
      <c r="L12" s="6"/>
      <c r="M12" s="6"/>
      <c r="N12" s="6"/>
      <c r="O12" s="6"/>
      <c r="P12" s="6"/>
      <c r="Q12" s="6"/>
      <c r="R12" s="6"/>
      <c r="S12" s="6"/>
      <c r="T12" s="6"/>
      <c r="U12" s="6"/>
      <c r="V12" s="6"/>
      <c r="W12" s="6"/>
      <c r="X12" s="6"/>
      <c r="Y12" s="6"/>
      <c r="Z12" s="6"/>
    </row>
    <row r="13" spans="1:26">
      <c r="A13" s="440">
        <v>44524</v>
      </c>
      <c r="B13" s="433">
        <v>19700</v>
      </c>
      <c r="C13" s="433">
        <v>1500.81</v>
      </c>
      <c r="D13" s="434">
        <f t="shared" ref="D13:E13" si="11">LN(B13/B14)</f>
        <v>-1.2610507591929696E-2</v>
      </c>
      <c r="E13" s="435">
        <f t="shared" si="11"/>
        <v>7.9875193876242055E-3</v>
      </c>
      <c r="F13" s="221"/>
      <c r="G13" s="222"/>
      <c r="H13" s="222"/>
      <c r="I13" s="6"/>
      <c r="J13" s="6"/>
      <c r="K13" s="6"/>
      <c r="L13" s="6"/>
      <c r="M13" s="6"/>
      <c r="N13" s="6"/>
      <c r="O13" s="6"/>
      <c r="P13" s="6"/>
      <c r="Q13" s="6"/>
      <c r="R13" s="6"/>
      <c r="S13" s="6"/>
      <c r="T13" s="6"/>
      <c r="U13" s="6"/>
      <c r="V13" s="6"/>
      <c r="W13" s="6"/>
      <c r="X13" s="6"/>
      <c r="Y13" s="6"/>
      <c r="Z13" s="6"/>
    </row>
    <row r="14" spans="1:26">
      <c r="A14" s="440">
        <v>44523</v>
      </c>
      <c r="B14" s="433">
        <v>19950</v>
      </c>
      <c r="C14" s="433">
        <v>1488.87</v>
      </c>
      <c r="D14" s="434">
        <f t="shared" ref="D14:E14" si="12">LN(B14/B15)</f>
        <v>-1.2453461071286625E-2</v>
      </c>
      <c r="E14" s="435">
        <f t="shared" si="12"/>
        <v>1.7097791616498756E-2</v>
      </c>
      <c r="F14" s="221"/>
      <c r="G14" s="222"/>
      <c r="H14" s="222"/>
      <c r="I14" s="6"/>
      <c r="J14" s="6"/>
      <c r="K14" s="6"/>
      <c r="L14" s="6"/>
      <c r="M14" s="6"/>
      <c r="N14" s="6"/>
      <c r="O14" s="6"/>
      <c r="P14" s="6"/>
      <c r="Q14" s="6"/>
      <c r="R14" s="6"/>
      <c r="S14" s="6"/>
      <c r="T14" s="6"/>
      <c r="U14" s="6"/>
      <c r="V14" s="6"/>
      <c r="W14" s="6"/>
      <c r="X14" s="6"/>
      <c r="Y14" s="6"/>
      <c r="Z14" s="6"/>
    </row>
    <row r="15" spans="1:26">
      <c r="A15" s="440">
        <v>44522</v>
      </c>
      <c r="B15" s="433">
        <v>20200</v>
      </c>
      <c r="C15" s="433">
        <v>1463.63</v>
      </c>
      <c r="D15" s="434">
        <f t="shared" ref="D15:E15" si="13">LN(B15/B16)</f>
        <v>4.0409538337876701E-2</v>
      </c>
      <c r="E15" s="435">
        <f t="shared" si="13"/>
        <v>1.1254447379531208E-2</v>
      </c>
      <c r="F15" s="221"/>
      <c r="G15" s="222"/>
      <c r="H15" s="222"/>
      <c r="I15" s="6"/>
      <c r="J15" s="6"/>
      <c r="K15" s="6"/>
      <c r="L15" s="6"/>
      <c r="M15" s="6"/>
      <c r="N15" s="6"/>
      <c r="O15" s="6"/>
      <c r="P15" s="6"/>
      <c r="Q15" s="6"/>
      <c r="R15" s="6"/>
      <c r="S15" s="6"/>
      <c r="T15" s="6"/>
      <c r="U15" s="6"/>
      <c r="V15" s="6"/>
      <c r="W15" s="6"/>
      <c r="X15" s="6"/>
      <c r="Y15" s="6"/>
      <c r="Z15" s="6"/>
    </row>
    <row r="16" spans="1:26">
      <c r="A16" s="440">
        <v>44521</v>
      </c>
      <c r="B16" s="433">
        <v>19400</v>
      </c>
      <c r="C16" s="433">
        <v>1447.25</v>
      </c>
      <c r="D16" s="434">
        <f t="shared" ref="D16:E16" si="14">LN(B16/B17)</f>
        <v>-5.5151820075080099E-2</v>
      </c>
      <c r="E16" s="435">
        <f t="shared" si="14"/>
        <v>-3.5177302104633362E-3</v>
      </c>
      <c r="F16" s="221"/>
      <c r="G16" s="222"/>
      <c r="H16" s="222"/>
      <c r="I16" s="6"/>
      <c r="J16" s="6"/>
      <c r="K16" s="6"/>
      <c r="L16" s="6"/>
      <c r="M16" s="6"/>
      <c r="N16" s="6"/>
      <c r="O16" s="6"/>
      <c r="P16" s="6"/>
      <c r="Q16" s="6"/>
      <c r="R16" s="6"/>
      <c r="S16" s="6"/>
      <c r="T16" s="6"/>
      <c r="U16" s="6"/>
      <c r="V16" s="6"/>
      <c r="W16" s="6"/>
      <c r="X16" s="6"/>
      <c r="Y16" s="6"/>
      <c r="Z16" s="6"/>
    </row>
    <row r="17" spans="1:26">
      <c r="A17" s="440">
        <v>44518</v>
      </c>
      <c r="B17" s="433">
        <v>20500</v>
      </c>
      <c r="C17" s="433">
        <v>1452.35</v>
      </c>
      <c r="D17" s="434">
        <f t="shared" ref="D17:E17" si="15">LN(B17/B18)</f>
        <v>-4.2966035883443249E-2</v>
      </c>
      <c r="E17" s="435">
        <f t="shared" si="15"/>
        <v>-1.1963813657157032E-2</v>
      </c>
      <c r="F17" s="221"/>
      <c r="G17" s="222"/>
      <c r="H17" s="222"/>
      <c r="I17" s="6"/>
      <c r="J17" s="6"/>
      <c r="K17" s="6"/>
      <c r="L17" s="6"/>
      <c r="M17" s="6"/>
      <c r="N17" s="6"/>
      <c r="O17" s="6"/>
      <c r="P17" s="6"/>
      <c r="Q17" s="6"/>
      <c r="R17" s="6"/>
      <c r="S17" s="6"/>
      <c r="T17" s="6"/>
      <c r="U17" s="6"/>
      <c r="V17" s="6"/>
      <c r="W17" s="6"/>
      <c r="X17" s="6"/>
      <c r="Y17" s="6"/>
      <c r="Z17" s="6"/>
    </row>
    <row r="18" spans="1:26">
      <c r="A18" s="440">
        <v>44517</v>
      </c>
      <c r="B18" s="433">
        <v>21400</v>
      </c>
      <c r="C18" s="433">
        <v>1469.83</v>
      </c>
      <c r="D18" s="434">
        <f t="shared" ref="D18:E18" si="16">LN(B18/B19)</f>
        <v>0</v>
      </c>
      <c r="E18" s="435">
        <f t="shared" si="16"/>
        <v>-4.0873471531497679E-3</v>
      </c>
      <c r="F18" s="221"/>
      <c r="G18" s="222"/>
      <c r="H18" s="222"/>
      <c r="I18" s="6"/>
      <c r="J18" s="6"/>
      <c r="K18" s="6"/>
      <c r="L18" s="6"/>
      <c r="M18" s="6"/>
      <c r="N18" s="6"/>
      <c r="O18" s="6"/>
      <c r="P18" s="6"/>
      <c r="Q18" s="6"/>
      <c r="R18" s="6"/>
      <c r="S18" s="6"/>
      <c r="T18" s="6"/>
      <c r="U18" s="6"/>
      <c r="V18" s="6"/>
      <c r="W18" s="6"/>
      <c r="X18" s="6"/>
      <c r="Y18" s="6"/>
      <c r="Z18" s="6"/>
    </row>
    <row r="19" spans="1:26">
      <c r="A19" s="440">
        <v>44516</v>
      </c>
      <c r="B19" s="433">
        <v>21400</v>
      </c>
      <c r="C19" s="433">
        <v>1475.85</v>
      </c>
      <c r="D19" s="434">
        <f t="shared" ref="D19:E19" si="17">LN(B19/B20)</f>
        <v>0</v>
      </c>
      <c r="E19" s="435">
        <f t="shared" si="17"/>
        <v>6.3895809271168171E-3</v>
      </c>
      <c r="F19" s="221"/>
      <c r="G19" s="222"/>
      <c r="H19" s="222"/>
      <c r="I19" s="6"/>
      <c r="J19" s="6"/>
      <c r="K19" s="6"/>
      <c r="L19" s="6"/>
      <c r="M19" s="6"/>
      <c r="N19" s="6"/>
      <c r="O19" s="6"/>
      <c r="P19" s="6"/>
      <c r="Q19" s="6"/>
      <c r="R19" s="6"/>
      <c r="S19" s="6"/>
      <c r="T19" s="6"/>
      <c r="U19" s="6"/>
      <c r="V19" s="6"/>
      <c r="W19" s="6"/>
      <c r="X19" s="6"/>
      <c r="Y19" s="6"/>
      <c r="Z19" s="6"/>
    </row>
    <row r="20" spans="1:26">
      <c r="A20" s="440">
        <v>44515</v>
      </c>
      <c r="B20" s="433">
        <v>21400</v>
      </c>
      <c r="C20" s="433">
        <v>1466.45</v>
      </c>
      <c r="D20" s="434">
        <f t="shared" ref="D20:E20" si="18">LN(B20/B21)</f>
        <v>-3.2186686495901333E-2</v>
      </c>
      <c r="E20" s="435">
        <f t="shared" si="18"/>
        <v>-6.8773164215743688E-3</v>
      </c>
      <c r="F20" s="221"/>
      <c r="G20" s="222"/>
      <c r="H20" s="222"/>
      <c r="I20" s="6"/>
      <c r="J20" s="6"/>
      <c r="K20" s="6"/>
      <c r="L20" s="6"/>
      <c r="M20" s="6"/>
      <c r="N20" s="6"/>
      <c r="O20" s="6"/>
      <c r="P20" s="6"/>
      <c r="Q20" s="6"/>
      <c r="R20" s="6"/>
      <c r="S20" s="6"/>
      <c r="T20" s="6"/>
      <c r="U20" s="6"/>
      <c r="V20" s="6"/>
      <c r="W20" s="6"/>
      <c r="X20" s="6"/>
      <c r="Y20" s="6"/>
      <c r="Z20" s="6"/>
    </row>
    <row r="21" spans="1:26">
      <c r="A21" s="440">
        <v>44514</v>
      </c>
      <c r="B21" s="433">
        <v>22100</v>
      </c>
      <c r="C21" s="433">
        <v>1476.57</v>
      </c>
      <c r="D21" s="434">
        <f t="shared" ref="D21:E21" si="19">LN(B21/B22)</f>
        <v>-4.5146803545265827E-3</v>
      </c>
      <c r="E21" s="435">
        <f t="shared" si="19"/>
        <v>2.1695365025526966E-3</v>
      </c>
      <c r="F21" s="221"/>
      <c r="G21" s="222"/>
      <c r="H21" s="222"/>
      <c r="I21" s="6"/>
      <c r="J21" s="6"/>
      <c r="K21" s="6"/>
      <c r="L21" s="6"/>
      <c r="M21" s="6"/>
      <c r="N21" s="6"/>
      <c r="O21" s="6"/>
      <c r="P21" s="6"/>
      <c r="Q21" s="6"/>
      <c r="R21" s="6"/>
      <c r="S21" s="6"/>
      <c r="T21" s="6"/>
      <c r="U21" s="6"/>
      <c r="V21" s="6"/>
      <c r="W21" s="6"/>
      <c r="X21" s="6"/>
      <c r="Y21" s="6"/>
      <c r="Z21" s="6"/>
    </row>
    <row r="22" spans="1:26">
      <c r="A22" s="440">
        <v>44511</v>
      </c>
      <c r="B22" s="433">
        <v>22200</v>
      </c>
      <c r="C22" s="433">
        <v>1473.37</v>
      </c>
      <c r="D22" s="434">
        <f t="shared" ref="D22:E22" si="20">LN(B22/B23)</f>
        <v>0</v>
      </c>
      <c r="E22" s="435">
        <f t="shared" si="20"/>
        <v>7.5075632283987913E-3</v>
      </c>
      <c r="F22" s="221"/>
      <c r="G22" s="222"/>
      <c r="H22" s="222"/>
      <c r="I22" s="6"/>
      <c r="J22" s="6"/>
      <c r="K22" s="6"/>
      <c r="L22" s="6"/>
      <c r="M22" s="6"/>
      <c r="N22" s="6"/>
      <c r="O22" s="6"/>
      <c r="P22" s="6"/>
      <c r="Q22" s="6"/>
      <c r="R22" s="6"/>
      <c r="S22" s="6"/>
      <c r="T22" s="6"/>
      <c r="U22" s="6"/>
      <c r="V22" s="6"/>
      <c r="W22" s="6"/>
      <c r="X22" s="6"/>
      <c r="Y22" s="6"/>
      <c r="Z22" s="6"/>
    </row>
    <row r="23" spans="1:26">
      <c r="A23" s="440">
        <v>44510</v>
      </c>
      <c r="B23" s="433">
        <v>22200</v>
      </c>
      <c r="C23" s="433">
        <v>1462.35</v>
      </c>
      <c r="D23" s="434">
        <f t="shared" ref="D23:E23" si="21">LN(B23/B24)</f>
        <v>6.7546042201526393E-2</v>
      </c>
      <c r="E23" s="435">
        <f t="shared" si="21"/>
        <v>-1.824163491724631E-3</v>
      </c>
      <c r="F23" s="221"/>
      <c r="G23" s="222"/>
      <c r="H23" s="222"/>
      <c r="I23" s="6"/>
      <c r="J23" s="6"/>
      <c r="K23" s="6"/>
      <c r="L23" s="6"/>
      <c r="M23" s="6"/>
      <c r="N23" s="6"/>
      <c r="O23" s="6"/>
      <c r="P23" s="6"/>
      <c r="Q23" s="6"/>
      <c r="R23" s="6"/>
      <c r="S23" s="6"/>
      <c r="T23" s="6"/>
      <c r="U23" s="6"/>
      <c r="V23" s="6"/>
      <c r="W23" s="6"/>
      <c r="X23" s="6"/>
      <c r="Y23" s="6"/>
      <c r="Z23" s="6"/>
    </row>
    <row r="24" spans="1:26">
      <c r="A24" s="432">
        <v>44509</v>
      </c>
      <c r="B24" s="433">
        <v>20750</v>
      </c>
      <c r="C24" s="433">
        <v>1465.02</v>
      </c>
      <c r="D24" s="434">
        <f t="shared" ref="D24:E24" si="22">LN(B24/B25)</f>
        <v>-4.8077015681031203E-3</v>
      </c>
      <c r="E24" s="435">
        <f t="shared" si="22"/>
        <v>2.4055886838140585E-3</v>
      </c>
      <c r="F24" s="221"/>
      <c r="G24" s="222"/>
      <c r="H24" s="222"/>
      <c r="I24" s="6"/>
      <c r="J24" s="6"/>
      <c r="K24" s="6"/>
      <c r="L24" s="6"/>
      <c r="M24" s="6"/>
      <c r="N24" s="6"/>
      <c r="O24" s="6"/>
      <c r="P24" s="6"/>
      <c r="Q24" s="6"/>
      <c r="R24" s="6"/>
      <c r="S24" s="6"/>
      <c r="T24" s="6"/>
      <c r="U24" s="6"/>
      <c r="V24" s="6"/>
      <c r="W24" s="6"/>
      <c r="X24" s="6"/>
      <c r="Y24" s="6"/>
      <c r="Z24" s="6"/>
    </row>
    <row r="25" spans="1:26">
      <c r="A25" s="432">
        <v>44508</v>
      </c>
      <c r="B25" s="433">
        <v>20850</v>
      </c>
      <c r="C25" s="433">
        <v>1461.5</v>
      </c>
      <c r="D25" s="434">
        <f t="shared" ref="D25:E25" si="23">LN(B25/B26)</f>
        <v>2.4273036356206552E-2</v>
      </c>
      <c r="E25" s="435">
        <f t="shared" si="23"/>
        <v>-4.1446661836916192E-3</v>
      </c>
      <c r="F25" s="221"/>
      <c r="G25" s="222"/>
      <c r="H25" s="222"/>
      <c r="I25" s="6"/>
      <c r="J25" s="6"/>
      <c r="K25" s="6"/>
      <c r="L25" s="6"/>
      <c r="M25" s="6"/>
      <c r="N25" s="6"/>
      <c r="O25" s="6"/>
      <c r="P25" s="6"/>
      <c r="Q25" s="6"/>
      <c r="R25" s="6"/>
      <c r="S25" s="6"/>
      <c r="T25" s="6"/>
      <c r="U25" s="6"/>
      <c r="V25" s="6"/>
      <c r="W25" s="6"/>
      <c r="X25" s="6"/>
      <c r="Y25" s="6"/>
      <c r="Z25" s="6"/>
    </row>
    <row r="26" spans="1:26">
      <c r="A26" s="432">
        <v>44507</v>
      </c>
      <c r="B26" s="433">
        <v>20350</v>
      </c>
      <c r="C26" s="433">
        <v>1467.57</v>
      </c>
      <c r="D26" s="434">
        <f t="shared" ref="D26:E26" si="24">LN(B26/B27)</f>
        <v>1.2361096823573926E-2</v>
      </c>
      <c r="E26" s="435">
        <f t="shared" si="24"/>
        <v>7.5648085849562563E-3</v>
      </c>
      <c r="F26" s="221"/>
      <c r="G26" s="222"/>
      <c r="H26" s="222"/>
      <c r="I26" s="6"/>
      <c r="J26" s="6"/>
      <c r="K26" s="6"/>
      <c r="L26" s="6"/>
      <c r="M26" s="6"/>
      <c r="N26" s="6"/>
      <c r="O26" s="6"/>
      <c r="P26" s="6"/>
      <c r="Q26" s="6"/>
      <c r="R26" s="6"/>
      <c r="S26" s="6"/>
      <c r="T26" s="6"/>
      <c r="U26" s="6"/>
      <c r="V26" s="6"/>
      <c r="W26" s="6"/>
      <c r="X26" s="6"/>
      <c r="Y26" s="6"/>
      <c r="Z26" s="6"/>
    </row>
    <row r="27" spans="1:26">
      <c r="A27" s="432">
        <v>44504</v>
      </c>
      <c r="B27" s="433">
        <v>20100</v>
      </c>
      <c r="C27" s="433">
        <v>1456.51</v>
      </c>
      <c r="D27" s="434">
        <f t="shared" ref="D27:E27" si="25">LN(B27/B28)</f>
        <v>1.5037877364540502E-2</v>
      </c>
      <c r="E27" s="435">
        <f t="shared" si="25"/>
        <v>5.6250901373022313E-3</v>
      </c>
      <c r="F27" s="221"/>
      <c r="G27" s="222"/>
      <c r="H27" s="222"/>
      <c r="I27" s="6"/>
      <c r="J27" s="6"/>
      <c r="K27" s="6"/>
      <c r="L27" s="6"/>
      <c r="M27" s="6"/>
      <c r="N27" s="6"/>
      <c r="O27" s="6"/>
      <c r="P27" s="6"/>
      <c r="Q27" s="6"/>
      <c r="R27" s="6"/>
      <c r="S27" s="6"/>
      <c r="T27" s="6"/>
      <c r="U27" s="6"/>
      <c r="V27" s="6"/>
      <c r="W27" s="6"/>
      <c r="X27" s="6"/>
      <c r="Y27" s="6"/>
      <c r="Z27" s="6"/>
    </row>
    <row r="28" spans="1:26">
      <c r="A28" s="432">
        <v>44503</v>
      </c>
      <c r="B28" s="433">
        <v>19800</v>
      </c>
      <c r="C28" s="433">
        <v>1448.34</v>
      </c>
      <c r="D28" s="434">
        <f t="shared" ref="D28:E28" si="26">LN(B28/B29)</f>
        <v>5.0633019565466345E-3</v>
      </c>
      <c r="E28" s="435">
        <f t="shared" si="26"/>
        <v>2.7932979056126536E-3</v>
      </c>
      <c r="F28" s="221"/>
      <c r="G28" s="222"/>
      <c r="H28" s="222"/>
      <c r="I28" s="6"/>
      <c r="J28" s="6"/>
      <c r="K28" s="6"/>
      <c r="L28" s="6"/>
      <c r="M28" s="6"/>
      <c r="N28" s="6"/>
      <c r="O28" s="6"/>
      <c r="P28" s="6"/>
      <c r="Q28" s="6"/>
      <c r="R28" s="6"/>
      <c r="S28" s="6"/>
      <c r="T28" s="6"/>
      <c r="U28" s="6"/>
      <c r="V28" s="6"/>
      <c r="W28" s="6"/>
      <c r="X28" s="6"/>
      <c r="Y28" s="6"/>
      <c r="Z28" s="6"/>
    </row>
    <row r="29" spans="1:26">
      <c r="A29" s="432">
        <v>44502</v>
      </c>
      <c r="B29" s="433">
        <v>19700</v>
      </c>
      <c r="C29" s="433">
        <v>1444.3</v>
      </c>
      <c r="D29" s="434">
        <f t="shared" ref="D29:E29" si="27">LN(B29/B30)</f>
        <v>-3.4916265106227876E-2</v>
      </c>
      <c r="E29" s="435">
        <f t="shared" si="27"/>
        <v>-5.6338955134137333E-3</v>
      </c>
      <c r="F29" s="221"/>
      <c r="G29" s="222"/>
      <c r="H29" s="222"/>
      <c r="I29" s="6"/>
      <c r="J29" s="6"/>
      <c r="K29" s="6"/>
      <c r="L29" s="6"/>
      <c r="M29" s="6"/>
      <c r="N29" s="6"/>
      <c r="O29" s="6"/>
      <c r="P29" s="6"/>
      <c r="Q29" s="6"/>
      <c r="R29" s="6"/>
      <c r="S29" s="6"/>
      <c r="T29" s="6"/>
      <c r="U29" s="6"/>
      <c r="V29" s="6"/>
      <c r="W29" s="6"/>
      <c r="X29" s="6"/>
      <c r="Y29" s="6"/>
      <c r="Z29" s="6"/>
    </row>
    <row r="30" spans="1:26">
      <c r="A30" s="432">
        <v>44501</v>
      </c>
      <c r="B30" s="433">
        <v>20400</v>
      </c>
      <c r="C30" s="433">
        <v>1452.46</v>
      </c>
      <c r="D30" s="434">
        <f t="shared" ref="D30:E30" si="28">LN(B30/B31)</f>
        <v>0</v>
      </c>
      <c r="E30" s="435">
        <f t="shared" si="28"/>
        <v>9.3310907614654742E-3</v>
      </c>
      <c r="F30" s="221"/>
      <c r="G30" s="222"/>
      <c r="H30" s="222"/>
      <c r="I30" s="6"/>
      <c r="J30" s="6"/>
      <c r="K30" s="6"/>
      <c r="L30" s="6"/>
      <c r="M30" s="6"/>
      <c r="N30" s="6"/>
      <c r="O30" s="6"/>
      <c r="P30" s="6"/>
      <c r="Q30" s="6"/>
      <c r="R30" s="6"/>
      <c r="S30" s="6"/>
      <c r="T30" s="6"/>
      <c r="U30" s="6"/>
      <c r="V30" s="6"/>
      <c r="W30" s="6"/>
      <c r="X30" s="6"/>
      <c r="Y30" s="6"/>
      <c r="Z30" s="6"/>
    </row>
    <row r="31" spans="1:26">
      <c r="A31" s="440">
        <v>44500</v>
      </c>
      <c r="B31" s="433">
        <v>20400</v>
      </c>
      <c r="C31" s="433">
        <v>1438.97</v>
      </c>
      <c r="D31" s="434">
        <f t="shared" ref="D31:E31" si="29">LN(B31/B32)</f>
        <v>-2.4214258120594627E-2</v>
      </c>
      <c r="E31" s="435">
        <f t="shared" si="29"/>
        <v>-3.676423724425009E-3</v>
      </c>
      <c r="F31" s="221"/>
      <c r="G31" s="222"/>
      <c r="H31" s="222"/>
      <c r="I31" s="6"/>
      <c r="J31" s="6"/>
      <c r="K31" s="6"/>
      <c r="L31" s="6"/>
      <c r="M31" s="6"/>
      <c r="N31" s="6"/>
      <c r="O31" s="6"/>
      <c r="P31" s="6"/>
      <c r="Q31" s="6"/>
      <c r="R31" s="6"/>
      <c r="S31" s="6"/>
      <c r="T31" s="6"/>
      <c r="U31" s="6"/>
      <c r="V31" s="6"/>
      <c r="W31" s="6"/>
      <c r="X31" s="6"/>
      <c r="Y31" s="6"/>
      <c r="Z31" s="6"/>
    </row>
    <row r="32" spans="1:26">
      <c r="A32" s="440">
        <v>44497</v>
      </c>
      <c r="B32" s="433">
        <v>20900</v>
      </c>
      <c r="C32" s="433">
        <v>1444.27</v>
      </c>
      <c r="D32" s="434">
        <f t="shared" ref="D32:E32" si="30">LN(B32/B33)</f>
        <v>-2.3894873973814672E-3</v>
      </c>
      <c r="E32" s="435">
        <f t="shared" si="30"/>
        <v>4.3437902237612736E-3</v>
      </c>
      <c r="F32" s="221"/>
      <c r="G32" s="222"/>
      <c r="H32" s="222"/>
      <c r="I32" s="6"/>
      <c r="J32" s="6"/>
      <c r="K32" s="6"/>
      <c r="L32" s="6"/>
      <c r="M32" s="6"/>
      <c r="N32" s="6"/>
      <c r="O32" s="6"/>
      <c r="P32" s="6"/>
      <c r="Q32" s="6"/>
      <c r="R32" s="6"/>
      <c r="S32" s="6"/>
      <c r="T32" s="6"/>
      <c r="U32" s="6"/>
      <c r="V32" s="6"/>
      <c r="W32" s="6"/>
      <c r="X32" s="6"/>
      <c r="Y32" s="6"/>
      <c r="Z32" s="6"/>
    </row>
    <row r="33" spans="1:26">
      <c r="A33" s="440">
        <v>44496</v>
      </c>
      <c r="B33" s="433">
        <v>20950</v>
      </c>
      <c r="C33" s="433">
        <v>1438.01</v>
      </c>
      <c r="D33" s="434">
        <f t="shared" ref="D33:E33" si="31">LN(B33/B34)</f>
        <v>4.7846981233362531E-3</v>
      </c>
      <c r="E33" s="435">
        <f t="shared" si="31"/>
        <v>1.047883955487496E-2</v>
      </c>
      <c r="F33" s="221"/>
      <c r="G33" s="222"/>
      <c r="H33" s="222"/>
      <c r="I33" s="6"/>
      <c r="J33" s="6"/>
      <c r="K33" s="6"/>
      <c r="L33" s="6"/>
      <c r="M33" s="6"/>
      <c r="N33" s="6"/>
      <c r="O33" s="6"/>
      <c r="P33" s="6"/>
      <c r="Q33" s="6"/>
      <c r="R33" s="6"/>
      <c r="S33" s="6"/>
      <c r="T33" s="6"/>
      <c r="U33" s="6"/>
      <c r="V33" s="6"/>
      <c r="W33" s="6"/>
      <c r="X33" s="6"/>
      <c r="Y33" s="6"/>
      <c r="Z33" s="6"/>
    </row>
    <row r="34" spans="1:26">
      <c r="A34" s="440">
        <v>44495</v>
      </c>
      <c r="B34" s="433">
        <v>20850</v>
      </c>
      <c r="C34" s="433">
        <v>1423.02</v>
      </c>
      <c r="D34" s="434">
        <f t="shared" ref="D34:E34" si="32">LN(B34/B35)</f>
        <v>4.8077015681030778E-3</v>
      </c>
      <c r="E34" s="435">
        <f t="shared" si="32"/>
        <v>2.2305651840497473E-2</v>
      </c>
      <c r="F34" s="221"/>
      <c r="G34" s="222"/>
      <c r="H34" s="222"/>
      <c r="I34" s="6"/>
      <c r="J34" s="6"/>
      <c r="K34" s="6"/>
      <c r="L34" s="6"/>
      <c r="M34" s="6"/>
      <c r="N34" s="6"/>
      <c r="O34" s="6"/>
      <c r="P34" s="6"/>
      <c r="Q34" s="6"/>
      <c r="R34" s="6"/>
      <c r="S34" s="6"/>
      <c r="T34" s="6"/>
      <c r="U34" s="6"/>
      <c r="V34" s="6"/>
      <c r="W34" s="6"/>
      <c r="X34" s="6"/>
      <c r="Y34" s="6"/>
      <c r="Z34" s="6"/>
    </row>
    <row r="35" spans="1:26">
      <c r="A35" s="440">
        <v>44494</v>
      </c>
      <c r="B35" s="433">
        <v>20750</v>
      </c>
      <c r="C35" s="433">
        <v>1391.63</v>
      </c>
      <c r="D35" s="434">
        <f t="shared" ref="D35:E35" si="33">LN(B35/B36)</f>
        <v>2.4125464053839259E-3</v>
      </c>
      <c r="E35" s="435">
        <f t="shared" si="33"/>
        <v>4.4868153758558724E-3</v>
      </c>
      <c r="F35" s="221"/>
      <c r="G35" s="222"/>
      <c r="H35" s="222"/>
      <c r="I35" s="6"/>
      <c r="J35" s="6"/>
      <c r="K35" s="6"/>
      <c r="L35" s="6"/>
      <c r="M35" s="6"/>
      <c r="N35" s="6"/>
      <c r="O35" s="6"/>
      <c r="P35" s="6"/>
      <c r="Q35" s="6"/>
      <c r="R35" s="6"/>
      <c r="S35" s="6"/>
      <c r="T35" s="6"/>
      <c r="U35" s="6"/>
      <c r="V35" s="6"/>
      <c r="W35" s="6"/>
      <c r="X35" s="6"/>
      <c r="Y35" s="6"/>
      <c r="Z35" s="6"/>
    </row>
    <row r="36" spans="1:26">
      <c r="A36" s="440">
        <v>44493</v>
      </c>
      <c r="B36" s="433">
        <v>20700</v>
      </c>
      <c r="C36" s="433">
        <v>1385.4</v>
      </c>
      <c r="D36" s="434">
        <f t="shared" ref="D36:E36" si="34">LN(B36/B37)</f>
        <v>-1.2004946096823375E-2</v>
      </c>
      <c r="E36" s="435">
        <f t="shared" si="34"/>
        <v>-2.7679284171326251E-3</v>
      </c>
      <c r="F36" s="221"/>
      <c r="G36" s="222"/>
      <c r="H36" s="222"/>
      <c r="I36" s="6"/>
      <c r="J36" s="6"/>
      <c r="K36" s="6"/>
      <c r="L36" s="6"/>
      <c r="M36" s="6"/>
      <c r="N36" s="6"/>
      <c r="O36" s="6"/>
      <c r="P36" s="6"/>
      <c r="Q36" s="6"/>
      <c r="R36" s="6"/>
      <c r="S36" s="6"/>
      <c r="T36" s="6"/>
      <c r="U36" s="6"/>
      <c r="V36" s="6"/>
      <c r="W36" s="6"/>
      <c r="X36" s="6"/>
      <c r="Y36" s="6"/>
      <c r="Z36" s="6"/>
    </row>
    <row r="37" spans="1:26">
      <c r="A37" s="440">
        <v>44490</v>
      </c>
      <c r="B37" s="433">
        <v>20950</v>
      </c>
      <c r="C37" s="433">
        <v>1389.24</v>
      </c>
      <c r="D37" s="434">
        <f t="shared" ref="D37:E37" si="35">LN(B37/B38)</f>
        <v>2.3894873973814854E-3</v>
      </c>
      <c r="E37" s="435">
        <f t="shared" si="35"/>
        <v>3.2227741564639233E-3</v>
      </c>
      <c r="F37" s="221"/>
      <c r="G37" s="222"/>
      <c r="H37" s="222"/>
      <c r="I37" s="6"/>
      <c r="J37" s="6"/>
      <c r="K37" s="6"/>
      <c r="L37" s="6"/>
      <c r="M37" s="6"/>
      <c r="N37" s="6"/>
      <c r="O37" s="6"/>
      <c r="P37" s="6"/>
      <c r="Q37" s="6"/>
      <c r="R37" s="6"/>
      <c r="S37" s="6"/>
      <c r="T37" s="6"/>
      <c r="U37" s="6"/>
      <c r="V37" s="6"/>
      <c r="W37" s="6"/>
      <c r="X37" s="6"/>
      <c r="Y37" s="6"/>
      <c r="Z37" s="6"/>
    </row>
    <row r="38" spans="1:26">
      <c r="A38" s="440">
        <v>44489</v>
      </c>
      <c r="B38" s="433">
        <v>20900</v>
      </c>
      <c r="C38" s="433">
        <v>1384.77</v>
      </c>
      <c r="D38" s="434">
        <f t="shared" ref="D38:E38" si="36">LN(B38/B39)</f>
        <v>9.6154586994419734E-3</v>
      </c>
      <c r="E38" s="435">
        <f t="shared" si="36"/>
        <v>-6.4997691552448325E-3</v>
      </c>
      <c r="F38" s="221"/>
      <c r="G38" s="222"/>
      <c r="H38" s="222"/>
      <c r="I38" s="6"/>
      <c r="J38" s="6"/>
      <c r="K38" s="6"/>
      <c r="L38" s="6"/>
      <c r="M38" s="6"/>
      <c r="N38" s="6"/>
      <c r="O38" s="6"/>
      <c r="P38" s="6"/>
      <c r="Q38" s="6"/>
      <c r="R38" s="6"/>
      <c r="S38" s="6"/>
      <c r="T38" s="6"/>
      <c r="U38" s="6"/>
      <c r="V38" s="6"/>
      <c r="W38" s="6"/>
      <c r="X38" s="6"/>
      <c r="Y38" s="6"/>
      <c r="Z38" s="6"/>
    </row>
    <row r="39" spans="1:26">
      <c r="A39" s="440">
        <v>44488</v>
      </c>
      <c r="B39" s="433">
        <v>20700</v>
      </c>
      <c r="C39" s="433">
        <v>1393.8</v>
      </c>
      <c r="D39" s="434">
        <f t="shared" ref="D39:E39" si="37">LN(B39/B40)</f>
        <v>2.4451095864164336E-2</v>
      </c>
      <c r="E39" s="435">
        <f t="shared" si="37"/>
        <v>-1.0971164151310055E-3</v>
      </c>
      <c r="F39" s="221"/>
      <c r="G39" s="222"/>
      <c r="H39" s="222"/>
      <c r="I39" s="6"/>
      <c r="J39" s="6"/>
      <c r="K39" s="6"/>
      <c r="L39" s="6"/>
      <c r="M39" s="6"/>
      <c r="N39" s="6"/>
      <c r="O39" s="6"/>
      <c r="P39" s="6"/>
      <c r="Q39" s="6"/>
      <c r="R39" s="6"/>
      <c r="S39" s="6"/>
      <c r="T39" s="6"/>
      <c r="U39" s="6"/>
      <c r="V39" s="6"/>
      <c r="W39" s="6"/>
      <c r="X39" s="6"/>
      <c r="Y39" s="6"/>
      <c r="Z39" s="6"/>
    </row>
    <row r="40" spans="1:26">
      <c r="A40" s="440">
        <v>44487</v>
      </c>
      <c r="B40" s="433">
        <v>20200</v>
      </c>
      <c r="C40" s="433">
        <v>1395.33</v>
      </c>
      <c r="D40" s="434">
        <f t="shared" ref="D40:E40" si="38">LN(B40/B41)</f>
        <v>-4.9382816405825663E-3</v>
      </c>
      <c r="E40" s="435">
        <f t="shared" si="38"/>
        <v>-1.433249968413676E-4</v>
      </c>
      <c r="F40" s="221"/>
      <c r="G40" s="222"/>
      <c r="H40" s="222"/>
      <c r="I40" s="6"/>
      <c r="J40" s="6"/>
      <c r="K40" s="6"/>
      <c r="L40" s="6"/>
      <c r="M40" s="6"/>
      <c r="N40" s="6"/>
      <c r="O40" s="6"/>
      <c r="P40" s="6"/>
      <c r="Q40" s="6"/>
      <c r="R40" s="6"/>
      <c r="S40" s="6"/>
      <c r="T40" s="6"/>
      <c r="U40" s="6"/>
      <c r="V40" s="6"/>
      <c r="W40" s="6"/>
      <c r="X40" s="6"/>
      <c r="Y40" s="6"/>
      <c r="Z40" s="6"/>
    </row>
    <row r="41" spans="1:26">
      <c r="A41" s="440">
        <v>44486</v>
      </c>
      <c r="B41" s="433">
        <v>20300</v>
      </c>
      <c r="C41" s="433">
        <v>1395.53</v>
      </c>
      <c r="D41" s="434">
        <f t="shared" ref="D41:E41" si="39">LN(B41/B42)</f>
        <v>0</v>
      </c>
      <c r="E41" s="435">
        <f t="shared" si="39"/>
        <v>2.0299623573445235E-3</v>
      </c>
      <c r="F41" s="221"/>
      <c r="G41" s="222"/>
      <c r="H41" s="222"/>
      <c r="I41" s="6"/>
      <c r="J41" s="6"/>
      <c r="K41" s="6"/>
      <c r="L41" s="6"/>
      <c r="M41" s="6"/>
      <c r="N41" s="6"/>
      <c r="O41" s="6"/>
      <c r="P41" s="6"/>
      <c r="Q41" s="6"/>
      <c r="R41" s="6"/>
      <c r="S41" s="6"/>
      <c r="T41" s="6"/>
      <c r="U41" s="6"/>
      <c r="V41" s="6"/>
      <c r="W41" s="6"/>
      <c r="X41" s="6"/>
      <c r="Y41" s="6"/>
      <c r="Z41" s="6"/>
    </row>
    <row r="42" spans="1:26">
      <c r="A42" s="440">
        <v>44483</v>
      </c>
      <c r="B42" s="433">
        <v>20300</v>
      </c>
      <c r="C42" s="433">
        <v>1392.7</v>
      </c>
      <c r="D42" s="434">
        <f t="shared" ref="D42:E42" si="40">LN(B42/B43)</f>
        <v>-4.9140148024290403E-3</v>
      </c>
      <c r="E42" s="435">
        <f t="shared" si="40"/>
        <v>6.105115917483568E-4</v>
      </c>
      <c r="F42" s="221"/>
      <c r="G42" s="222"/>
      <c r="H42" s="222"/>
      <c r="I42" s="6"/>
      <c r="J42" s="6"/>
      <c r="K42" s="6"/>
      <c r="L42" s="6"/>
      <c r="M42" s="6"/>
      <c r="N42" s="6"/>
      <c r="O42" s="6"/>
      <c r="P42" s="6"/>
      <c r="Q42" s="6"/>
      <c r="R42" s="6"/>
      <c r="S42" s="6"/>
      <c r="T42" s="6"/>
      <c r="U42" s="6"/>
      <c r="V42" s="6"/>
      <c r="W42" s="6"/>
      <c r="X42" s="6"/>
      <c r="Y42" s="6"/>
      <c r="Z42" s="6"/>
    </row>
    <row r="43" spans="1:26">
      <c r="A43" s="440">
        <v>44482</v>
      </c>
      <c r="B43" s="433">
        <v>20400</v>
      </c>
      <c r="C43" s="433">
        <v>1391.85</v>
      </c>
      <c r="D43" s="434">
        <f t="shared" ref="D43:E43" si="41">LN(B43/B44)</f>
        <v>1.2330612457478725E-2</v>
      </c>
      <c r="E43" s="435">
        <f t="shared" si="41"/>
        <v>-4.3107164417575826E-5</v>
      </c>
      <c r="F43" s="221"/>
      <c r="G43" s="222"/>
      <c r="H43" s="222"/>
      <c r="I43" s="6"/>
      <c r="J43" s="6"/>
      <c r="K43" s="6"/>
      <c r="L43" s="6"/>
      <c r="M43" s="6"/>
      <c r="N43" s="6"/>
      <c r="O43" s="6"/>
      <c r="P43" s="6"/>
      <c r="Q43" s="6"/>
      <c r="R43" s="6"/>
      <c r="S43" s="6"/>
      <c r="T43" s="6"/>
      <c r="U43" s="6"/>
      <c r="V43" s="6"/>
      <c r="W43" s="6"/>
      <c r="X43" s="6"/>
      <c r="Y43" s="6"/>
      <c r="Z43" s="6"/>
    </row>
    <row r="44" spans="1:26">
      <c r="A44" s="440">
        <v>44481</v>
      </c>
      <c r="B44" s="433">
        <v>20150</v>
      </c>
      <c r="C44" s="433">
        <v>1391.91</v>
      </c>
      <c r="D44" s="434">
        <f t="shared" ref="D44:E44" si="42">LN(B44/B45)</f>
        <v>7.4720148387010564E-3</v>
      </c>
      <c r="E44" s="435">
        <f t="shared" si="42"/>
        <v>-2.0741311697805445E-3</v>
      </c>
      <c r="F44" s="221"/>
      <c r="G44" s="222"/>
      <c r="H44" s="222"/>
      <c r="I44" s="6"/>
      <c r="J44" s="6"/>
      <c r="K44" s="6"/>
      <c r="L44" s="6"/>
      <c r="M44" s="6"/>
      <c r="N44" s="6"/>
      <c r="O44" s="6"/>
      <c r="P44" s="6"/>
      <c r="Q44" s="6"/>
      <c r="R44" s="6"/>
      <c r="S44" s="6"/>
      <c r="T44" s="6"/>
      <c r="U44" s="6"/>
      <c r="V44" s="6"/>
      <c r="W44" s="6"/>
      <c r="X44" s="6"/>
      <c r="Y44" s="6"/>
      <c r="Z44" s="6"/>
    </row>
    <row r="45" spans="1:26">
      <c r="A45" s="440">
        <v>44480</v>
      </c>
      <c r="B45" s="433">
        <v>20000</v>
      </c>
      <c r="C45" s="433">
        <v>1394.8</v>
      </c>
      <c r="D45" s="434">
        <f t="shared" ref="D45:E45" si="43">LN(B45/B46)</f>
        <v>1.7654935238720745E-2</v>
      </c>
      <c r="E45" s="435">
        <f t="shared" si="43"/>
        <v>5.0916315475968497E-4</v>
      </c>
      <c r="F45" s="221"/>
      <c r="G45" s="222"/>
      <c r="H45" s="222"/>
      <c r="I45" s="6"/>
      <c r="J45" s="6"/>
      <c r="K45" s="6"/>
      <c r="L45" s="6"/>
      <c r="M45" s="6"/>
      <c r="N45" s="6"/>
      <c r="O45" s="6"/>
      <c r="P45" s="6"/>
      <c r="Q45" s="6"/>
      <c r="R45" s="6"/>
      <c r="S45" s="6"/>
      <c r="T45" s="6"/>
      <c r="U45" s="6"/>
      <c r="V45" s="6"/>
      <c r="W45" s="6"/>
      <c r="X45" s="6"/>
      <c r="Y45" s="6"/>
      <c r="Z45" s="6"/>
    </row>
    <row r="46" spans="1:26">
      <c r="A46" s="440">
        <v>44479</v>
      </c>
      <c r="B46" s="433">
        <v>19650</v>
      </c>
      <c r="C46" s="433">
        <v>1394.09</v>
      </c>
      <c r="D46" s="434">
        <f t="shared" ref="D46:E46" si="44">LN(B46/B47)</f>
        <v>2.5477720787987828E-3</v>
      </c>
      <c r="E46" s="435">
        <f t="shared" si="44"/>
        <v>1.5440414889097849E-2</v>
      </c>
      <c r="F46" s="221"/>
      <c r="G46" s="222"/>
      <c r="H46" s="222"/>
      <c r="I46" s="6"/>
      <c r="J46" s="6"/>
      <c r="K46" s="6"/>
      <c r="L46" s="6"/>
      <c r="M46" s="6"/>
      <c r="N46" s="6"/>
      <c r="O46" s="6"/>
      <c r="P46" s="6"/>
      <c r="Q46" s="6"/>
      <c r="R46" s="6"/>
      <c r="S46" s="6"/>
      <c r="T46" s="6"/>
      <c r="U46" s="6"/>
      <c r="V46" s="6"/>
      <c r="W46" s="6"/>
      <c r="X46" s="6"/>
      <c r="Y46" s="6"/>
      <c r="Z46" s="6"/>
    </row>
    <row r="47" spans="1:26">
      <c r="A47" s="432">
        <v>44476</v>
      </c>
      <c r="B47" s="433">
        <v>19600</v>
      </c>
      <c r="C47" s="433">
        <v>1372.73</v>
      </c>
      <c r="D47" s="434">
        <f t="shared" ref="D47:E47" si="45">LN(B47/B48)</f>
        <v>-3.5091319811270061E-2</v>
      </c>
      <c r="E47" s="435">
        <f t="shared" si="45"/>
        <v>4.9220172979157657E-3</v>
      </c>
      <c r="F47" s="221"/>
      <c r="G47" s="222"/>
      <c r="H47" s="222"/>
      <c r="I47" s="6"/>
      <c r="J47" s="6"/>
      <c r="K47" s="6"/>
      <c r="L47" s="6"/>
      <c r="M47" s="6"/>
      <c r="N47" s="6"/>
      <c r="O47" s="6"/>
      <c r="P47" s="6"/>
      <c r="Q47" s="6"/>
      <c r="R47" s="6"/>
      <c r="S47" s="6"/>
      <c r="T47" s="6"/>
      <c r="U47" s="6"/>
      <c r="V47" s="6"/>
      <c r="W47" s="6"/>
      <c r="X47" s="6"/>
      <c r="Y47" s="6"/>
      <c r="Z47" s="6"/>
    </row>
    <row r="48" spans="1:26">
      <c r="A48" s="432">
        <v>44475</v>
      </c>
      <c r="B48" s="433">
        <v>20300</v>
      </c>
      <c r="C48" s="433">
        <v>1365.99</v>
      </c>
      <c r="D48" s="434">
        <f t="shared" ref="D48:E48" si="46">LN(B48/B49)</f>
        <v>1.4888612493750559E-2</v>
      </c>
      <c r="E48" s="435">
        <f t="shared" si="46"/>
        <v>2.3233581128549456E-3</v>
      </c>
      <c r="F48" s="221"/>
      <c r="G48" s="222"/>
      <c r="H48" s="222"/>
      <c r="I48" s="6"/>
      <c r="J48" s="6"/>
      <c r="K48" s="6"/>
      <c r="L48" s="6"/>
      <c r="M48" s="6"/>
      <c r="N48" s="6"/>
      <c r="O48" s="6"/>
      <c r="P48" s="6"/>
      <c r="Q48" s="6"/>
      <c r="R48" s="6"/>
      <c r="S48" s="6"/>
      <c r="T48" s="6"/>
      <c r="U48" s="6"/>
      <c r="V48" s="6"/>
      <c r="W48" s="6"/>
      <c r="X48" s="6"/>
      <c r="Y48" s="6"/>
      <c r="Z48" s="6"/>
    </row>
    <row r="49" spans="1:26">
      <c r="A49" s="432">
        <v>44474</v>
      </c>
      <c r="B49" s="433">
        <v>20000</v>
      </c>
      <c r="C49" s="433">
        <v>1362.82</v>
      </c>
      <c r="D49" s="434">
        <f t="shared" ref="D49:E49" si="47">LN(B49/B50)</f>
        <v>1.5113637810048106E-2</v>
      </c>
      <c r="E49" s="435">
        <f t="shared" si="47"/>
        <v>6.0277280521093771E-3</v>
      </c>
      <c r="F49" s="221"/>
      <c r="G49" s="222"/>
      <c r="H49" s="222"/>
      <c r="I49" s="6"/>
      <c r="J49" s="6"/>
      <c r="K49" s="6"/>
      <c r="L49" s="6"/>
      <c r="M49" s="6"/>
      <c r="N49" s="6"/>
      <c r="O49" s="6"/>
      <c r="P49" s="6"/>
      <c r="Q49" s="6"/>
      <c r="R49" s="6"/>
      <c r="S49" s="6"/>
      <c r="T49" s="6"/>
      <c r="U49" s="6"/>
      <c r="V49" s="6"/>
      <c r="W49" s="6"/>
      <c r="X49" s="6"/>
      <c r="Y49" s="6"/>
      <c r="Z49" s="6"/>
    </row>
    <row r="50" spans="1:26">
      <c r="A50" s="432">
        <v>44473</v>
      </c>
      <c r="B50" s="433">
        <v>19700</v>
      </c>
      <c r="C50" s="433">
        <v>1354.63</v>
      </c>
      <c r="D50" s="434">
        <f t="shared" ref="D50:E50" si="48">LN(B50/B51)</f>
        <v>-2.5348556031880663E-3</v>
      </c>
      <c r="E50" s="435">
        <f t="shared" si="48"/>
        <v>1.1202082867187784E-2</v>
      </c>
      <c r="F50" s="221"/>
      <c r="G50" s="222"/>
      <c r="H50" s="222"/>
      <c r="I50" s="6"/>
      <c r="J50" s="6"/>
      <c r="K50" s="6"/>
      <c r="L50" s="6"/>
      <c r="M50" s="6"/>
      <c r="N50" s="6"/>
      <c r="O50" s="6"/>
      <c r="P50" s="6"/>
      <c r="Q50" s="6"/>
      <c r="R50" s="6"/>
      <c r="S50" s="6"/>
      <c r="T50" s="6"/>
      <c r="U50" s="6"/>
      <c r="V50" s="6"/>
      <c r="W50" s="6"/>
      <c r="X50" s="6"/>
      <c r="Y50" s="6"/>
      <c r="Z50" s="6"/>
    </row>
    <row r="51" spans="1:26">
      <c r="A51" s="432">
        <v>44472</v>
      </c>
      <c r="B51" s="433">
        <v>19750</v>
      </c>
      <c r="C51" s="433">
        <v>1339.54</v>
      </c>
      <c r="D51" s="434">
        <f t="shared" ref="D51:E51" si="49">LN(B51/B52)</f>
        <v>6.5382759262851711E-2</v>
      </c>
      <c r="E51" s="435">
        <f t="shared" si="49"/>
        <v>3.4773799917854945E-3</v>
      </c>
      <c r="F51" s="221"/>
      <c r="G51" s="222"/>
      <c r="H51" s="222"/>
      <c r="I51" s="6"/>
      <c r="J51" s="6"/>
      <c r="K51" s="6"/>
      <c r="L51" s="6"/>
      <c r="M51" s="6"/>
      <c r="N51" s="6"/>
      <c r="O51" s="6"/>
      <c r="P51" s="6"/>
      <c r="Q51" s="6"/>
      <c r="R51" s="6"/>
      <c r="S51" s="6"/>
      <c r="T51" s="6"/>
      <c r="U51" s="6"/>
      <c r="V51" s="6"/>
      <c r="W51" s="6"/>
      <c r="X51" s="6"/>
      <c r="Y51" s="6"/>
      <c r="Z51" s="6"/>
    </row>
    <row r="52" spans="1:26">
      <c r="A52" s="432">
        <v>44469</v>
      </c>
      <c r="B52" s="433">
        <v>18500</v>
      </c>
      <c r="C52" s="433">
        <v>1334.89</v>
      </c>
      <c r="D52" s="434">
        <f t="shared" ref="D52:E52" si="50">LN(B52/B53)</f>
        <v>1.0869672236903891E-2</v>
      </c>
      <c r="E52" s="435">
        <f t="shared" si="50"/>
        <v>-5.3568554853787448E-3</v>
      </c>
      <c r="F52" s="221"/>
      <c r="G52" s="222"/>
      <c r="H52" s="222"/>
      <c r="I52" s="6"/>
      <c r="J52" s="6"/>
      <c r="K52" s="6"/>
      <c r="L52" s="6"/>
      <c r="M52" s="6"/>
      <c r="N52" s="6"/>
      <c r="O52" s="6"/>
      <c r="P52" s="6"/>
      <c r="Q52" s="6"/>
      <c r="R52" s="6"/>
      <c r="S52" s="6"/>
      <c r="T52" s="6"/>
      <c r="U52" s="6"/>
      <c r="V52" s="6"/>
      <c r="W52" s="6"/>
      <c r="X52" s="6"/>
      <c r="Y52" s="6"/>
      <c r="Z52" s="6"/>
    </row>
    <row r="53" spans="1:26">
      <c r="A53" s="432">
        <v>44468</v>
      </c>
      <c r="B53" s="433">
        <v>18300</v>
      </c>
      <c r="C53" s="433">
        <v>1342.06</v>
      </c>
      <c r="D53" s="434">
        <f t="shared" ref="D53:E53" si="51">LN(B53/B54)</f>
        <v>5.4794657646255705E-3</v>
      </c>
      <c r="E53" s="435">
        <f t="shared" si="51"/>
        <v>2.1258590692679429E-3</v>
      </c>
      <c r="F53" s="221"/>
      <c r="G53" s="222"/>
      <c r="H53" s="222"/>
      <c r="I53" s="6"/>
      <c r="J53" s="6"/>
      <c r="K53" s="6"/>
      <c r="L53" s="6"/>
      <c r="M53" s="6"/>
      <c r="N53" s="6"/>
      <c r="O53" s="6"/>
      <c r="P53" s="6"/>
      <c r="Q53" s="6"/>
      <c r="R53" s="6"/>
      <c r="S53" s="6"/>
      <c r="T53" s="6"/>
      <c r="U53" s="6"/>
      <c r="V53" s="6"/>
      <c r="W53" s="6"/>
      <c r="X53" s="6"/>
      <c r="Y53" s="6"/>
      <c r="Z53" s="6"/>
    </row>
    <row r="54" spans="1:26">
      <c r="A54" s="432">
        <v>44467</v>
      </c>
      <c r="B54" s="433">
        <v>18200</v>
      </c>
      <c r="C54" s="433">
        <v>1339.21</v>
      </c>
      <c r="D54" s="434">
        <f t="shared" ref="D54:E54" si="52">LN(B54/B55)</f>
        <v>1.1049836186584935E-2</v>
      </c>
      <c r="E54" s="435">
        <f t="shared" si="52"/>
        <v>-7.4668100328810456E-5</v>
      </c>
      <c r="F54" s="221"/>
      <c r="G54" s="222"/>
      <c r="H54" s="222"/>
      <c r="I54" s="6"/>
      <c r="J54" s="6"/>
      <c r="K54" s="6"/>
      <c r="L54" s="6"/>
      <c r="M54" s="6"/>
      <c r="N54" s="6"/>
      <c r="O54" s="6"/>
      <c r="P54" s="6"/>
      <c r="Q54" s="6"/>
      <c r="R54" s="6"/>
      <c r="S54" s="6"/>
      <c r="T54" s="6"/>
      <c r="U54" s="6"/>
      <c r="V54" s="6"/>
      <c r="W54" s="6"/>
      <c r="X54" s="6"/>
      <c r="Y54" s="6"/>
      <c r="Z54" s="6"/>
    </row>
    <row r="55" spans="1:26">
      <c r="A55" s="432">
        <v>44466</v>
      </c>
      <c r="B55" s="433">
        <v>18000</v>
      </c>
      <c r="C55" s="433">
        <v>1339.31</v>
      </c>
      <c r="D55" s="434">
        <f t="shared" ref="D55:E55" si="53">LN(B55/B56)</f>
        <v>1.9635974516858935E-2</v>
      </c>
      <c r="E55" s="435">
        <f t="shared" si="53"/>
        <v>1.0749643730193421E-2</v>
      </c>
      <c r="F55" s="221"/>
      <c r="G55" s="222"/>
      <c r="H55" s="222"/>
      <c r="I55" s="6"/>
      <c r="J55" s="6"/>
      <c r="K55" s="6"/>
      <c r="L55" s="6"/>
      <c r="M55" s="6"/>
      <c r="N55" s="6"/>
      <c r="O55" s="6"/>
      <c r="P55" s="6"/>
      <c r="Q55" s="6"/>
      <c r="R55" s="6"/>
      <c r="S55" s="6"/>
      <c r="T55" s="6"/>
      <c r="U55" s="6"/>
      <c r="V55" s="6"/>
      <c r="W55" s="6"/>
      <c r="X55" s="6"/>
      <c r="Y55" s="6"/>
      <c r="Z55" s="6"/>
    </row>
    <row r="56" spans="1:26">
      <c r="A56" s="432">
        <v>44465</v>
      </c>
      <c r="B56" s="433">
        <v>17650</v>
      </c>
      <c r="C56" s="433">
        <v>1324.99</v>
      </c>
      <c r="D56" s="434">
        <f t="shared" ref="D56:E56" si="54">LN(B56/B57)</f>
        <v>-3.0685810703443898E-2</v>
      </c>
      <c r="E56" s="435">
        <f t="shared" si="54"/>
        <v>-1.9565971538401807E-2</v>
      </c>
      <c r="F56" s="221"/>
      <c r="G56" s="222"/>
      <c r="H56" s="222"/>
      <c r="I56" s="6"/>
      <c r="J56" s="6"/>
      <c r="K56" s="6"/>
      <c r="L56" s="6"/>
      <c r="M56" s="6"/>
      <c r="N56" s="6"/>
      <c r="O56" s="6"/>
      <c r="P56" s="6"/>
      <c r="Q56" s="6"/>
      <c r="R56" s="6"/>
      <c r="S56" s="6"/>
      <c r="T56" s="6"/>
      <c r="U56" s="6"/>
      <c r="V56" s="6"/>
      <c r="W56" s="6"/>
      <c r="X56" s="6"/>
      <c r="Y56" s="6"/>
      <c r="Z56" s="6"/>
    </row>
    <row r="57" spans="1:26">
      <c r="A57" s="432">
        <v>44462</v>
      </c>
      <c r="B57" s="433">
        <v>18200</v>
      </c>
      <c r="C57" s="433">
        <v>1351.17</v>
      </c>
      <c r="D57" s="434">
        <f t="shared" ref="D57:E57" si="55">LN(B57/B58)</f>
        <v>5.5096558109696998E-3</v>
      </c>
      <c r="E57" s="435">
        <f t="shared" si="55"/>
        <v>-1.1760660840071783E-3</v>
      </c>
      <c r="F57" s="221"/>
      <c r="G57" s="222"/>
      <c r="H57" s="222"/>
      <c r="I57" s="6"/>
      <c r="J57" s="6"/>
      <c r="K57" s="6"/>
      <c r="L57" s="6"/>
      <c r="M57" s="6"/>
      <c r="N57" s="6"/>
      <c r="O57" s="6"/>
      <c r="P57" s="6"/>
      <c r="Q57" s="6"/>
      <c r="R57" s="6"/>
      <c r="S57" s="6"/>
      <c r="T57" s="6"/>
      <c r="U57" s="6"/>
      <c r="V57" s="6"/>
      <c r="W57" s="6"/>
      <c r="X57" s="6"/>
      <c r="Y57" s="6"/>
      <c r="Z57" s="6"/>
    </row>
    <row r="58" spans="1:26">
      <c r="A58" s="432">
        <v>44461</v>
      </c>
      <c r="B58" s="433">
        <v>18100</v>
      </c>
      <c r="C58" s="433">
        <v>1352.76</v>
      </c>
      <c r="D58" s="434">
        <f t="shared" ref="D58:E58" si="56">LN(B58/B59)</f>
        <v>-3.2611585588760893E-2</v>
      </c>
      <c r="E58" s="435">
        <f t="shared" si="56"/>
        <v>1.5387805243884875E-3</v>
      </c>
      <c r="F58" s="221"/>
      <c r="G58" s="222"/>
      <c r="H58" s="222"/>
      <c r="I58" s="6"/>
      <c r="J58" s="6"/>
      <c r="K58" s="6"/>
      <c r="L58" s="6"/>
      <c r="M58" s="6"/>
      <c r="N58" s="6"/>
      <c r="O58" s="6"/>
      <c r="P58" s="6"/>
      <c r="Q58" s="6"/>
      <c r="R58" s="6"/>
      <c r="S58" s="6"/>
      <c r="T58" s="6"/>
      <c r="U58" s="6"/>
      <c r="V58" s="6"/>
      <c r="W58" s="6"/>
      <c r="X58" s="6"/>
      <c r="Y58" s="6"/>
      <c r="Z58" s="6"/>
    </row>
    <row r="59" spans="1:26">
      <c r="A59" s="432">
        <v>44460</v>
      </c>
      <c r="B59" s="433">
        <v>18700</v>
      </c>
      <c r="C59" s="433">
        <v>1350.68</v>
      </c>
      <c r="D59" s="434">
        <f t="shared" ref="D59:E59" si="57">LN(B59/B60)</f>
        <v>4.6520015634892907E-2</v>
      </c>
      <c r="E59" s="435">
        <f t="shared" si="57"/>
        <v>8.0579654892732368E-3</v>
      </c>
      <c r="F59" s="221"/>
      <c r="G59" s="222"/>
      <c r="H59" s="222"/>
      <c r="I59" s="6"/>
      <c r="J59" s="6"/>
      <c r="K59" s="6"/>
      <c r="L59" s="6"/>
      <c r="M59" s="6"/>
      <c r="N59" s="6"/>
      <c r="O59" s="6"/>
      <c r="P59" s="6"/>
      <c r="Q59" s="6"/>
      <c r="R59" s="6"/>
      <c r="S59" s="6"/>
      <c r="T59" s="6"/>
      <c r="U59" s="6"/>
      <c r="V59" s="6"/>
      <c r="W59" s="6"/>
      <c r="X59" s="6"/>
      <c r="Y59" s="6"/>
      <c r="Z59" s="6"/>
    </row>
    <row r="60" spans="1:26">
      <c r="A60" s="432">
        <v>44459</v>
      </c>
      <c r="B60" s="433">
        <v>17850</v>
      </c>
      <c r="C60" s="433">
        <v>1339.84</v>
      </c>
      <c r="D60" s="434">
        <f t="shared" ref="D60:E60" si="58">LN(B60/B61)</f>
        <v>-2.2161571802852449E-2</v>
      </c>
      <c r="E60" s="435">
        <f t="shared" si="58"/>
        <v>-7.9098809623548514E-3</v>
      </c>
      <c r="F60" s="221"/>
      <c r="G60" s="222"/>
      <c r="H60" s="222"/>
      <c r="I60" s="6"/>
      <c r="J60" s="6"/>
      <c r="K60" s="6"/>
      <c r="L60" s="6"/>
      <c r="M60" s="6"/>
      <c r="N60" s="6"/>
      <c r="O60" s="6"/>
      <c r="P60" s="6"/>
      <c r="Q60" s="6"/>
      <c r="R60" s="6"/>
      <c r="S60" s="6"/>
      <c r="T60" s="6"/>
      <c r="U60" s="6"/>
      <c r="V60" s="6"/>
      <c r="W60" s="6"/>
      <c r="X60" s="6"/>
      <c r="Y60" s="6"/>
      <c r="Z60" s="6"/>
    </row>
    <row r="61" spans="1:26">
      <c r="A61" s="432">
        <v>44458</v>
      </c>
      <c r="B61" s="433">
        <v>18250</v>
      </c>
      <c r="C61" s="433">
        <v>1350.48</v>
      </c>
      <c r="D61" s="434">
        <f t="shared" ref="D61:E61" si="59">LN(B61/B62)</f>
        <v>-2.4358443832040416E-2</v>
      </c>
      <c r="E61" s="435">
        <f t="shared" si="59"/>
        <v>-1.5981535852918698E-3</v>
      </c>
      <c r="F61" s="221"/>
      <c r="G61" s="222"/>
      <c r="H61" s="222"/>
      <c r="I61" s="6"/>
      <c r="J61" s="6"/>
      <c r="K61" s="6"/>
      <c r="L61" s="6"/>
      <c r="M61" s="6"/>
      <c r="N61" s="6"/>
      <c r="O61" s="6"/>
      <c r="P61" s="6"/>
      <c r="Q61" s="6"/>
      <c r="R61" s="6"/>
      <c r="S61" s="6"/>
      <c r="T61" s="6"/>
      <c r="U61" s="6"/>
      <c r="V61" s="6"/>
      <c r="W61" s="6"/>
      <c r="X61" s="6"/>
      <c r="Y61" s="6"/>
      <c r="Z61" s="6"/>
    </row>
    <row r="62" spans="1:26">
      <c r="A62" s="432">
        <v>44455</v>
      </c>
      <c r="B62" s="433">
        <v>18700</v>
      </c>
      <c r="C62" s="433">
        <v>1352.64</v>
      </c>
      <c r="D62" s="434">
        <f t="shared" ref="D62:E62" si="60">LN(B62/B63)</f>
        <v>5.3619431413853731E-3</v>
      </c>
      <c r="E62" s="435">
        <f t="shared" si="60"/>
        <v>5.0175943047065926E-3</v>
      </c>
      <c r="F62" s="221"/>
      <c r="G62" s="222"/>
      <c r="H62" s="222"/>
      <c r="I62" s="6"/>
      <c r="J62" s="6"/>
      <c r="K62" s="6"/>
      <c r="L62" s="6"/>
      <c r="M62" s="6"/>
      <c r="N62" s="6"/>
      <c r="O62" s="6"/>
      <c r="P62" s="6"/>
      <c r="Q62" s="6"/>
      <c r="R62" s="6"/>
      <c r="S62" s="6"/>
      <c r="T62" s="6"/>
      <c r="U62" s="6"/>
      <c r="V62" s="6"/>
      <c r="W62" s="6"/>
      <c r="X62" s="6"/>
      <c r="Y62" s="6"/>
      <c r="Z62" s="6"/>
    </row>
    <row r="63" spans="1:26">
      <c r="A63" s="432">
        <v>44454</v>
      </c>
      <c r="B63" s="433">
        <v>18600</v>
      </c>
      <c r="C63" s="433">
        <v>1345.87</v>
      </c>
      <c r="D63" s="434">
        <f t="shared" ref="D63:E63" si="61">LN(B63/B64)</f>
        <v>-1.0695289116747919E-2</v>
      </c>
      <c r="E63" s="435">
        <f t="shared" si="61"/>
        <v>2.9720994169332941E-5</v>
      </c>
      <c r="F63" s="221"/>
      <c r="G63" s="222"/>
      <c r="H63" s="222"/>
      <c r="I63" s="6"/>
      <c r="J63" s="6"/>
      <c r="K63" s="6"/>
      <c r="L63" s="6"/>
      <c r="M63" s="6"/>
      <c r="N63" s="6"/>
      <c r="O63" s="6"/>
      <c r="P63" s="6"/>
      <c r="Q63" s="6"/>
      <c r="R63" s="6"/>
      <c r="S63" s="6"/>
      <c r="T63" s="6"/>
      <c r="U63" s="6"/>
      <c r="V63" s="6"/>
      <c r="W63" s="6"/>
      <c r="X63" s="6"/>
      <c r="Y63" s="6"/>
      <c r="Z63" s="6"/>
    </row>
    <row r="64" spans="1:26">
      <c r="A64" s="432">
        <v>44453</v>
      </c>
      <c r="B64" s="433">
        <v>18800</v>
      </c>
      <c r="C64" s="433">
        <v>1345.83</v>
      </c>
      <c r="D64" s="434">
        <f t="shared" ref="D64:E64" si="62">LN(B64/B65)</f>
        <v>4.6266754901615595E-2</v>
      </c>
      <c r="E64" s="435">
        <f t="shared" si="62"/>
        <v>4.5652147966091699E-3</v>
      </c>
      <c r="F64" s="221"/>
      <c r="G64" s="222"/>
      <c r="H64" s="222"/>
      <c r="I64" s="6"/>
      <c r="J64" s="6"/>
      <c r="K64" s="6"/>
      <c r="L64" s="6"/>
      <c r="M64" s="6"/>
      <c r="N64" s="6"/>
      <c r="O64" s="6"/>
      <c r="P64" s="6"/>
      <c r="Q64" s="6"/>
      <c r="R64" s="6"/>
      <c r="S64" s="6"/>
      <c r="T64" s="6"/>
      <c r="U64" s="6"/>
      <c r="V64" s="6"/>
      <c r="W64" s="6"/>
      <c r="X64" s="6"/>
      <c r="Y64" s="6"/>
      <c r="Z64" s="6"/>
    </row>
    <row r="65" spans="1:26">
      <c r="A65" s="432">
        <v>44452</v>
      </c>
      <c r="B65" s="433">
        <v>17950</v>
      </c>
      <c r="C65" s="433">
        <v>1339.7</v>
      </c>
      <c r="D65" s="434">
        <f t="shared" ref="D65:E65" si="63">LN(B65/B66)</f>
        <v>1.9691212890181681E-2</v>
      </c>
      <c r="E65" s="435">
        <f t="shared" si="63"/>
        <v>-1.2905008262143558E-3</v>
      </c>
      <c r="F65" s="221"/>
      <c r="G65" s="222"/>
      <c r="H65" s="222"/>
      <c r="I65" s="6"/>
      <c r="J65" s="6"/>
      <c r="K65" s="6"/>
      <c r="L65" s="6"/>
      <c r="M65" s="6"/>
      <c r="N65" s="6"/>
      <c r="O65" s="6"/>
      <c r="P65" s="6"/>
      <c r="Q65" s="6"/>
      <c r="R65" s="6"/>
      <c r="S65" s="6"/>
      <c r="T65" s="6"/>
      <c r="U65" s="6"/>
      <c r="V65" s="6"/>
      <c r="W65" s="6"/>
      <c r="X65" s="6"/>
      <c r="Y65" s="6"/>
      <c r="Z65" s="6"/>
    </row>
    <row r="66" spans="1:26">
      <c r="A66" s="432">
        <v>44451</v>
      </c>
      <c r="B66" s="433">
        <v>17600</v>
      </c>
      <c r="C66" s="433">
        <v>1341.43</v>
      </c>
      <c r="D66" s="434">
        <f t="shared" ref="D66:E66" si="64">LN(B66/B67)</f>
        <v>5.6980211146377959E-3</v>
      </c>
      <c r="E66" s="435">
        <f t="shared" si="64"/>
        <v>-2.8882606409716752E-3</v>
      </c>
      <c r="F66" s="221"/>
      <c r="G66" s="222"/>
      <c r="H66" s="222"/>
      <c r="I66" s="6"/>
      <c r="J66" s="6"/>
      <c r="K66" s="6"/>
      <c r="L66" s="6"/>
      <c r="M66" s="6"/>
      <c r="N66" s="6"/>
      <c r="O66" s="6"/>
      <c r="P66" s="6"/>
      <c r="Q66" s="6"/>
      <c r="R66" s="6"/>
      <c r="S66" s="6"/>
      <c r="T66" s="6"/>
      <c r="U66" s="6"/>
      <c r="V66" s="6"/>
      <c r="W66" s="6"/>
      <c r="X66" s="6"/>
      <c r="Y66" s="6"/>
      <c r="Z66" s="6"/>
    </row>
    <row r="67" spans="1:26">
      <c r="A67" s="432">
        <v>44448</v>
      </c>
      <c r="B67" s="433">
        <v>17500</v>
      </c>
      <c r="C67" s="433">
        <v>1345.31</v>
      </c>
      <c r="D67" s="434">
        <f t="shared" ref="D67:E67" si="65">LN(B67/B68)</f>
        <v>-1.6997576368571136E-2</v>
      </c>
      <c r="E67" s="435">
        <f t="shared" si="65"/>
        <v>9.8910873013491525E-4</v>
      </c>
      <c r="F67" s="221"/>
      <c r="G67" s="222"/>
      <c r="H67" s="222"/>
      <c r="I67" s="6"/>
      <c r="J67" s="6"/>
      <c r="K67" s="6"/>
      <c r="L67" s="6"/>
      <c r="M67" s="6"/>
      <c r="N67" s="6"/>
      <c r="O67" s="6"/>
      <c r="P67" s="6"/>
      <c r="Q67" s="6"/>
      <c r="R67" s="6"/>
      <c r="S67" s="6"/>
      <c r="T67" s="6"/>
      <c r="U67" s="6"/>
      <c r="V67" s="6"/>
      <c r="W67" s="6"/>
      <c r="X67" s="6"/>
      <c r="Y67" s="6"/>
      <c r="Z67" s="6"/>
    </row>
    <row r="68" spans="1:26">
      <c r="A68" s="432">
        <v>44447</v>
      </c>
      <c r="B68" s="433">
        <v>17800</v>
      </c>
      <c r="C68" s="433">
        <v>1343.98</v>
      </c>
      <c r="D68" s="434">
        <f t="shared" ref="D68:E68" si="66">LN(B68/B69)</f>
        <v>1.6997576368571077E-2</v>
      </c>
      <c r="E68" s="435">
        <f t="shared" si="66"/>
        <v>7.7458101112209974E-3</v>
      </c>
      <c r="F68" s="221"/>
      <c r="G68" s="222"/>
      <c r="H68" s="222"/>
      <c r="I68" s="6"/>
      <c r="J68" s="6"/>
      <c r="K68" s="6"/>
      <c r="L68" s="6"/>
      <c r="M68" s="6"/>
      <c r="N68" s="6"/>
      <c r="O68" s="6"/>
      <c r="P68" s="6"/>
      <c r="Q68" s="6"/>
      <c r="R68" s="6"/>
      <c r="S68" s="6"/>
      <c r="T68" s="6"/>
      <c r="U68" s="6"/>
      <c r="V68" s="6"/>
      <c r="W68" s="6"/>
      <c r="X68" s="6"/>
      <c r="Y68" s="6"/>
      <c r="Z68" s="6"/>
    </row>
    <row r="69" spans="1:26">
      <c r="A69" s="432">
        <v>44446</v>
      </c>
      <c r="B69" s="433">
        <v>17500</v>
      </c>
      <c r="C69" s="433">
        <v>1333.61</v>
      </c>
      <c r="D69" s="434">
        <f t="shared" ref="D69:E69" si="67">LN(B69/B70)</f>
        <v>1.1494379425735212E-2</v>
      </c>
      <c r="E69" s="435">
        <f t="shared" si="67"/>
        <v>-6.1969691981416638E-3</v>
      </c>
      <c r="F69" s="221"/>
      <c r="G69" s="222"/>
      <c r="H69" s="222"/>
      <c r="I69" s="6"/>
      <c r="J69" s="6"/>
      <c r="K69" s="6"/>
      <c r="L69" s="6"/>
      <c r="M69" s="6"/>
      <c r="N69" s="6"/>
      <c r="O69" s="6"/>
      <c r="P69" s="6"/>
      <c r="Q69" s="6"/>
      <c r="R69" s="6"/>
      <c r="S69" s="6"/>
      <c r="T69" s="6"/>
      <c r="U69" s="6"/>
      <c r="V69" s="6"/>
      <c r="W69" s="6"/>
      <c r="X69" s="6"/>
      <c r="Y69" s="6"/>
      <c r="Z69" s="6"/>
    </row>
    <row r="70" spans="1:26">
      <c r="A70" s="432">
        <v>44445</v>
      </c>
      <c r="B70" s="433">
        <v>17300</v>
      </c>
      <c r="C70" s="433">
        <v>1341.9</v>
      </c>
      <c r="D70" s="434">
        <f t="shared" ref="D70:E70" si="68">LN(B70/B71)</f>
        <v>-3.9665256392431403E-2</v>
      </c>
      <c r="E70" s="435">
        <f t="shared" si="68"/>
        <v>-3.3404165287926487E-3</v>
      </c>
      <c r="F70" s="221"/>
      <c r="G70" s="222"/>
      <c r="H70" s="222"/>
      <c r="I70" s="6"/>
      <c r="J70" s="6"/>
      <c r="K70" s="6"/>
      <c r="L70" s="6"/>
      <c r="M70" s="6"/>
      <c r="N70" s="6"/>
      <c r="O70" s="6"/>
      <c r="P70" s="6"/>
      <c r="Q70" s="6"/>
      <c r="R70" s="6"/>
      <c r="S70" s="6"/>
      <c r="T70" s="6"/>
      <c r="U70" s="6"/>
      <c r="V70" s="6"/>
      <c r="W70" s="6"/>
      <c r="X70" s="6"/>
      <c r="Y70" s="6"/>
      <c r="Z70" s="6"/>
    </row>
    <row r="71" spans="1:26">
      <c r="A71" s="432">
        <v>44444</v>
      </c>
      <c r="B71" s="433">
        <v>18000</v>
      </c>
      <c r="C71" s="433">
        <v>1346.39</v>
      </c>
      <c r="D71" s="434">
        <f t="shared" ref="D71:E71" si="69">LN(B71/B72)</f>
        <v>0</v>
      </c>
      <c r="E71" s="435">
        <f t="shared" si="69"/>
        <v>8.7578514591604272E-3</v>
      </c>
      <c r="F71" s="221"/>
      <c r="G71" s="222"/>
      <c r="H71" s="222"/>
      <c r="I71" s="6"/>
      <c r="J71" s="6"/>
      <c r="K71" s="6"/>
      <c r="L71" s="6"/>
      <c r="M71" s="6"/>
      <c r="N71" s="6"/>
      <c r="O71" s="6"/>
      <c r="P71" s="6"/>
      <c r="Q71" s="6"/>
      <c r="R71" s="6"/>
      <c r="S71" s="6"/>
      <c r="T71" s="6"/>
      <c r="U71" s="6"/>
      <c r="V71" s="6"/>
      <c r="W71" s="6"/>
      <c r="X71" s="6"/>
      <c r="Y71" s="6"/>
      <c r="Z71" s="6"/>
    </row>
    <row r="72" spans="1:26">
      <c r="A72" s="432">
        <v>44439</v>
      </c>
      <c r="B72" s="433">
        <v>18000</v>
      </c>
      <c r="C72" s="433">
        <v>1334.65</v>
      </c>
      <c r="D72" s="434">
        <f t="shared" ref="D72:E72" si="70">LN(B72/B73)</f>
        <v>1.6807118316381191E-2</v>
      </c>
      <c r="E72" s="435">
        <f t="shared" si="70"/>
        <v>2.3854901564814355E-3</v>
      </c>
      <c r="F72" s="221"/>
      <c r="G72" s="222"/>
      <c r="H72" s="222"/>
      <c r="I72" s="6"/>
      <c r="J72" s="6"/>
      <c r="K72" s="6"/>
      <c r="L72" s="6"/>
      <c r="M72" s="6"/>
      <c r="N72" s="6"/>
      <c r="O72" s="6"/>
      <c r="P72" s="6"/>
      <c r="Q72" s="6"/>
      <c r="R72" s="6"/>
      <c r="S72" s="6"/>
      <c r="T72" s="6"/>
      <c r="U72" s="6"/>
      <c r="V72" s="6"/>
      <c r="W72" s="6"/>
      <c r="X72" s="6"/>
      <c r="Y72" s="6"/>
      <c r="Z72" s="6"/>
    </row>
    <row r="73" spans="1:26">
      <c r="A73" s="432">
        <v>44438</v>
      </c>
      <c r="B73" s="433">
        <v>17700</v>
      </c>
      <c r="C73" s="433">
        <v>1331.47</v>
      </c>
      <c r="D73" s="434">
        <f t="shared" ref="D73:E73" si="71">LN(B73/B74)</f>
        <v>-2.2347298691996659E-2</v>
      </c>
      <c r="E73" s="435">
        <f t="shared" si="71"/>
        <v>2.5041278534121978E-3</v>
      </c>
      <c r="F73" s="221"/>
      <c r="G73" s="222"/>
      <c r="H73" s="222"/>
      <c r="I73" s="6"/>
      <c r="J73" s="6"/>
      <c r="K73" s="6"/>
      <c r="L73" s="6"/>
      <c r="M73" s="6"/>
      <c r="N73" s="6"/>
      <c r="O73" s="6"/>
      <c r="P73" s="6"/>
      <c r="Q73" s="6"/>
      <c r="R73" s="6"/>
      <c r="S73" s="6"/>
      <c r="T73" s="6"/>
      <c r="U73" s="6"/>
      <c r="V73" s="6"/>
      <c r="W73" s="6"/>
      <c r="X73" s="6"/>
      <c r="Y73" s="6"/>
      <c r="Z73" s="6"/>
    </row>
    <row r="74" spans="1:26">
      <c r="A74" s="432">
        <v>44437</v>
      </c>
      <c r="B74" s="433">
        <v>18100</v>
      </c>
      <c r="C74" s="433">
        <v>1328.14</v>
      </c>
      <c r="D74" s="434">
        <f t="shared" ref="D74:E74" si="72">LN(B74/B75)</f>
        <v>1.6713480973740532E-2</v>
      </c>
      <c r="E74" s="435">
        <f t="shared" si="72"/>
        <v>1.1312560539213073E-2</v>
      </c>
      <c r="F74" s="221"/>
      <c r="G74" s="222"/>
      <c r="H74" s="222"/>
      <c r="I74" s="6"/>
      <c r="J74" s="6"/>
      <c r="K74" s="6"/>
      <c r="L74" s="6"/>
      <c r="M74" s="6"/>
      <c r="N74" s="6"/>
      <c r="O74" s="6"/>
      <c r="P74" s="6"/>
      <c r="Q74" s="6"/>
      <c r="R74" s="6"/>
      <c r="S74" s="6"/>
      <c r="T74" s="6"/>
      <c r="U74" s="6"/>
      <c r="V74" s="6"/>
      <c r="W74" s="6"/>
      <c r="X74" s="6"/>
      <c r="Y74" s="6"/>
      <c r="Z74" s="6"/>
    </row>
    <row r="75" spans="1:26">
      <c r="A75" s="432">
        <v>44434</v>
      </c>
      <c r="B75" s="433">
        <v>17800</v>
      </c>
      <c r="C75" s="433">
        <v>1313.2</v>
      </c>
      <c r="D75" s="434">
        <f t="shared" ref="D75:E75" si="73">LN(B75/B76)</f>
        <v>5.4847800499668788E-2</v>
      </c>
      <c r="E75" s="435">
        <f t="shared" si="73"/>
        <v>9.2414746275105621E-3</v>
      </c>
      <c r="F75" s="221"/>
      <c r="G75" s="222"/>
      <c r="H75" s="222"/>
      <c r="I75" s="6"/>
      <c r="J75" s="6"/>
      <c r="K75" s="6"/>
      <c r="L75" s="6"/>
      <c r="M75" s="6"/>
      <c r="N75" s="6"/>
      <c r="O75" s="6"/>
      <c r="P75" s="6"/>
      <c r="Q75" s="6"/>
      <c r="R75" s="6"/>
      <c r="S75" s="6"/>
      <c r="T75" s="6"/>
      <c r="U75" s="6"/>
      <c r="V75" s="6"/>
      <c r="W75" s="6"/>
      <c r="X75" s="6"/>
      <c r="Y75" s="6"/>
      <c r="Z75" s="6"/>
    </row>
    <row r="76" spans="1:26">
      <c r="A76" s="432">
        <v>44433</v>
      </c>
      <c r="B76" s="433">
        <v>16850</v>
      </c>
      <c r="C76" s="433">
        <v>1301.1199999999999</v>
      </c>
      <c r="D76" s="434">
        <f t="shared" ref="D76:E76" si="74">LN(B76/B77)</f>
        <v>3.9339414560032294E-2</v>
      </c>
      <c r="E76" s="435">
        <f t="shared" si="74"/>
        <v>-6.4581347313152748E-3</v>
      </c>
      <c r="F76" s="221"/>
      <c r="G76" s="222"/>
      <c r="H76" s="222"/>
      <c r="I76" s="6"/>
      <c r="J76" s="6"/>
      <c r="K76" s="6"/>
      <c r="L76" s="6"/>
      <c r="M76" s="6"/>
      <c r="N76" s="6"/>
      <c r="O76" s="6"/>
      <c r="P76" s="6"/>
      <c r="Q76" s="6"/>
      <c r="R76" s="6"/>
      <c r="S76" s="6"/>
      <c r="T76" s="6"/>
      <c r="U76" s="6"/>
      <c r="V76" s="6"/>
      <c r="W76" s="6"/>
      <c r="X76" s="6"/>
      <c r="Y76" s="6"/>
      <c r="Z76" s="6"/>
    </row>
    <row r="77" spans="1:26">
      <c r="A77" s="432">
        <v>44432</v>
      </c>
      <c r="B77" s="433">
        <v>16200</v>
      </c>
      <c r="C77" s="433">
        <v>1309.55</v>
      </c>
      <c r="D77" s="434">
        <f t="shared" ref="D77:E77" si="75">LN(B77/B78)</f>
        <v>9.3023926623134103E-3</v>
      </c>
      <c r="E77" s="435">
        <f t="shared" si="75"/>
        <v>8.2890030587088707E-3</v>
      </c>
      <c r="F77" s="221"/>
      <c r="G77" s="222"/>
      <c r="H77" s="222"/>
      <c r="I77" s="6"/>
      <c r="J77" s="6"/>
      <c r="K77" s="6"/>
      <c r="L77" s="6"/>
      <c r="M77" s="6"/>
      <c r="N77" s="6"/>
      <c r="O77" s="6"/>
      <c r="P77" s="6"/>
      <c r="Q77" s="6"/>
      <c r="R77" s="6"/>
      <c r="S77" s="6"/>
      <c r="T77" s="6"/>
      <c r="U77" s="6"/>
      <c r="V77" s="6"/>
      <c r="W77" s="6"/>
      <c r="X77" s="6"/>
      <c r="Y77" s="6"/>
      <c r="Z77" s="6"/>
    </row>
    <row r="78" spans="1:26">
      <c r="A78" s="432">
        <v>44431</v>
      </c>
      <c r="B78" s="433">
        <v>16050</v>
      </c>
      <c r="C78" s="433">
        <v>1298.74</v>
      </c>
      <c r="D78" s="434">
        <f t="shared" ref="D78:E78" si="76">LN(B78/B79)</f>
        <v>-3.3693845786472644E-2</v>
      </c>
      <c r="E78" s="435">
        <f t="shared" si="76"/>
        <v>-9.2392978199295307E-5</v>
      </c>
      <c r="F78" s="221"/>
      <c r="G78" s="222"/>
      <c r="H78" s="222"/>
      <c r="I78" s="6"/>
      <c r="J78" s="6"/>
      <c r="K78" s="6"/>
      <c r="L78" s="6"/>
      <c r="M78" s="6"/>
      <c r="N78" s="6"/>
      <c r="O78" s="6"/>
      <c r="P78" s="6"/>
      <c r="Q78" s="6"/>
      <c r="R78" s="6"/>
      <c r="S78" s="6"/>
      <c r="T78" s="6"/>
      <c r="U78" s="6"/>
      <c r="V78" s="6"/>
      <c r="W78" s="6"/>
      <c r="X78" s="6"/>
      <c r="Y78" s="6"/>
      <c r="Z78" s="6"/>
    </row>
    <row r="79" spans="1:26">
      <c r="A79" s="432">
        <v>44430</v>
      </c>
      <c r="B79" s="433">
        <v>16600</v>
      </c>
      <c r="C79" s="433">
        <v>1298.8599999999999</v>
      </c>
      <c r="D79" s="434">
        <f t="shared" ref="D79:E79" si="77">LN(B79/B80)</f>
        <v>5.4774034380283766E-4</v>
      </c>
      <c r="E79" s="435">
        <f t="shared" si="77"/>
        <v>-2.3263322273513139E-2</v>
      </c>
      <c r="F79" s="221"/>
      <c r="G79" s="222"/>
      <c r="H79" s="222"/>
      <c r="I79" s="6"/>
      <c r="J79" s="6"/>
      <c r="K79" s="6"/>
      <c r="L79" s="6"/>
      <c r="M79" s="6"/>
      <c r="N79" s="6"/>
      <c r="O79" s="6"/>
      <c r="P79" s="6"/>
      <c r="Q79" s="6"/>
      <c r="R79" s="6"/>
      <c r="S79" s="6"/>
      <c r="T79" s="6"/>
      <c r="U79" s="6"/>
      <c r="V79" s="6"/>
      <c r="W79" s="6"/>
      <c r="X79" s="6"/>
      <c r="Y79" s="6"/>
      <c r="Z79" s="6"/>
    </row>
    <row r="80" spans="1:26">
      <c r="A80" s="432">
        <v>44427</v>
      </c>
      <c r="B80" s="433">
        <v>16590.91</v>
      </c>
      <c r="C80" s="433">
        <v>1329.43</v>
      </c>
      <c r="D80" s="434">
        <f t="shared" ref="D80:E80" si="78">LN(B80/B81)</f>
        <v>-3.0015884598389685E-2</v>
      </c>
      <c r="E80" s="435">
        <f t="shared" si="78"/>
        <v>-3.3594355316488758E-2</v>
      </c>
      <c r="F80" s="221"/>
      <c r="G80" s="222"/>
      <c r="H80" s="222"/>
      <c r="I80" s="6"/>
      <c r="J80" s="6"/>
      <c r="K80" s="6"/>
      <c r="L80" s="6"/>
      <c r="M80" s="6"/>
      <c r="N80" s="6"/>
      <c r="O80" s="6"/>
      <c r="P80" s="6"/>
      <c r="Q80" s="6"/>
      <c r="R80" s="6"/>
      <c r="S80" s="6"/>
      <c r="T80" s="6"/>
      <c r="U80" s="6"/>
      <c r="V80" s="6"/>
      <c r="W80" s="6"/>
      <c r="X80" s="6"/>
      <c r="Y80" s="6"/>
      <c r="Z80" s="6"/>
    </row>
    <row r="81" spans="1:26">
      <c r="A81" s="432">
        <v>44426</v>
      </c>
      <c r="B81" s="433">
        <v>17096.45</v>
      </c>
      <c r="C81" s="433">
        <v>1374.85</v>
      </c>
      <c r="D81" s="434">
        <f t="shared" ref="D81:E81" si="79">LN(B81/B82)</f>
        <v>3.0015884598389619E-2</v>
      </c>
      <c r="E81" s="435">
        <f t="shared" si="79"/>
        <v>1.0168996792498469E-2</v>
      </c>
      <c r="F81" s="221"/>
      <c r="G81" s="222"/>
      <c r="H81" s="222"/>
      <c r="I81" s="6"/>
      <c r="J81" s="6"/>
      <c r="K81" s="6"/>
      <c r="L81" s="6"/>
      <c r="M81" s="6"/>
      <c r="N81" s="6"/>
      <c r="O81" s="6"/>
      <c r="P81" s="6"/>
      <c r="Q81" s="6"/>
      <c r="R81" s="6"/>
      <c r="S81" s="6"/>
      <c r="T81" s="6"/>
      <c r="U81" s="6"/>
      <c r="V81" s="6"/>
      <c r="W81" s="6"/>
      <c r="X81" s="6"/>
      <c r="Y81" s="6"/>
      <c r="Z81" s="6"/>
    </row>
    <row r="82" spans="1:26">
      <c r="A82" s="432">
        <v>44425</v>
      </c>
      <c r="B82" s="433">
        <v>16590.91</v>
      </c>
      <c r="C82" s="433">
        <v>1360.94</v>
      </c>
      <c r="D82" s="434">
        <f t="shared" ref="D82:E82" si="80">LN(B82/B83)</f>
        <v>8.3446924495687146E-3</v>
      </c>
      <c r="E82" s="435">
        <f t="shared" si="80"/>
        <v>-1.5785438827381133E-3</v>
      </c>
      <c r="F82" s="221"/>
      <c r="G82" s="222"/>
      <c r="H82" s="222"/>
      <c r="I82" s="6"/>
      <c r="J82" s="6"/>
      <c r="K82" s="6"/>
      <c r="L82" s="6"/>
      <c r="M82" s="6"/>
      <c r="N82" s="6"/>
      <c r="O82" s="6"/>
      <c r="P82" s="6"/>
      <c r="Q82" s="6"/>
      <c r="R82" s="6"/>
      <c r="S82" s="6"/>
      <c r="T82" s="6"/>
      <c r="U82" s="6"/>
      <c r="V82" s="6"/>
      <c r="W82" s="6"/>
      <c r="X82" s="6"/>
      <c r="Y82" s="6"/>
      <c r="Z82" s="6"/>
    </row>
    <row r="83" spans="1:26">
      <c r="A83" s="432">
        <v>44424</v>
      </c>
      <c r="B83" s="433">
        <v>16453.04</v>
      </c>
      <c r="C83" s="433">
        <v>1363.09</v>
      </c>
      <c r="D83" s="434">
        <f t="shared" ref="D83:E83" si="81">LN(B83/B84)</f>
        <v>-2.4828629799188987E-2</v>
      </c>
      <c r="E83" s="435">
        <f t="shared" si="81"/>
        <v>-5.7570430216194648E-3</v>
      </c>
      <c r="F83" s="221"/>
      <c r="G83" s="222"/>
      <c r="H83" s="222"/>
      <c r="I83" s="6"/>
      <c r="J83" s="6"/>
      <c r="K83" s="6"/>
      <c r="L83" s="6"/>
      <c r="M83" s="6"/>
      <c r="N83" s="6"/>
      <c r="O83" s="6"/>
      <c r="P83" s="6"/>
      <c r="Q83" s="6"/>
      <c r="R83" s="6"/>
      <c r="S83" s="6"/>
      <c r="T83" s="6"/>
      <c r="U83" s="6"/>
      <c r="V83" s="6"/>
      <c r="W83" s="6"/>
      <c r="X83" s="6"/>
      <c r="Y83" s="6"/>
      <c r="Z83" s="6"/>
    </row>
    <row r="84" spans="1:26">
      <c r="A84" s="432">
        <v>44423</v>
      </c>
      <c r="B84" s="433">
        <v>16866.66</v>
      </c>
      <c r="C84" s="433">
        <v>1370.96</v>
      </c>
      <c r="D84" s="434">
        <f t="shared" ref="D84:E84" si="82">LN(B84/B85)</f>
        <v>2.762594337988231E-2</v>
      </c>
      <c r="E84" s="435">
        <f t="shared" si="82"/>
        <v>1.0197998212733461E-2</v>
      </c>
      <c r="F84" s="221"/>
      <c r="G84" s="222"/>
      <c r="H84" s="222"/>
      <c r="I84" s="6"/>
      <c r="J84" s="6"/>
      <c r="K84" s="6"/>
      <c r="L84" s="6"/>
      <c r="M84" s="6"/>
      <c r="N84" s="6"/>
      <c r="O84" s="6"/>
      <c r="P84" s="6"/>
      <c r="Q84" s="6"/>
      <c r="R84" s="6"/>
      <c r="S84" s="6"/>
      <c r="T84" s="6"/>
      <c r="U84" s="6"/>
      <c r="V84" s="6"/>
      <c r="W84" s="6"/>
      <c r="X84" s="6"/>
      <c r="Y84" s="6"/>
      <c r="Z84" s="6"/>
    </row>
    <row r="85" spans="1:26">
      <c r="A85" s="432">
        <v>44420</v>
      </c>
      <c r="B85" s="433">
        <v>16407.080000000002</v>
      </c>
      <c r="C85" s="433">
        <v>1357.05</v>
      </c>
      <c r="D85" s="434">
        <f t="shared" ref="D85:E85" si="83">LN(B85/B86)</f>
        <v>-5.5862179233517554E-3</v>
      </c>
      <c r="E85" s="435">
        <f t="shared" si="83"/>
        <v>2.9519227368846376E-3</v>
      </c>
      <c r="F85" s="221"/>
      <c r="G85" s="222"/>
      <c r="H85" s="222"/>
      <c r="I85" s="6"/>
      <c r="J85" s="6"/>
      <c r="K85" s="6"/>
      <c r="L85" s="6"/>
      <c r="M85" s="6"/>
      <c r="N85" s="6"/>
      <c r="O85" s="6"/>
      <c r="P85" s="6"/>
      <c r="Q85" s="6"/>
      <c r="R85" s="6"/>
      <c r="S85" s="6"/>
      <c r="T85" s="6"/>
      <c r="U85" s="6"/>
      <c r="V85" s="6"/>
      <c r="W85" s="6"/>
      <c r="X85" s="6"/>
      <c r="Y85" s="6"/>
      <c r="Z85" s="6"/>
    </row>
    <row r="86" spans="1:26">
      <c r="A86" s="432">
        <v>44419</v>
      </c>
      <c r="B86" s="433">
        <v>16498.990000000002</v>
      </c>
      <c r="C86" s="433">
        <v>1353.05</v>
      </c>
      <c r="D86" s="434">
        <f t="shared" ref="D86:E86" si="84">LN(B86/B87)</f>
        <v>6.6211334952951464E-2</v>
      </c>
      <c r="E86" s="435">
        <f t="shared" si="84"/>
        <v>-3.4970745825379751E-3</v>
      </c>
      <c r="F86" s="221"/>
      <c r="G86" s="222"/>
      <c r="H86" s="222"/>
      <c r="I86" s="6"/>
      <c r="J86" s="6"/>
      <c r="K86" s="6"/>
      <c r="L86" s="6"/>
      <c r="M86" s="6"/>
      <c r="N86" s="6"/>
      <c r="O86" s="6"/>
      <c r="P86" s="6"/>
      <c r="Q86" s="6"/>
      <c r="R86" s="6"/>
      <c r="S86" s="6"/>
      <c r="T86" s="6"/>
      <c r="U86" s="6"/>
      <c r="V86" s="6"/>
      <c r="W86" s="6"/>
      <c r="X86" s="6"/>
      <c r="Y86" s="6"/>
      <c r="Z86" s="6"/>
    </row>
    <row r="87" spans="1:26">
      <c r="A87" s="432">
        <v>44418</v>
      </c>
      <c r="B87" s="433">
        <v>15441.95</v>
      </c>
      <c r="C87" s="433">
        <v>1357.79</v>
      </c>
      <c r="D87" s="434">
        <f t="shared" ref="D87:E87" si="85">LN(B87/B88)</f>
        <v>-1.769963390524204E-2</v>
      </c>
      <c r="E87" s="435">
        <f t="shared" si="85"/>
        <v>-3.4114920852970887E-3</v>
      </c>
      <c r="F87" s="221"/>
      <c r="G87" s="222"/>
      <c r="H87" s="222"/>
      <c r="I87" s="6"/>
      <c r="J87" s="6"/>
      <c r="K87" s="6"/>
      <c r="L87" s="6"/>
      <c r="M87" s="6"/>
      <c r="N87" s="6"/>
      <c r="O87" s="6"/>
      <c r="P87" s="6"/>
      <c r="Q87" s="6"/>
      <c r="R87" s="6"/>
      <c r="S87" s="6"/>
      <c r="T87" s="6"/>
      <c r="U87" s="6"/>
      <c r="V87" s="6"/>
      <c r="W87" s="6"/>
      <c r="X87" s="6"/>
      <c r="Y87" s="6"/>
      <c r="Z87" s="6"/>
    </row>
    <row r="88" spans="1:26">
      <c r="A88" s="432">
        <v>44417</v>
      </c>
      <c r="B88" s="433">
        <v>15717.7</v>
      </c>
      <c r="C88" s="433">
        <v>1362.43</v>
      </c>
      <c r="D88" s="434">
        <f t="shared" ref="D88:E88" si="86">LN(B88/B89)</f>
        <v>5.8647115197236642E-3</v>
      </c>
      <c r="E88" s="435">
        <f t="shared" si="86"/>
        <v>1.8881168159901901E-3</v>
      </c>
      <c r="F88" s="221"/>
      <c r="G88" s="222"/>
      <c r="H88" s="222"/>
      <c r="I88" s="6"/>
      <c r="J88" s="6"/>
      <c r="K88" s="6"/>
      <c r="L88" s="6"/>
      <c r="M88" s="6"/>
      <c r="N88" s="6"/>
      <c r="O88" s="6"/>
      <c r="P88" s="6"/>
      <c r="Q88" s="6"/>
      <c r="R88" s="6"/>
      <c r="S88" s="6"/>
      <c r="T88" s="6"/>
      <c r="U88" s="6"/>
      <c r="V88" s="6"/>
      <c r="W88" s="6"/>
      <c r="X88" s="6"/>
      <c r="Y88" s="6"/>
      <c r="Z88" s="6"/>
    </row>
    <row r="89" spans="1:26">
      <c r="A89" s="432">
        <v>44416</v>
      </c>
      <c r="B89" s="433">
        <v>15625.79</v>
      </c>
      <c r="C89" s="433">
        <v>1359.86</v>
      </c>
      <c r="D89" s="434">
        <f t="shared" ref="D89:E89" si="87">LN(B89/B90)</f>
        <v>2.9852827398978307E-2</v>
      </c>
      <c r="E89" s="435">
        <f t="shared" si="87"/>
        <v>1.3630634794520714E-2</v>
      </c>
      <c r="F89" s="221"/>
      <c r="G89" s="222"/>
      <c r="H89" s="222"/>
      <c r="I89" s="6"/>
      <c r="J89" s="6"/>
      <c r="K89" s="6"/>
      <c r="L89" s="6"/>
      <c r="M89" s="6"/>
      <c r="N89" s="6"/>
      <c r="O89" s="6"/>
      <c r="P89" s="6"/>
      <c r="Q89" s="6"/>
      <c r="R89" s="6"/>
      <c r="S89" s="6"/>
      <c r="T89" s="6"/>
      <c r="U89" s="6"/>
      <c r="V89" s="6"/>
      <c r="W89" s="6"/>
      <c r="X89" s="6"/>
      <c r="Y89" s="6"/>
      <c r="Z89" s="6"/>
    </row>
    <row r="90" spans="1:26">
      <c r="A90" s="432">
        <v>44413</v>
      </c>
      <c r="B90" s="433">
        <v>15166.21</v>
      </c>
      <c r="C90" s="433">
        <v>1341.45</v>
      </c>
      <c r="D90" s="434">
        <f t="shared" ref="D90:E90" si="88">LN(B90/B91)</f>
        <v>1.8349187509717233E-2</v>
      </c>
      <c r="E90" s="435">
        <f t="shared" si="88"/>
        <v>-3.051732922937382E-3</v>
      </c>
      <c r="F90" s="221"/>
      <c r="G90" s="222"/>
      <c r="H90" s="222"/>
      <c r="I90" s="6"/>
      <c r="J90" s="6"/>
      <c r="K90" s="6"/>
      <c r="L90" s="6"/>
      <c r="M90" s="6"/>
      <c r="N90" s="6"/>
      <c r="O90" s="6"/>
      <c r="P90" s="6"/>
      <c r="Q90" s="6"/>
      <c r="R90" s="6"/>
      <c r="S90" s="6"/>
      <c r="T90" s="6"/>
      <c r="U90" s="6"/>
      <c r="V90" s="6"/>
      <c r="W90" s="6"/>
      <c r="X90" s="6"/>
      <c r="Y90" s="6"/>
      <c r="Z90" s="6"/>
    </row>
    <row r="91" spans="1:26">
      <c r="A91" s="432">
        <v>44412</v>
      </c>
      <c r="B91" s="433">
        <v>14890.46</v>
      </c>
      <c r="C91" s="433">
        <v>1345.55</v>
      </c>
      <c r="D91" s="434">
        <f t="shared" ref="D91:E91" si="89">LN(B91/B92)</f>
        <v>3.0913131613631239E-3</v>
      </c>
      <c r="E91" s="435">
        <f t="shared" si="89"/>
        <v>8.0663350707148914E-3</v>
      </c>
      <c r="F91" s="221"/>
      <c r="G91" s="222"/>
      <c r="H91" s="222"/>
      <c r="I91" s="6"/>
      <c r="J91" s="6"/>
      <c r="K91" s="6"/>
      <c r="L91" s="6"/>
      <c r="M91" s="6"/>
      <c r="N91" s="6"/>
      <c r="O91" s="6"/>
      <c r="P91" s="6"/>
      <c r="Q91" s="6"/>
      <c r="R91" s="6"/>
      <c r="S91" s="6"/>
      <c r="T91" s="6"/>
      <c r="U91" s="6"/>
      <c r="V91" s="6"/>
      <c r="W91" s="6"/>
      <c r="X91" s="6"/>
      <c r="Y91" s="6"/>
      <c r="Z91" s="6"/>
    </row>
    <row r="92" spans="1:26">
      <c r="A92" s="432">
        <v>44411</v>
      </c>
      <c r="B92" s="433">
        <v>14844.5</v>
      </c>
      <c r="C92" s="433">
        <v>1334.74</v>
      </c>
      <c r="D92" s="434">
        <f t="shared" ref="D92:E92" si="90">LN(B92/B93)</f>
        <v>9.3316937262332006E-3</v>
      </c>
      <c r="E92" s="435">
        <f t="shared" si="90"/>
        <v>1.7246684289090458E-3</v>
      </c>
      <c r="F92" s="221"/>
      <c r="G92" s="222"/>
      <c r="H92" s="222"/>
      <c r="I92" s="6"/>
      <c r="J92" s="6"/>
      <c r="K92" s="6"/>
      <c r="L92" s="6"/>
      <c r="M92" s="6"/>
      <c r="N92" s="6"/>
      <c r="O92" s="6"/>
      <c r="P92" s="6"/>
      <c r="Q92" s="6"/>
      <c r="R92" s="6"/>
      <c r="S92" s="6"/>
      <c r="T92" s="6"/>
      <c r="U92" s="6"/>
      <c r="V92" s="6"/>
      <c r="W92" s="6"/>
      <c r="X92" s="6"/>
      <c r="Y92" s="6"/>
      <c r="Z92" s="6"/>
    </row>
    <row r="93" spans="1:26">
      <c r="A93" s="432">
        <v>44410</v>
      </c>
      <c r="B93" s="433">
        <v>14706.62</v>
      </c>
      <c r="C93" s="433">
        <v>1332.44</v>
      </c>
      <c r="D93" s="434">
        <f t="shared" ref="D93:E93" si="91">LN(B93/B94)</f>
        <v>-6.2307947072631356E-3</v>
      </c>
      <c r="E93" s="435">
        <f t="shared" si="91"/>
        <v>1.3768514151836629E-2</v>
      </c>
      <c r="F93" s="221"/>
      <c r="G93" s="222"/>
      <c r="H93" s="222"/>
      <c r="I93" s="6"/>
      <c r="J93" s="6"/>
      <c r="K93" s="6"/>
      <c r="L93" s="6"/>
      <c r="M93" s="6"/>
      <c r="N93" s="6"/>
      <c r="O93" s="6"/>
      <c r="P93" s="6"/>
      <c r="Q93" s="6"/>
      <c r="R93" s="6"/>
      <c r="S93" s="6"/>
      <c r="T93" s="6"/>
      <c r="U93" s="6"/>
      <c r="V93" s="6"/>
      <c r="W93" s="6"/>
      <c r="X93" s="6"/>
      <c r="Y93" s="6"/>
      <c r="Z93" s="6"/>
    </row>
    <row r="94" spans="1:26">
      <c r="A94" s="432">
        <v>44409</v>
      </c>
      <c r="B94" s="433">
        <v>14798.54</v>
      </c>
      <c r="C94" s="433">
        <v>1314.22</v>
      </c>
      <c r="D94" s="434">
        <f t="shared" ref="D94:E94" si="92">LN(B94/B95)</f>
        <v>1.5649703453392529E-2</v>
      </c>
      <c r="E94" s="435">
        <f t="shared" si="92"/>
        <v>3.1780293260254906E-3</v>
      </c>
      <c r="F94" s="221"/>
      <c r="G94" s="222"/>
      <c r="H94" s="222"/>
      <c r="I94" s="6"/>
      <c r="J94" s="6"/>
      <c r="K94" s="6"/>
      <c r="L94" s="6"/>
      <c r="M94" s="6"/>
      <c r="N94" s="6"/>
      <c r="O94" s="6"/>
      <c r="P94" s="6"/>
      <c r="Q94" s="6"/>
      <c r="R94" s="6"/>
      <c r="S94" s="6"/>
      <c r="T94" s="6"/>
      <c r="U94" s="6"/>
      <c r="V94" s="6"/>
      <c r="W94" s="6"/>
      <c r="X94" s="6"/>
      <c r="Y94" s="6"/>
      <c r="Z94" s="6"/>
    </row>
    <row r="95" spans="1:26">
      <c r="A95" s="432">
        <v>44406</v>
      </c>
      <c r="B95" s="433">
        <v>14568.75</v>
      </c>
      <c r="C95" s="433">
        <v>1310.05</v>
      </c>
      <c r="D95" s="434">
        <f t="shared" ref="D95:E95" si="93">LN(B95/B96)</f>
        <v>0</v>
      </c>
      <c r="E95" s="435">
        <f t="shared" si="93"/>
        <v>1.2636275142854264E-2</v>
      </c>
      <c r="F95" s="221"/>
      <c r="G95" s="222"/>
      <c r="H95" s="222"/>
      <c r="I95" s="6"/>
      <c r="J95" s="6"/>
      <c r="K95" s="6"/>
      <c r="L95" s="6"/>
      <c r="M95" s="6"/>
      <c r="N95" s="6"/>
      <c r="O95" s="6"/>
      <c r="P95" s="6"/>
      <c r="Q95" s="6"/>
      <c r="R95" s="6"/>
      <c r="S95" s="6"/>
      <c r="T95" s="6"/>
      <c r="U95" s="6"/>
      <c r="V95" s="6"/>
      <c r="W95" s="6"/>
      <c r="X95" s="6"/>
      <c r="Y95" s="6"/>
      <c r="Z95" s="6"/>
    </row>
    <row r="96" spans="1:26">
      <c r="A96" s="432">
        <v>44405</v>
      </c>
      <c r="B96" s="433">
        <v>14568.75</v>
      </c>
      <c r="C96" s="433">
        <v>1293.5999999999999</v>
      </c>
      <c r="D96" s="434">
        <f t="shared" ref="D96:E96" si="94">LN(B96/B97)</f>
        <v>6.3293834633554886E-3</v>
      </c>
      <c r="E96" s="435">
        <f t="shared" si="94"/>
        <v>1.2860637757757254E-2</v>
      </c>
      <c r="F96" s="221"/>
      <c r="G96" s="222"/>
      <c r="H96" s="222"/>
      <c r="I96" s="6"/>
      <c r="J96" s="6"/>
      <c r="K96" s="6"/>
      <c r="L96" s="6"/>
      <c r="M96" s="6"/>
      <c r="N96" s="6"/>
      <c r="O96" s="6"/>
      <c r="P96" s="6"/>
      <c r="Q96" s="6"/>
      <c r="R96" s="6"/>
      <c r="S96" s="6"/>
      <c r="T96" s="6"/>
      <c r="U96" s="6"/>
      <c r="V96" s="6"/>
      <c r="W96" s="6"/>
      <c r="X96" s="6"/>
      <c r="Y96" s="6"/>
      <c r="Z96" s="6"/>
    </row>
    <row r="97" spans="1:26">
      <c r="A97" s="432">
        <v>44404</v>
      </c>
      <c r="B97" s="433">
        <v>14476.83</v>
      </c>
      <c r="C97" s="433">
        <v>1277.07</v>
      </c>
      <c r="D97" s="434">
        <f t="shared" ref="D97:E97" si="95">LN(B97/B98)</f>
        <v>0</v>
      </c>
      <c r="E97" s="435">
        <f t="shared" si="95"/>
        <v>1.0963194999216816E-4</v>
      </c>
      <c r="F97" s="221"/>
      <c r="G97" s="222"/>
      <c r="H97" s="222"/>
      <c r="I97" s="6"/>
      <c r="J97" s="6"/>
      <c r="K97" s="6"/>
      <c r="L97" s="6"/>
      <c r="M97" s="6"/>
      <c r="N97" s="6"/>
      <c r="O97" s="6"/>
      <c r="P97" s="6"/>
      <c r="Q97" s="6"/>
      <c r="R97" s="6"/>
      <c r="S97" s="6"/>
      <c r="T97" s="6"/>
      <c r="U97" s="6"/>
      <c r="V97" s="6"/>
      <c r="W97" s="6"/>
      <c r="X97" s="6"/>
      <c r="Y97" s="6"/>
      <c r="Z97" s="6"/>
    </row>
    <row r="98" spans="1:26">
      <c r="A98" s="432">
        <v>44403</v>
      </c>
      <c r="B98" s="433">
        <v>14476.83</v>
      </c>
      <c r="C98" s="433">
        <v>1276.93</v>
      </c>
      <c r="D98" s="434">
        <f t="shared" ref="D98:E98" si="96">LN(B98/B99)</f>
        <v>-3.1696993601972208E-3</v>
      </c>
      <c r="E98" s="435">
        <f t="shared" si="96"/>
        <v>3.3102742767865392E-3</v>
      </c>
      <c r="F98" s="221"/>
      <c r="G98" s="222"/>
      <c r="H98" s="222"/>
      <c r="I98" s="6"/>
      <c r="J98" s="6"/>
      <c r="K98" s="6"/>
      <c r="L98" s="6"/>
      <c r="M98" s="6"/>
      <c r="N98" s="6"/>
      <c r="O98" s="6"/>
      <c r="P98" s="6"/>
      <c r="Q98" s="6"/>
      <c r="R98" s="6"/>
      <c r="S98" s="6"/>
      <c r="T98" s="6"/>
      <c r="U98" s="6"/>
      <c r="V98" s="6"/>
      <c r="W98" s="6"/>
      <c r="X98" s="6"/>
      <c r="Y98" s="6"/>
      <c r="Z98" s="6"/>
    </row>
    <row r="99" spans="1:26">
      <c r="A99" s="432">
        <v>44402</v>
      </c>
      <c r="B99" s="433">
        <v>14522.79</v>
      </c>
      <c r="C99" s="433">
        <v>1272.71</v>
      </c>
      <c r="D99" s="434">
        <f t="shared" ref="D99:E99" si="97">LN(B99/B100)</f>
        <v>0</v>
      </c>
      <c r="E99" s="435">
        <f t="shared" si="97"/>
        <v>3.0532692889033378E-3</v>
      </c>
      <c r="F99" s="221"/>
      <c r="G99" s="222"/>
      <c r="H99" s="222"/>
      <c r="I99" s="6"/>
      <c r="J99" s="6"/>
      <c r="K99" s="6"/>
      <c r="L99" s="6"/>
      <c r="M99" s="6"/>
      <c r="N99" s="6"/>
      <c r="O99" s="6"/>
      <c r="P99" s="6"/>
      <c r="Q99" s="6"/>
      <c r="R99" s="6"/>
      <c r="S99" s="6"/>
      <c r="T99" s="6"/>
      <c r="U99" s="6"/>
      <c r="V99" s="6"/>
      <c r="W99" s="6"/>
      <c r="X99" s="6"/>
      <c r="Y99" s="6"/>
      <c r="Z99" s="6"/>
    </row>
    <row r="100" spans="1:26">
      <c r="A100" s="432">
        <v>44399</v>
      </c>
      <c r="B100" s="433">
        <v>14522.79</v>
      </c>
      <c r="C100" s="433">
        <v>1268.83</v>
      </c>
      <c r="D100" s="434">
        <f t="shared" ref="D100:E100" si="98">LN(B100/B101)</f>
        <v>-2.1910286575520806E-2</v>
      </c>
      <c r="E100" s="435">
        <f t="shared" si="98"/>
        <v>-1.9387924363520402E-2</v>
      </c>
      <c r="F100" s="221"/>
      <c r="G100" s="222"/>
      <c r="H100" s="222"/>
      <c r="I100" s="6"/>
      <c r="J100" s="6"/>
      <c r="K100" s="6"/>
      <c r="L100" s="6"/>
      <c r="M100" s="6"/>
      <c r="N100" s="6"/>
      <c r="O100" s="6"/>
      <c r="P100" s="6"/>
      <c r="Q100" s="6"/>
      <c r="R100" s="6"/>
      <c r="S100" s="6"/>
      <c r="T100" s="6"/>
      <c r="U100" s="6"/>
      <c r="V100" s="6"/>
      <c r="W100" s="6"/>
      <c r="X100" s="6"/>
      <c r="Y100" s="6"/>
      <c r="Z100" s="6"/>
    </row>
    <row r="101" spans="1:26">
      <c r="A101" s="432">
        <v>44398</v>
      </c>
      <c r="B101" s="433">
        <v>14844.5</v>
      </c>
      <c r="C101" s="433">
        <v>1293.67</v>
      </c>
      <c r="D101" s="434">
        <f t="shared" ref="D101:E101" si="99">LN(B101/B102)</f>
        <v>1.5600870535388774E-2</v>
      </c>
      <c r="E101" s="435">
        <f t="shared" si="99"/>
        <v>1.7844386047438984E-2</v>
      </c>
      <c r="F101" s="221"/>
      <c r="G101" s="222"/>
      <c r="H101" s="222"/>
      <c r="I101" s="6"/>
      <c r="J101" s="6"/>
      <c r="K101" s="6"/>
      <c r="L101" s="6"/>
      <c r="M101" s="6"/>
      <c r="N101" s="6"/>
      <c r="O101" s="6"/>
      <c r="P101" s="6"/>
      <c r="Q101" s="6"/>
      <c r="R101" s="6"/>
      <c r="S101" s="6"/>
      <c r="T101" s="6"/>
      <c r="U101" s="6"/>
      <c r="V101" s="6"/>
      <c r="W101" s="6"/>
      <c r="X101" s="6"/>
      <c r="Y101" s="6"/>
      <c r="Z101" s="6"/>
    </row>
    <row r="102" spans="1:26">
      <c r="A102" s="432">
        <v>44397</v>
      </c>
      <c r="B102" s="433">
        <v>14614.71</v>
      </c>
      <c r="C102" s="433">
        <v>1270.79</v>
      </c>
      <c r="D102" s="434">
        <f t="shared" ref="D102:E102" si="100">LN(B102/B103)</f>
        <v>2.5479389899131559E-2</v>
      </c>
      <c r="E102" s="435">
        <f t="shared" si="100"/>
        <v>-1.9653476342775659E-3</v>
      </c>
      <c r="F102" s="221"/>
      <c r="G102" s="222"/>
      <c r="H102" s="222"/>
      <c r="I102" s="6"/>
      <c r="J102" s="6"/>
      <c r="K102" s="6"/>
      <c r="L102" s="6"/>
      <c r="M102" s="6"/>
      <c r="N102" s="6"/>
      <c r="O102" s="6"/>
      <c r="P102" s="6"/>
      <c r="Q102" s="6"/>
      <c r="R102" s="6"/>
      <c r="S102" s="6"/>
      <c r="T102" s="6"/>
      <c r="U102" s="6"/>
      <c r="V102" s="6"/>
      <c r="W102" s="6"/>
      <c r="X102" s="6"/>
      <c r="Y102" s="6"/>
      <c r="Z102" s="6"/>
    </row>
    <row r="103" spans="1:26">
      <c r="A103" s="432">
        <v>44396</v>
      </c>
      <c r="B103" s="433">
        <v>14247.04</v>
      </c>
      <c r="C103" s="433">
        <v>1273.29</v>
      </c>
      <c r="D103" s="434">
        <f t="shared" ref="D103:E103" si="101">LN(B103/B104)</f>
        <v>1.6260451832420465E-2</v>
      </c>
      <c r="E103" s="435">
        <f t="shared" si="101"/>
        <v>2.3666075911242125E-2</v>
      </c>
      <c r="F103" s="221"/>
      <c r="G103" s="222"/>
      <c r="H103" s="222"/>
      <c r="I103" s="6"/>
      <c r="J103" s="6"/>
      <c r="K103" s="6"/>
      <c r="L103" s="6"/>
      <c r="M103" s="6"/>
      <c r="N103" s="6"/>
      <c r="O103" s="6"/>
      <c r="P103" s="6"/>
      <c r="Q103" s="6"/>
      <c r="R103" s="6"/>
      <c r="S103" s="6"/>
      <c r="T103" s="6"/>
      <c r="U103" s="6"/>
      <c r="V103" s="6"/>
      <c r="W103" s="6"/>
      <c r="X103" s="6"/>
      <c r="Y103" s="6"/>
      <c r="Z103" s="6"/>
    </row>
    <row r="104" spans="1:26">
      <c r="A104" s="432">
        <v>44395</v>
      </c>
      <c r="B104" s="433">
        <v>14017.25</v>
      </c>
      <c r="C104" s="433">
        <v>1243.51</v>
      </c>
      <c r="D104" s="434">
        <f t="shared" ref="D104:E104" si="102">LN(B104/B105)</f>
        <v>-3.5430425691419874E-2</v>
      </c>
      <c r="E104" s="435">
        <f t="shared" si="102"/>
        <v>-4.3895328282433851E-2</v>
      </c>
      <c r="F104" s="221"/>
      <c r="G104" s="222"/>
      <c r="H104" s="222"/>
      <c r="I104" s="6"/>
      <c r="J104" s="6"/>
      <c r="K104" s="6"/>
      <c r="L104" s="6"/>
      <c r="M104" s="6"/>
      <c r="N104" s="6"/>
      <c r="O104" s="6"/>
      <c r="P104" s="6"/>
      <c r="Q104" s="6"/>
      <c r="R104" s="6"/>
      <c r="S104" s="6"/>
      <c r="T104" s="6"/>
      <c r="U104" s="6"/>
      <c r="V104" s="6"/>
      <c r="W104" s="6"/>
      <c r="X104" s="6"/>
      <c r="Y104" s="6"/>
      <c r="Z104" s="6"/>
    </row>
    <row r="105" spans="1:26">
      <c r="A105" s="432">
        <v>44392</v>
      </c>
      <c r="B105" s="433">
        <v>14522.79</v>
      </c>
      <c r="C105" s="433">
        <v>1299.31</v>
      </c>
      <c r="D105" s="434">
        <f t="shared" ref="D105:E105" si="103">LN(B105/B106)</f>
        <v>-9.4485762101898709E-3</v>
      </c>
      <c r="E105" s="435">
        <f t="shared" si="103"/>
        <v>4.1569839634965954E-3</v>
      </c>
      <c r="F105" s="221"/>
      <c r="G105" s="222"/>
      <c r="H105" s="222"/>
      <c r="I105" s="6"/>
      <c r="J105" s="6"/>
      <c r="K105" s="6"/>
      <c r="L105" s="6"/>
      <c r="M105" s="6"/>
      <c r="N105" s="6"/>
      <c r="O105" s="6"/>
      <c r="P105" s="6"/>
      <c r="Q105" s="6"/>
      <c r="R105" s="6"/>
      <c r="S105" s="6"/>
      <c r="T105" s="6"/>
      <c r="U105" s="6"/>
      <c r="V105" s="6"/>
      <c r="W105" s="6"/>
      <c r="X105" s="6"/>
      <c r="Y105" s="6"/>
      <c r="Z105" s="6"/>
    </row>
    <row r="106" spans="1:26">
      <c r="A106" s="432">
        <v>44391</v>
      </c>
      <c r="B106" s="433">
        <v>14660.66</v>
      </c>
      <c r="C106" s="433">
        <v>1293.92</v>
      </c>
      <c r="D106" s="434">
        <f t="shared" ref="D106:E106" si="104">LN(B106/B107)</f>
        <v>2.8618550069189477E-2</v>
      </c>
      <c r="E106" s="435">
        <f t="shared" si="104"/>
        <v>1.0886607405888865E-2</v>
      </c>
      <c r="F106" s="221"/>
      <c r="G106" s="222"/>
      <c r="H106" s="222"/>
      <c r="I106" s="6"/>
      <c r="J106" s="6"/>
      <c r="K106" s="6"/>
      <c r="L106" s="6"/>
      <c r="M106" s="6"/>
      <c r="N106" s="6"/>
      <c r="O106" s="6"/>
      <c r="P106" s="6"/>
      <c r="Q106" s="6"/>
      <c r="R106" s="6"/>
      <c r="S106" s="6"/>
      <c r="T106" s="6"/>
      <c r="U106" s="6"/>
      <c r="V106" s="6"/>
      <c r="W106" s="6"/>
      <c r="X106" s="6"/>
      <c r="Y106" s="6"/>
      <c r="Z106" s="6"/>
    </row>
    <row r="107" spans="1:26">
      <c r="A107" s="432">
        <v>44390</v>
      </c>
      <c r="B107" s="433">
        <v>14247.04</v>
      </c>
      <c r="C107" s="433">
        <v>1279.9100000000001</v>
      </c>
      <c r="D107" s="434">
        <f t="shared" ref="D107:E107" si="105">LN(B107/B108)</f>
        <v>0</v>
      </c>
      <c r="E107" s="435">
        <f t="shared" si="105"/>
        <v>-1.3680401139609204E-2</v>
      </c>
      <c r="F107" s="221"/>
      <c r="G107" s="222"/>
      <c r="H107" s="222"/>
      <c r="I107" s="6"/>
      <c r="J107" s="6"/>
      <c r="K107" s="6"/>
      <c r="L107" s="6"/>
      <c r="M107" s="6"/>
      <c r="N107" s="6"/>
      <c r="O107" s="6"/>
      <c r="P107" s="6"/>
      <c r="Q107" s="6"/>
      <c r="R107" s="6"/>
      <c r="S107" s="6"/>
      <c r="T107" s="6"/>
      <c r="U107" s="6"/>
      <c r="V107" s="6"/>
      <c r="W107" s="6"/>
      <c r="X107" s="6"/>
      <c r="Y107" s="6"/>
      <c r="Z107" s="6"/>
    </row>
    <row r="108" spans="1:26">
      <c r="A108" s="432">
        <v>44389</v>
      </c>
      <c r="B108" s="433">
        <v>14247.04</v>
      </c>
      <c r="C108" s="433">
        <v>1297.54</v>
      </c>
      <c r="D108" s="434">
        <f t="shared" ref="D108:E108" si="106">LN(B108/B109)</f>
        <v>5.2992448968383579E-2</v>
      </c>
      <c r="E108" s="435">
        <f t="shared" si="106"/>
        <v>9.561114752351873E-4</v>
      </c>
      <c r="F108" s="221"/>
      <c r="G108" s="222"/>
      <c r="H108" s="222"/>
      <c r="I108" s="6"/>
      <c r="J108" s="6"/>
      <c r="K108" s="6"/>
      <c r="L108" s="6"/>
      <c r="M108" s="6"/>
      <c r="N108" s="6"/>
      <c r="O108" s="6"/>
      <c r="P108" s="6"/>
      <c r="Q108" s="6"/>
      <c r="R108" s="6"/>
      <c r="S108" s="6"/>
      <c r="T108" s="6"/>
      <c r="U108" s="6"/>
      <c r="V108" s="6"/>
      <c r="W108" s="6"/>
      <c r="X108" s="6"/>
      <c r="Y108" s="6"/>
      <c r="Z108" s="6"/>
    </row>
    <row r="109" spans="1:26">
      <c r="A109" s="432">
        <v>44388</v>
      </c>
      <c r="B109" s="433">
        <v>13511.71</v>
      </c>
      <c r="C109" s="433">
        <v>1296.3</v>
      </c>
      <c r="D109" s="434">
        <f t="shared" ref="D109:E109" si="107">LN(B109/B110)</f>
        <v>-7.216242282738311E-2</v>
      </c>
      <c r="E109" s="435">
        <f t="shared" si="107"/>
        <v>-3.8469774073169642E-2</v>
      </c>
      <c r="F109" s="221"/>
      <c r="G109" s="222"/>
      <c r="H109" s="222"/>
      <c r="I109" s="6"/>
      <c r="J109" s="6"/>
      <c r="K109" s="6"/>
      <c r="L109" s="6"/>
      <c r="M109" s="6"/>
      <c r="N109" s="6"/>
      <c r="O109" s="6"/>
      <c r="P109" s="6"/>
      <c r="Q109" s="6"/>
      <c r="R109" s="6"/>
      <c r="S109" s="6"/>
      <c r="T109" s="6"/>
      <c r="U109" s="6"/>
      <c r="V109" s="6"/>
      <c r="W109" s="6"/>
      <c r="X109" s="6"/>
      <c r="Y109" s="6"/>
      <c r="Z109" s="6"/>
    </row>
    <row r="110" spans="1:26">
      <c r="A110" s="432">
        <v>44385</v>
      </c>
      <c r="B110" s="433">
        <v>14522.79</v>
      </c>
      <c r="C110" s="433">
        <v>1347.14</v>
      </c>
      <c r="D110" s="434">
        <f t="shared" ref="D110:E110" si="108">LN(B110/B111)</f>
        <v>-1.2578592849287577E-2</v>
      </c>
      <c r="E110" s="435">
        <f t="shared" si="108"/>
        <v>-2.023715006358353E-2</v>
      </c>
      <c r="F110" s="221"/>
      <c r="G110" s="222"/>
      <c r="H110" s="222"/>
      <c r="I110" s="6"/>
      <c r="J110" s="6"/>
      <c r="K110" s="6"/>
      <c r="L110" s="6"/>
      <c r="M110" s="6"/>
      <c r="N110" s="6"/>
      <c r="O110" s="6"/>
      <c r="P110" s="6"/>
      <c r="Q110" s="6"/>
      <c r="R110" s="6"/>
      <c r="S110" s="6"/>
      <c r="T110" s="6"/>
      <c r="U110" s="6"/>
      <c r="V110" s="6"/>
      <c r="W110" s="6"/>
      <c r="X110" s="6"/>
      <c r="Y110" s="6"/>
      <c r="Z110" s="6"/>
    </row>
    <row r="111" spans="1:26">
      <c r="A111" s="432">
        <v>44384</v>
      </c>
      <c r="B111" s="433">
        <v>14706.62</v>
      </c>
      <c r="C111" s="433">
        <v>1374.68</v>
      </c>
      <c r="D111" s="434">
        <f t="shared" ref="D111:E111" si="109">LN(B111/B112)</f>
        <v>-3.1202501961169714E-3</v>
      </c>
      <c r="E111" s="435">
        <f t="shared" si="109"/>
        <v>-1.0039060438579567E-2</v>
      </c>
      <c r="F111" s="221"/>
      <c r="G111" s="222"/>
      <c r="H111" s="222"/>
      <c r="I111" s="6"/>
      <c r="J111" s="6"/>
      <c r="K111" s="6"/>
      <c r="L111" s="6"/>
      <c r="M111" s="6"/>
      <c r="N111" s="6"/>
      <c r="O111" s="6"/>
      <c r="P111" s="6"/>
      <c r="Q111" s="6"/>
      <c r="R111" s="6"/>
      <c r="S111" s="6"/>
      <c r="T111" s="6"/>
      <c r="U111" s="6"/>
      <c r="V111" s="6"/>
      <c r="W111" s="6"/>
      <c r="X111" s="6"/>
      <c r="Y111" s="6"/>
      <c r="Z111" s="6"/>
    </row>
    <row r="112" spans="1:26">
      <c r="A112" s="432">
        <v>44383</v>
      </c>
      <c r="B112" s="433">
        <v>14752.58</v>
      </c>
      <c r="C112" s="433">
        <v>1388.55</v>
      </c>
      <c r="D112" s="434">
        <f t="shared" ref="D112:E112" si="110">LN(B112/B113)</f>
        <v>-2.7651944201196633E-2</v>
      </c>
      <c r="E112" s="435">
        <f t="shared" si="110"/>
        <v>2.4613576428225589E-2</v>
      </c>
      <c r="F112" s="221"/>
      <c r="G112" s="222"/>
      <c r="H112" s="222"/>
      <c r="I112" s="6"/>
      <c r="J112" s="6"/>
      <c r="K112" s="6"/>
      <c r="L112" s="6"/>
      <c r="M112" s="6"/>
      <c r="N112" s="6"/>
      <c r="O112" s="6"/>
      <c r="P112" s="6"/>
      <c r="Q112" s="6"/>
      <c r="R112" s="6"/>
      <c r="S112" s="6"/>
      <c r="T112" s="6"/>
      <c r="U112" s="6"/>
      <c r="V112" s="6"/>
      <c r="W112" s="6"/>
      <c r="X112" s="6"/>
      <c r="Y112" s="6"/>
      <c r="Z112" s="6"/>
    </row>
    <row r="113" spans="1:26">
      <c r="A113" s="432">
        <v>44382</v>
      </c>
      <c r="B113" s="433">
        <v>15166.21</v>
      </c>
      <c r="C113" s="433">
        <v>1354.79</v>
      </c>
      <c r="D113" s="434">
        <f t="shared" ref="D113:E113" si="111">LN(B113/B114)</f>
        <v>-1.5037808476126398E-2</v>
      </c>
      <c r="E113" s="435">
        <f t="shared" si="111"/>
        <v>-4.0744341094541232E-2</v>
      </c>
      <c r="F113" s="221"/>
      <c r="G113" s="222"/>
      <c r="H113" s="222"/>
      <c r="I113" s="6"/>
      <c r="J113" s="6"/>
      <c r="K113" s="6"/>
      <c r="L113" s="6"/>
      <c r="M113" s="6"/>
      <c r="N113" s="6"/>
      <c r="O113" s="6"/>
      <c r="P113" s="6"/>
      <c r="Q113" s="6"/>
      <c r="R113" s="6"/>
      <c r="S113" s="6"/>
      <c r="T113" s="6"/>
      <c r="U113" s="6"/>
      <c r="V113" s="6"/>
      <c r="W113" s="6"/>
      <c r="X113" s="6"/>
      <c r="Y113" s="6"/>
      <c r="Z113" s="6"/>
    </row>
    <row r="114" spans="1:26">
      <c r="A114" s="432">
        <v>44381</v>
      </c>
      <c r="B114" s="433">
        <v>15396</v>
      </c>
      <c r="C114" s="433">
        <v>1411.13</v>
      </c>
      <c r="D114" s="434">
        <f t="shared" ref="D114:E114" si="112">LN(B114/B115)</f>
        <v>-1.481501892285182E-2</v>
      </c>
      <c r="E114" s="435">
        <f t="shared" si="112"/>
        <v>-6.4561925182517778E-3</v>
      </c>
      <c r="F114" s="221"/>
      <c r="G114" s="222"/>
      <c r="H114" s="222"/>
      <c r="I114" s="6"/>
      <c r="J114" s="6"/>
      <c r="K114" s="6"/>
      <c r="L114" s="6"/>
      <c r="M114" s="6"/>
      <c r="N114" s="6"/>
      <c r="O114" s="6"/>
      <c r="P114" s="6"/>
      <c r="Q114" s="6"/>
      <c r="R114" s="6"/>
      <c r="S114" s="6"/>
      <c r="T114" s="6"/>
      <c r="U114" s="6"/>
      <c r="V114" s="6"/>
      <c r="W114" s="6"/>
      <c r="X114" s="6"/>
      <c r="Y114" s="6"/>
      <c r="Z114" s="6"/>
    </row>
    <row r="115" spans="1:26">
      <c r="A115" s="432">
        <v>44378</v>
      </c>
      <c r="B115" s="433">
        <v>15625.79</v>
      </c>
      <c r="C115" s="433">
        <v>1420.27</v>
      </c>
      <c r="D115" s="434">
        <f t="shared" ref="D115:E115" si="113">LN(B115/B116)</f>
        <v>-5.8647115197236008E-3</v>
      </c>
      <c r="E115" s="435">
        <f t="shared" si="113"/>
        <v>2.2485779647068308E-3</v>
      </c>
      <c r="F115" s="221"/>
      <c r="G115" s="222"/>
      <c r="H115" s="222"/>
      <c r="I115" s="6"/>
      <c r="J115" s="6"/>
      <c r="K115" s="6"/>
      <c r="L115" s="6"/>
      <c r="M115" s="6"/>
      <c r="N115" s="6"/>
      <c r="O115" s="6"/>
      <c r="P115" s="6"/>
      <c r="Q115" s="6"/>
      <c r="R115" s="6"/>
      <c r="S115" s="6"/>
      <c r="T115" s="6"/>
      <c r="U115" s="6"/>
      <c r="V115" s="6"/>
      <c r="W115" s="6"/>
      <c r="X115" s="6"/>
      <c r="Y115" s="6"/>
      <c r="Z115" s="6"/>
    </row>
    <row r="116" spans="1:26">
      <c r="A116" s="432">
        <v>44377</v>
      </c>
      <c r="B116" s="433">
        <v>15717.7</v>
      </c>
      <c r="C116" s="433">
        <v>1417.08</v>
      </c>
      <c r="D116" s="434">
        <f t="shared" ref="D116:E116" si="114">LN(B116/B117)</f>
        <v>-1.1628494017846587E-2</v>
      </c>
      <c r="E116" s="435">
        <f t="shared" si="114"/>
        <v>6.0376099572857864E-3</v>
      </c>
      <c r="F116" s="221"/>
      <c r="G116" s="222"/>
      <c r="H116" s="222"/>
      <c r="I116" s="6"/>
      <c r="J116" s="6"/>
      <c r="K116" s="6"/>
      <c r="L116" s="6"/>
      <c r="M116" s="6"/>
      <c r="N116" s="6"/>
      <c r="O116" s="6"/>
      <c r="P116" s="6"/>
      <c r="Q116" s="6"/>
      <c r="R116" s="6"/>
      <c r="S116" s="6"/>
      <c r="T116" s="6"/>
      <c r="U116" s="6"/>
      <c r="V116" s="6"/>
      <c r="W116" s="6"/>
      <c r="X116" s="6"/>
      <c r="Y116" s="6"/>
      <c r="Z116" s="6"/>
    </row>
    <row r="117" spans="1:26">
      <c r="A117" s="432">
        <v>44376</v>
      </c>
      <c r="B117" s="433">
        <v>15901.54</v>
      </c>
      <c r="C117" s="433">
        <v>1408.55</v>
      </c>
      <c r="D117" s="434">
        <f t="shared" ref="D117:E117" si="115">LN(B117/B118)</f>
        <v>1.4556231383251607E-2</v>
      </c>
      <c r="E117" s="435">
        <f t="shared" si="115"/>
        <v>-1.0572663202488106E-3</v>
      </c>
      <c r="F117" s="221"/>
      <c r="G117" s="222"/>
      <c r="H117" s="222"/>
      <c r="I117" s="6"/>
      <c r="J117" s="6"/>
      <c r="K117" s="6"/>
      <c r="L117" s="6"/>
      <c r="M117" s="6"/>
      <c r="N117" s="6"/>
      <c r="O117" s="6"/>
      <c r="P117" s="6"/>
      <c r="Q117" s="6"/>
      <c r="R117" s="6"/>
      <c r="S117" s="6"/>
      <c r="T117" s="6"/>
      <c r="U117" s="6"/>
      <c r="V117" s="6"/>
      <c r="W117" s="6"/>
      <c r="X117" s="6"/>
      <c r="Y117" s="6"/>
      <c r="Z117" s="6"/>
    </row>
    <row r="118" spans="1:26">
      <c r="A118" s="432">
        <v>44375</v>
      </c>
      <c r="B118" s="433">
        <v>15671.75</v>
      </c>
      <c r="C118" s="433">
        <v>1410.04</v>
      </c>
      <c r="D118" s="434">
        <f t="shared" ref="D118:E118" si="116">LN(B118/B119)</f>
        <v>-1.1661760342578334E-2</v>
      </c>
      <c r="E118" s="435">
        <f t="shared" si="116"/>
        <v>3.0044236602535129E-3</v>
      </c>
      <c r="F118" s="221"/>
      <c r="G118" s="222"/>
      <c r="H118" s="222"/>
      <c r="I118" s="6"/>
      <c r="J118" s="6"/>
      <c r="K118" s="6"/>
      <c r="L118" s="6"/>
      <c r="M118" s="6"/>
      <c r="N118" s="6"/>
      <c r="O118" s="6"/>
      <c r="P118" s="6"/>
      <c r="Q118" s="6"/>
      <c r="R118" s="6"/>
      <c r="S118" s="6"/>
      <c r="T118" s="6"/>
      <c r="U118" s="6"/>
      <c r="V118" s="6"/>
      <c r="W118" s="6"/>
      <c r="X118" s="6"/>
      <c r="Y118" s="6"/>
      <c r="Z118" s="6"/>
    </row>
    <row r="119" spans="1:26">
      <c r="A119" s="432">
        <v>44374</v>
      </c>
      <c r="B119" s="433">
        <v>15855.58</v>
      </c>
      <c r="C119" s="433">
        <v>1405.81</v>
      </c>
      <c r="D119" s="434">
        <f t="shared" ref="D119:E119" si="117">LN(B119/B120)</f>
        <v>-2.8944710406732599E-3</v>
      </c>
      <c r="E119" s="435">
        <f t="shared" si="117"/>
        <v>1.1223574770211627E-2</v>
      </c>
      <c r="F119" s="221"/>
      <c r="G119" s="222"/>
      <c r="H119" s="222"/>
      <c r="I119" s="6"/>
      <c r="J119" s="6"/>
      <c r="K119" s="6"/>
      <c r="L119" s="6"/>
      <c r="M119" s="6"/>
      <c r="N119" s="6"/>
      <c r="O119" s="6"/>
      <c r="P119" s="6"/>
      <c r="Q119" s="6"/>
      <c r="R119" s="6"/>
      <c r="S119" s="6"/>
      <c r="T119" s="6"/>
      <c r="U119" s="6"/>
      <c r="V119" s="6"/>
      <c r="W119" s="6"/>
      <c r="X119" s="6"/>
      <c r="Y119" s="6"/>
      <c r="Z119" s="6"/>
    </row>
    <row r="120" spans="1:26">
      <c r="A120" s="432">
        <v>44371</v>
      </c>
      <c r="B120" s="433">
        <v>15901.54</v>
      </c>
      <c r="C120" s="433">
        <v>1390.12</v>
      </c>
      <c r="D120" s="434">
        <f t="shared" ref="D120:E120" si="118">LN(B120/B121)</f>
        <v>0</v>
      </c>
      <c r="E120" s="435">
        <f t="shared" si="118"/>
        <v>7.5094943198584108E-3</v>
      </c>
      <c r="F120" s="221"/>
      <c r="G120" s="222"/>
      <c r="H120" s="222"/>
      <c r="I120" s="6"/>
      <c r="J120" s="6"/>
      <c r="K120" s="6"/>
      <c r="L120" s="6"/>
      <c r="M120" s="6"/>
      <c r="N120" s="6"/>
      <c r="O120" s="6"/>
      <c r="P120" s="6"/>
      <c r="Q120" s="6"/>
      <c r="R120" s="6"/>
      <c r="S120" s="6"/>
      <c r="T120" s="6"/>
      <c r="U120" s="6"/>
      <c r="V120" s="6"/>
      <c r="W120" s="6"/>
      <c r="X120" s="6"/>
      <c r="Y120" s="6"/>
      <c r="Z120" s="6"/>
    </row>
    <row r="121" spans="1:26">
      <c r="A121" s="432">
        <v>44370</v>
      </c>
      <c r="B121" s="433">
        <v>15901.54</v>
      </c>
      <c r="C121" s="433">
        <v>1379.72</v>
      </c>
      <c r="D121" s="434">
        <f t="shared" ref="D121:E121" si="119">LN(B121/B122)</f>
        <v>-2.0028822248168446E-2</v>
      </c>
      <c r="E121" s="435">
        <f t="shared" si="119"/>
        <v>2.067772875527583E-3</v>
      </c>
      <c r="F121" s="221"/>
      <c r="G121" s="222"/>
      <c r="H121" s="222"/>
      <c r="I121" s="6"/>
      <c r="J121" s="6"/>
      <c r="K121" s="6"/>
      <c r="L121" s="6"/>
      <c r="M121" s="6"/>
      <c r="N121" s="6"/>
      <c r="O121" s="6"/>
      <c r="P121" s="6"/>
      <c r="Q121" s="6"/>
      <c r="R121" s="6"/>
      <c r="S121" s="6"/>
      <c r="T121" s="6"/>
      <c r="U121" s="6"/>
      <c r="V121" s="6"/>
      <c r="W121" s="6"/>
      <c r="X121" s="6"/>
      <c r="Y121" s="6"/>
      <c r="Z121" s="6"/>
    </row>
    <row r="122" spans="1:26">
      <c r="A122" s="432">
        <v>44369</v>
      </c>
      <c r="B122" s="433">
        <v>16223.24</v>
      </c>
      <c r="C122" s="433">
        <v>1376.87</v>
      </c>
      <c r="D122" s="434">
        <f t="shared" ref="D122:E122" si="120">LN(B122/B123)</f>
        <v>-2.7935264677741604E-2</v>
      </c>
      <c r="E122" s="435">
        <f t="shared" si="120"/>
        <v>-2.2489526462146901E-3</v>
      </c>
      <c r="F122" s="221"/>
      <c r="G122" s="222"/>
      <c r="H122" s="222"/>
      <c r="I122" s="6"/>
      <c r="J122" s="6"/>
      <c r="K122" s="6"/>
      <c r="L122" s="6"/>
      <c r="M122" s="6"/>
      <c r="N122" s="6"/>
      <c r="O122" s="6"/>
      <c r="P122" s="6"/>
      <c r="Q122" s="6"/>
      <c r="R122" s="6"/>
      <c r="S122" s="6"/>
      <c r="T122" s="6"/>
      <c r="U122" s="6"/>
      <c r="V122" s="6"/>
      <c r="W122" s="6"/>
      <c r="X122" s="6"/>
      <c r="Y122" s="6"/>
      <c r="Z122" s="6"/>
    </row>
    <row r="123" spans="1:26">
      <c r="A123" s="432">
        <v>44368</v>
      </c>
      <c r="B123" s="433">
        <v>16682.830000000002</v>
      </c>
      <c r="C123" s="433">
        <v>1379.97</v>
      </c>
      <c r="D123" s="434">
        <f t="shared" ref="D123:E123" si="121">LN(B123/B124)</f>
        <v>4.2200783384871425E-2</v>
      </c>
      <c r="E123" s="435">
        <f t="shared" si="121"/>
        <v>5.3331522177784869E-3</v>
      </c>
      <c r="F123" s="221"/>
      <c r="G123" s="222"/>
      <c r="H123" s="222"/>
      <c r="I123" s="6"/>
      <c r="J123" s="6"/>
      <c r="K123" s="6"/>
      <c r="L123" s="6"/>
      <c r="M123" s="6"/>
      <c r="N123" s="6"/>
      <c r="O123" s="6"/>
      <c r="P123" s="6"/>
      <c r="Q123" s="6"/>
      <c r="R123" s="6"/>
      <c r="S123" s="6"/>
      <c r="T123" s="6"/>
      <c r="U123" s="6"/>
      <c r="V123" s="6"/>
      <c r="W123" s="6"/>
      <c r="X123" s="6"/>
      <c r="Y123" s="6"/>
      <c r="Z123" s="6"/>
    </row>
    <row r="124" spans="1:26">
      <c r="A124" s="432">
        <v>44367</v>
      </c>
      <c r="B124" s="433">
        <v>15993.45</v>
      </c>
      <c r="C124" s="433">
        <v>1372.63</v>
      </c>
      <c r="D124" s="434">
        <f t="shared" ref="D124:E124" si="122">LN(B124/B125)</f>
        <v>2.8778133467161097E-3</v>
      </c>
      <c r="E124" s="435">
        <f t="shared" si="122"/>
        <v>-3.7376425129457087E-3</v>
      </c>
      <c r="F124" s="221"/>
      <c r="G124" s="222"/>
      <c r="H124" s="222"/>
      <c r="I124" s="6"/>
      <c r="J124" s="6"/>
      <c r="K124" s="6"/>
      <c r="L124" s="6"/>
      <c r="M124" s="6"/>
      <c r="N124" s="6"/>
      <c r="O124" s="6"/>
      <c r="P124" s="6"/>
      <c r="Q124" s="6"/>
      <c r="R124" s="6"/>
      <c r="S124" s="6"/>
      <c r="T124" s="6"/>
      <c r="U124" s="6"/>
      <c r="V124" s="6"/>
      <c r="W124" s="6"/>
      <c r="X124" s="6"/>
      <c r="Y124" s="6"/>
      <c r="Z124" s="6"/>
    </row>
    <row r="125" spans="1:26">
      <c r="A125" s="432">
        <v>44364</v>
      </c>
      <c r="B125" s="433">
        <v>15947.49</v>
      </c>
      <c r="C125" s="433">
        <v>1377.77</v>
      </c>
      <c r="D125" s="434">
        <f t="shared" ref="D125:E125" si="123">LN(B125/B126)</f>
        <v>-2.8778133467159679E-3</v>
      </c>
      <c r="E125" s="435">
        <f t="shared" si="123"/>
        <v>1.3040375609170112E-2</v>
      </c>
      <c r="F125" s="221"/>
      <c r="G125" s="222"/>
      <c r="H125" s="222"/>
      <c r="I125" s="6"/>
      <c r="J125" s="6"/>
      <c r="K125" s="6"/>
      <c r="L125" s="6"/>
      <c r="M125" s="6"/>
      <c r="N125" s="6"/>
      <c r="O125" s="6"/>
      <c r="P125" s="6"/>
      <c r="Q125" s="6"/>
      <c r="R125" s="6"/>
      <c r="S125" s="6"/>
      <c r="T125" s="6"/>
      <c r="U125" s="6"/>
      <c r="V125" s="6"/>
      <c r="W125" s="6"/>
      <c r="X125" s="6"/>
      <c r="Y125" s="6"/>
      <c r="Z125" s="6"/>
    </row>
    <row r="126" spans="1:26">
      <c r="A126" s="432">
        <v>44363</v>
      </c>
      <c r="B126" s="433">
        <v>15993.45</v>
      </c>
      <c r="C126" s="433">
        <v>1359.92</v>
      </c>
      <c r="D126" s="434">
        <f t="shared" ref="D126:E126" si="124">LN(B126/B127)</f>
        <v>1.1560647911054671E-2</v>
      </c>
      <c r="E126" s="435">
        <f t="shared" si="124"/>
        <v>2.5032776541942521E-3</v>
      </c>
      <c r="F126" s="221"/>
      <c r="G126" s="222"/>
      <c r="H126" s="222"/>
      <c r="I126" s="6"/>
      <c r="J126" s="6"/>
      <c r="K126" s="6"/>
      <c r="L126" s="6"/>
      <c r="M126" s="6"/>
      <c r="N126" s="6"/>
      <c r="O126" s="6"/>
      <c r="P126" s="6"/>
      <c r="Q126" s="6"/>
      <c r="R126" s="6"/>
      <c r="S126" s="6"/>
      <c r="T126" s="6"/>
      <c r="U126" s="6"/>
      <c r="V126" s="6"/>
      <c r="W126" s="6"/>
      <c r="X126" s="6"/>
      <c r="Y126" s="6"/>
      <c r="Z126" s="6"/>
    </row>
    <row r="127" spans="1:26">
      <c r="A127" s="432">
        <v>44362</v>
      </c>
      <c r="B127" s="433">
        <v>15809.62</v>
      </c>
      <c r="C127" s="433">
        <v>1356.52</v>
      </c>
      <c r="D127" s="434">
        <f t="shared" ref="D127:E127" si="125">LN(B127/B128)</f>
        <v>5.9897876076249378E-2</v>
      </c>
      <c r="E127" s="435">
        <f t="shared" si="125"/>
        <v>-7.9592766393399312E-3</v>
      </c>
      <c r="F127" s="221"/>
      <c r="G127" s="222"/>
      <c r="H127" s="222"/>
      <c r="I127" s="6"/>
      <c r="J127" s="6"/>
      <c r="K127" s="6"/>
      <c r="L127" s="6"/>
      <c r="M127" s="6"/>
      <c r="N127" s="6"/>
      <c r="O127" s="6"/>
      <c r="P127" s="6"/>
      <c r="Q127" s="6"/>
      <c r="R127" s="6"/>
      <c r="S127" s="6"/>
      <c r="T127" s="6"/>
      <c r="U127" s="6"/>
      <c r="V127" s="6"/>
      <c r="W127" s="6"/>
      <c r="X127" s="6"/>
      <c r="Y127" s="6"/>
      <c r="Z127" s="6"/>
    </row>
    <row r="128" spans="1:26">
      <c r="A128" s="432">
        <v>44361</v>
      </c>
      <c r="B128" s="433">
        <v>14890.46</v>
      </c>
      <c r="C128" s="433">
        <v>1367.36</v>
      </c>
      <c r="D128" s="434">
        <f t="shared" ref="D128:E128" si="126">LN(B128/B129)</f>
        <v>-3.0811168822843537E-3</v>
      </c>
      <c r="E128" s="435">
        <f t="shared" si="126"/>
        <v>4.1332669100418804E-3</v>
      </c>
      <c r="F128" s="221"/>
      <c r="G128" s="222"/>
      <c r="H128" s="222"/>
      <c r="I128" s="6"/>
      <c r="J128" s="6"/>
      <c r="K128" s="6"/>
      <c r="L128" s="6"/>
      <c r="M128" s="6"/>
      <c r="N128" s="6"/>
      <c r="O128" s="6"/>
      <c r="P128" s="6"/>
      <c r="Q128" s="6"/>
      <c r="R128" s="6"/>
      <c r="S128" s="6"/>
      <c r="T128" s="6"/>
      <c r="U128" s="6"/>
      <c r="V128" s="6"/>
      <c r="W128" s="6"/>
      <c r="X128" s="6"/>
      <c r="Y128" s="6"/>
      <c r="Z128" s="6"/>
    </row>
    <row r="129" spans="1:26">
      <c r="A129" s="432">
        <v>44360</v>
      </c>
      <c r="B129" s="433">
        <v>14936.41</v>
      </c>
      <c r="C129" s="433">
        <v>1361.72</v>
      </c>
      <c r="D129" s="434">
        <f t="shared" ref="D129:E129" si="127">LN(B129/B130)</f>
        <v>-6.1352301625347766E-3</v>
      </c>
      <c r="E129" s="435">
        <f t="shared" si="127"/>
        <v>7.3559551285118738E-3</v>
      </c>
      <c r="F129" s="221"/>
      <c r="G129" s="222"/>
      <c r="H129" s="222"/>
      <c r="I129" s="6"/>
      <c r="J129" s="6"/>
      <c r="K129" s="6"/>
      <c r="L129" s="6"/>
      <c r="M129" s="6"/>
      <c r="N129" s="6"/>
      <c r="O129" s="6"/>
      <c r="P129" s="6"/>
      <c r="Q129" s="6"/>
      <c r="R129" s="6"/>
      <c r="S129" s="6"/>
      <c r="T129" s="6"/>
      <c r="U129" s="6"/>
      <c r="V129" s="6"/>
      <c r="W129" s="6"/>
      <c r="X129" s="6"/>
      <c r="Y129" s="6"/>
      <c r="Z129" s="6"/>
    </row>
    <row r="130" spans="1:26">
      <c r="A130" s="432">
        <v>44357</v>
      </c>
      <c r="B130" s="433">
        <v>15028.33</v>
      </c>
      <c r="C130" s="433">
        <v>1351.74</v>
      </c>
      <c r="D130" s="434">
        <f t="shared" ref="D130:E130" si="128">LN(B130/B131)</f>
        <v>2.1639353932415548E-2</v>
      </c>
      <c r="E130" s="435">
        <f t="shared" si="128"/>
        <v>2.1052464789039438E-2</v>
      </c>
      <c r="F130" s="221"/>
      <c r="G130" s="222"/>
      <c r="H130" s="222"/>
      <c r="I130" s="6"/>
      <c r="J130" s="6"/>
      <c r="K130" s="6"/>
      <c r="L130" s="6"/>
      <c r="M130" s="6"/>
      <c r="N130" s="6"/>
      <c r="O130" s="6"/>
      <c r="P130" s="6"/>
      <c r="Q130" s="6"/>
      <c r="R130" s="6"/>
      <c r="S130" s="6"/>
      <c r="T130" s="6"/>
      <c r="U130" s="6"/>
      <c r="V130" s="6"/>
      <c r="W130" s="6"/>
      <c r="X130" s="6"/>
      <c r="Y130" s="6"/>
      <c r="Z130" s="6"/>
    </row>
    <row r="131" spans="1:26">
      <c r="A131" s="432">
        <v>44356</v>
      </c>
      <c r="B131" s="433">
        <v>14706.62</v>
      </c>
      <c r="C131" s="433">
        <v>1323.58</v>
      </c>
      <c r="D131" s="434">
        <f t="shared" ref="D131:E131" si="129">LN(B131/B132)</f>
        <v>-3.1202501961169714E-3</v>
      </c>
      <c r="E131" s="435">
        <f t="shared" si="129"/>
        <v>-7.0168329819055185E-3</v>
      </c>
      <c r="F131" s="221"/>
      <c r="G131" s="222"/>
      <c r="H131" s="222"/>
      <c r="I131" s="6"/>
      <c r="J131" s="6"/>
      <c r="K131" s="6"/>
      <c r="L131" s="6"/>
      <c r="M131" s="6"/>
      <c r="N131" s="6"/>
      <c r="O131" s="6"/>
      <c r="P131" s="6"/>
      <c r="Q131" s="6"/>
      <c r="R131" s="6"/>
      <c r="S131" s="6"/>
      <c r="T131" s="6"/>
      <c r="U131" s="6"/>
      <c r="V131" s="6"/>
      <c r="W131" s="6"/>
      <c r="X131" s="6"/>
      <c r="Y131" s="6"/>
      <c r="Z131" s="6"/>
    </row>
    <row r="132" spans="1:26">
      <c r="A132" s="432">
        <v>44355</v>
      </c>
      <c r="B132" s="433">
        <v>14752.58</v>
      </c>
      <c r="C132" s="433">
        <v>1332.9</v>
      </c>
      <c r="D132" s="434">
        <f t="shared" ref="D132:E132" si="130">LN(B132/B133)</f>
        <v>3.1202501961170425E-3</v>
      </c>
      <c r="E132" s="435">
        <f t="shared" si="130"/>
        <v>9.8161962529468849E-3</v>
      </c>
      <c r="F132" s="221"/>
      <c r="G132" s="222"/>
      <c r="H132" s="222"/>
      <c r="I132" s="6"/>
      <c r="J132" s="6"/>
      <c r="K132" s="6"/>
      <c r="L132" s="6"/>
      <c r="M132" s="6"/>
      <c r="N132" s="6"/>
      <c r="O132" s="6"/>
      <c r="P132" s="6"/>
      <c r="Q132" s="6"/>
      <c r="R132" s="6"/>
      <c r="S132" s="6"/>
      <c r="T132" s="6"/>
      <c r="U132" s="6"/>
      <c r="V132" s="6"/>
      <c r="W132" s="6"/>
      <c r="X132" s="6"/>
      <c r="Y132" s="6"/>
      <c r="Z132" s="6"/>
    </row>
    <row r="133" spans="1:26">
      <c r="A133" s="432">
        <v>44354</v>
      </c>
      <c r="B133" s="433">
        <v>14706.62</v>
      </c>
      <c r="C133" s="433">
        <v>1319.88</v>
      </c>
      <c r="D133" s="434">
        <f t="shared" ref="D133:E133" si="131">LN(B133/B134)</f>
        <v>-3.1202501961169714E-3</v>
      </c>
      <c r="E133" s="435">
        <f t="shared" si="131"/>
        <v>-2.9046414951488689E-2</v>
      </c>
      <c r="F133" s="221"/>
      <c r="G133" s="222"/>
      <c r="H133" s="222"/>
      <c r="I133" s="6"/>
      <c r="J133" s="6"/>
      <c r="K133" s="6"/>
      <c r="L133" s="6"/>
      <c r="M133" s="6"/>
      <c r="N133" s="6"/>
      <c r="O133" s="6"/>
      <c r="P133" s="6"/>
      <c r="Q133" s="6"/>
      <c r="R133" s="6"/>
      <c r="S133" s="6"/>
      <c r="T133" s="6"/>
      <c r="U133" s="6"/>
      <c r="V133" s="6"/>
      <c r="W133" s="6"/>
      <c r="X133" s="6"/>
      <c r="Y133" s="6"/>
      <c r="Z133" s="6"/>
    </row>
    <row r="134" spans="1:26">
      <c r="A134" s="432">
        <v>44353</v>
      </c>
      <c r="B134" s="433">
        <v>14752.58</v>
      </c>
      <c r="C134" s="433">
        <v>1358.78</v>
      </c>
      <c r="D134" s="434">
        <f t="shared" ref="D134:E134" si="132">LN(B134/B135)</f>
        <v>-2.7651944201196633E-2</v>
      </c>
      <c r="E134" s="435">
        <f t="shared" si="132"/>
        <v>-1.1175344913568792E-2</v>
      </c>
      <c r="F134" s="221"/>
      <c r="G134" s="222"/>
      <c r="H134" s="222"/>
      <c r="I134" s="6"/>
      <c r="J134" s="6"/>
      <c r="K134" s="6"/>
      <c r="L134" s="6"/>
      <c r="M134" s="6"/>
      <c r="N134" s="6"/>
      <c r="O134" s="6"/>
      <c r="P134" s="6"/>
      <c r="Q134" s="6"/>
      <c r="R134" s="6"/>
      <c r="S134" s="6"/>
      <c r="T134" s="6"/>
      <c r="U134" s="6"/>
      <c r="V134" s="6"/>
      <c r="W134" s="6"/>
      <c r="X134" s="6"/>
      <c r="Y134" s="6"/>
      <c r="Z134" s="6"/>
    </row>
    <row r="135" spans="1:26">
      <c r="A135" s="432">
        <v>44350</v>
      </c>
      <c r="B135" s="433">
        <v>15166.21</v>
      </c>
      <c r="C135" s="433">
        <v>1374.05</v>
      </c>
      <c r="D135" s="434">
        <f t="shared" ref="D135:E135" si="133">LN(B135/B136)</f>
        <v>-1.2048152947629922E-2</v>
      </c>
      <c r="E135" s="435">
        <f t="shared" si="133"/>
        <v>7.1357662930676023E-3</v>
      </c>
      <c r="F135" s="221"/>
      <c r="G135" s="222"/>
      <c r="H135" s="222"/>
      <c r="I135" s="6"/>
      <c r="J135" s="6"/>
      <c r="K135" s="6"/>
      <c r="L135" s="6"/>
      <c r="M135" s="6"/>
      <c r="N135" s="6"/>
      <c r="O135" s="6"/>
      <c r="P135" s="6"/>
      <c r="Q135" s="6"/>
      <c r="R135" s="6"/>
      <c r="S135" s="6"/>
      <c r="T135" s="6"/>
      <c r="U135" s="6"/>
      <c r="V135" s="6"/>
      <c r="W135" s="6"/>
      <c r="X135" s="6"/>
      <c r="Y135" s="6"/>
      <c r="Z135" s="6"/>
    </row>
    <row r="136" spans="1:26">
      <c r="A136" s="432">
        <v>44349</v>
      </c>
      <c r="B136" s="433">
        <v>15350.04</v>
      </c>
      <c r="C136" s="433">
        <v>1364.28</v>
      </c>
      <c r="D136" s="434">
        <f t="shared" ref="D136:E136" si="134">LN(B136/B137)</f>
        <v>1.5083174886773359E-2</v>
      </c>
      <c r="E136" s="435">
        <f t="shared" si="134"/>
        <v>1.7375282780228901E-2</v>
      </c>
      <c r="F136" s="221"/>
      <c r="G136" s="222"/>
      <c r="H136" s="222"/>
      <c r="I136" s="6"/>
      <c r="J136" s="6"/>
      <c r="K136" s="6"/>
      <c r="L136" s="6"/>
      <c r="M136" s="6"/>
      <c r="N136" s="6"/>
      <c r="O136" s="6"/>
      <c r="P136" s="6"/>
      <c r="Q136" s="6"/>
      <c r="R136" s="6"/>
      <c r="S136" s="6"/>
      <c r="T136" s="6"/>
      <c r="U136" s="6"/>
      <c r="V136" s="6"/>
      <c r="W136" s="6"/>
      <c r="X136" s="6"/>
      <c r="Y136" s="6"/>
      <c r="Z136" s="6"/>
    </row>
    <row r="137" spans="1:26">
      <c r="A137" s="432">
        <v>44348</v>
      </c>
      <c r="B137" s="433">
        <v>15120.25</v>
      </c>
      <c r="C137" s="433">
        <v>1340.78</v>
      </c>
      <c r="D137" s="434">
        <f t="shared" ref="D137:E137" si="135">LN(B137/B138)</f>
        <v>4.6665242977592183E-2</v>
      </c>
      <c r="E137" s="435">
        <f t="shared" si="135"/>
        <v>2.2400104940055398E-3</v>
      </c>
      <c r="F137" s="221"/>
      <c r="G137" s="222"/>
      <c r="H137" s="222"/>
      <c r="I137" s="6"/>
      <c r="J137" s="6"/>
      <c r="K137" s="6"/>
      <c r="L137" s="6"/>
      <c r="M137" s="6"/>
      <c r="N137" s="6"/>
      <c r="O137" s="6"/>
      <c r="P137" s="6"/>
      <c r="Q137" s="6"/>
      <c r="R137" s="6"/>
      <c r="S137" s="6"/>
      <c r="T137" s="6"/>
      <c r="U137" s="6"/>
      <c r="V137" s="6"/>
      <c r="W137" s="6"/>
      <c r="X137" s="6"/>
      <c r="Y137" s="6"/>
      <c r="Z137" s="6"/>
    </row>
    <row r="138" spans="1:26">
      <c r="A138" s="432">
        <v>44347</v>
      </c>
      <c r="B138" s="433">
        <v>14430.87</v>
      </c>
      <c r="C138" s="433">
        <v>1337.78</v>
      </c>
      <c r="D138" s="434">
        <f t="shared" ref="D138:E138" si="136">LN(B138/B139)</f>
        <v>2.5807494449630968E-2</v>
      </c>
      <c r="E138" s="435">
        <f t="shared" si="136"/>
        <v>7.2998227247585024E-3</v>
      </c>
      <c r="F138" s="221"/>
      <c r="G138" s="222"/>
      <c r="H138" s="222"/>
      <c r="I138" s="6"/>
      <c r="J138" s="6"/>
      <c r="K138" s="6"/>
      <c r="L138" s="6"/>
      <c r="M138" s="6"/>
      <c r="N138" s="6"/>
      <c r="O138" s="6"/>
      <c r="P138" s="6"/>
      <c r="Q138" s="6"/>
      <c r="R138" s="6"/>
      <c r="S138" s="6"/>
      <c r="T138" s="6"/>
      <c r="U138" s="6"/>
      <c r="V138" s="6"/>
      <c r="W138" s="6"/>
      <c r="X138" s="6"/>
      <c r="Y138" s="6"/>
      <c r="Z138" s="6"/>
    </row>
    <row r="139" spans="1:26">
      <c r="A139" s="432">
        <v>44346</v>
      </c>
      <c r="B139" s="433">
        <v>14063.21</v>
      </c>
      <c r="C139" s="433">
        <v>1328.05</v>
      </c>
      <c r="D139" s="434">
        <f t="shared" ref="D139:E139" si="137">LN(B139/B140)</f>
        <v>-1.941814055519317E-2</v>
      </c>
      <c r="E139" s="435">
        <f t="shared" si="137"/>
        <v>5.7315402078629346E-3</v>
      </c>
      <c r="F139" s="221"/>
      <c r="G139" s="222"/>
      <c r="H139" s="222"/>
      <c r="I139" s="6"/>
      <c r="J139" s="6"/>
      <c r="K139" s="6"/>
      <c r="L139" s="6"/>
      <c r="M139" s="6"/>
      <c r="N139" s="6"/>
      <c r="O139" s="6"/>
      <c r="P139" s="6"/>
      <c r="Q139" s="6"/>
      <c r="R139" s="6"/>
      <c r="S139" s="6"/>
      <c r="T139" s="6"/>
      <c r="U139" s="6"/>
      <c r="V139" s="6"/>
      <c r="W139" s="6"/>
      <c r="X139" s="6"/>
      <c r="Y139" s="6"/>
      <c r="Z139" s="6"/>
    </row>
    <row r="140" spans="1:26">
      <c r="A140" s="432">
        <v>44343</v>
      </c>
      <c r="B140" s="433">
        <v>14338.96</v>
      </c>
      <c r="C140" s="433">
        <v>1320.46</v>
      </c>
      <c r="D140" s="434">
        <f t="shared" ref="D140:E140" si="138">LN(B140/B141)</f>
        <v>-1.273883156457222E-2</v>
      </c>
      <c r="E140" s="435">
        <f t="shared" si="138"/>
        <v>1.2873506217792338E-2</v>
      </c>
      <c r="F140" s="221"/>
      <c r="G140" s="222"/>
      <c r="H140" s="222"/>
      <c r="I140" s="6"/>
      <c r="J140" s="6"/>
      <c r="K140" s="6"/>
      <c r="L140" s="6"/>
      <c r="M140" s="6"/>
      <c r="N140" s="6"/>
      <c r="O140" s="6"/>
      <c r="P140" s="6"/>
      <c r="Q140" s="6"/>
      <c r="R140" s="6"/>
      <c r="S140" s="6"/>
      <c r="T140" s="6"/>
      <c r="U140" s="6"/>
      <c r="V140" s="6"/>
      <c r="W140" s="6"/>
      <c r="X140" s="6"/>
      <c r="Y140" s="6"/>
      <c r="Z140" s="6"/>
    </row>
    <row r="141" spans="1:26">
      <c r="A141" s="432">
        <v>44342</v>
      </c>
      <c r="B141" s="433">
        <v>14522.79</v>
      </c>
      <c r="C141" s="433">
        <v>1303.57</v>
      </c>
      <c r="D141" s="434">
        <f t="shared" ref="D141:E141" si="139">LN(B141/B142)</f>
        <v>-1.5698843045404552E-2</v>
      </c>
      <c r="E141" s="435">
        <f t="shared" si="139"/>
        <v>-1.0021951857930596E-2</v>
      </c>
      <c r="F141" s="221"/>
      <c r="G141" s="222"/>
      <c r="H141" s="222"/>
      <c r="I141" s="6"/>
      <c r="J141" s="6"/>
      <c r="K141" s="6"/>
      <c r="L141" s="6"/>
      <c r="M141" s="6"/>
      <c r="N141" s="6"/>
      <c r="O141" s="6"/>
      <c r="P141" s="6"/>
      <c r="Q141" s="6"/>
      <c r="R141" s="6"/>
      <c r="S141" s="6"/>
      <c r="T141" s="6"/>
      <c r="U141" s="6"/>
      <c r="V141" s="6"/>
      <c r="W141" s="6"/>
      <c r="X141" s="6"/>
      <c r="Y141" s="6"/>
      <c r="Z141" s="6"/>
    </row>
    <row r="142" spans="1:26">
      <c r="A142" s="432">
        <v>44341</v>
      </c>
      <c r="B142" s="433">
        <v>14752.58</v>
      </c>
      <c r="C142" s="433">
        <v>1316.7</v>
      </c>
      <c r="D142" s="434">
        <f t="shared" ref="D142:E142" si="140">LN(B142/B143)</f>
        <v>-1.5456193778795304E-2</v>
      </c>
      <c r="E142" s="435">
        <f t="shared" si="140"/>
        <v>6.186026552547518E-3</v>
      </c>
      <c r="F142" s="221"/>
      <c r="G142" s="222"/>
      <c r="H142" s="222"/>
      <c r="I142" s="6"/>
      <c r="J142" s="6"/>
      <c r="K142" s="6"/>
      <c r="L142" s="6"/>
      <c r="M142" s="6"/>
      <c r="N142" s="6"/>
      <c r="O142" s="6"/>
      <c r="P142" s="6"/>
      <c r="Q142" s="6"/>
      <c r="R142" s="6"/>
      <c r="S142" s="6"/>
      <c r="T142" s="6"/>
      <c r="U142" s="6"/>
      <c r="V142" s="6"/>
      <c r="W142" s="6"/>
      <c r="X142" s="6"/>
      <c r="Y142" s="6"/>
      <c r="Z142" s="6"/>
    </row>
    <row r="143" spans="1:26">
      <c r="A143" s="432">
        <v>44340</v>
      </c>
      <c r="B143" s="433">
        <v>14982.37</v>
      </c>
      <c r="C143" s="433">
        <v>1308.58</v>
      </c>
      <c r="D143" s="434">
        <f t="shared" ref="D143:E143" si="141">LN(B143/B144)</f>
        <v>-3.0629099575032689E-3</v>
      </c>
      <c r="E143" s="435">
        <f t="shared" si="141"/>
        <v>8.1333699849176454E-3</v>
      </c>
      <c r="F143" s="221"/>
      <c r="G143" s="222"/>
      <c r="H143" s="222"/>
      <c r="I143" s="6"/>
      <c r="J143" s="6"/>
      <c r="K143" s="6"/>
      <c r="L143" s="6"/>
      <c r="M143" s="6"/>
      <c r="N143" s="6"/>
      <c r="O143" s="6"/>
      <c r="P143" s="6"/>
      <c r="Q143" s="6"/>
      <c r="R143" s="6"/>
      <c r="S143" s="6"/>
      <c r="T143" s="6"/>
      <c r="U143" s="6"/>
      <c r="V143" s="6"/>
      <c r="W143" s="6"/>
      <c r="X143" s="6"/>
      <c r="Y143" s="6"/>
      <c r="Z143" s="6"/>
    </row>
    <row r="144" spans="1:26">
      <c r="A144" s="432">
        <v>44339</v>
      </c>
      <c r="B144" s="433">
        <v>15028.33</v>
      </c>
      <c r="C144" s="433">
        <v>1297.98</v>
      </c>
      <c r="D144" s="434">
        <f t="shared" ref="D144:E144" si="142">LN(B144/B145)</f>
        <v>2.1639353932415548E-2</v>
      </c>
      <c r="E144" s="435">
        <f t="shared" si="142"/>
        <v>1.0883523194995569E-2</v>
      </c>
      <c r="F144" s="221"/>
      <c r="G144" s="222"/>
      <c r="H144" s="222"/>
      <c r="I144" s="6"/>
      <c r="J144" s="6"/>
      <c r="K144" s="6"/>
      <c r="L144" s="6"/>
      <c r="M144" s="6"/>
      <c r="N144" s="6"/>
      <c r="O144" s="6"/>
      <c r="P144" s="6"/>
      <c r="Q144" s="6"/>
      <c r="R144" s="6"/>
      <c r="S144" s="6"/>
      <c r="T144" s="6"/>
      <c r="U144" s="6"/>
      <c r="V144" s="6"/>
      <c r="W144" s="6"/>
      <c r="X144" s="6"/>
      <c r="Y144" s="6"/>
      <c r="Z144" s="6"/>
    </row>
    <row r="145" spans="1:26">
      <c r="A145" s="432">
        <v>44336</v>
      </c>
      <c r="B145" s="433">
        <v>14706.62</v>
      </c>
      <c r="C145" s="433">
        <v>1283.93</v>
      </c>
      <c r="D145" s="434">
        <f t="shared" ref="D145:E145" si="143">LN(B145/B146)</f>
        <v>2.2117296908639818E-2</v>
      </c>
      <c r="E145" s="435">
        <f t="shared" si="143"/>
        <v>4.4572015324700603E-3</v>
      </c>
      <c r="F145" s="221"/>
      <c r="G145" s="222"/>
      <c r="H145" s="222"/>
      <c r="I145" s="6"/>
      <c r="J145" s="6"/>
      <c r="K145" s="6"/>
      <c r="L145" s="6"/>
      <c r="M145" s="6"/>
      <c r="N145" s="6"/>
      <c r="O145" s="6"/>
      <c r="P145" s="6"/>
      <c r="Q145" s="6"/>
      <c r="R145" s="6"/>
      <c r="S145" s="6"/>
      <c r="T145" s="6"/>
      <c r="U145" s="6"/>
      <c r="V145" s="6"/>
      <c r="W145" s="6"/>
      <c r="X145" s="6"/>
      <c r="Y145" s="6"/>
      <c r="Z145" s="6"/>
    </row>
    <row r="146" spans="1:26">
      <c r="A146" s="432">
        <v>44335</v>
      </c>
      <c r="B146" s="433">
        <v>14384.92</v>
      </c>
      <c r="C146" s="433">
        <v>1278.22</v>
      </c>
      <c r="D146" s="434">
        <f t="shared" ref="D146:E146" si="144">LN(B146/B147)</f>
        <v>-1.8987280269542169E-2</v>
      </c>
      <c r="E146" s="435">
        <f t="shared" si="144"/>
        <v>1.238252377130099E-2</v>
      </c>
      <c r="F146" s="221"/>
      <c r="G146" s="222"/>
      <c r="H146" s="222"/>
      <c r="I146" s="6"/>
      <c r="J146" s="6"/>
      <c r="K146" s="6"/>
      <c r="L146" s="6"/>
      <c r="M146" s="6"/>
      <c r="N146" s="6"/>
      <c r="O146" s="6"/>
      <c r="P146" s="6"/>
      <c r="Q146" s="6"/>
      <c r="R146" s="6"/>
      <c r="S146" s="6"/>
      <c r="T146" s="6"/>
      <c r="U146" s="6"/>
      <c r="V146" s="6"/>
      <c r="W146" s="6"/>
      <c r="X146" s="6"/>
      <c r="Y146" s="6"/>
      <c r="Z146" s="6"/>
    </row>
    <row r="147" spans="1:26">
      <c r="A147" s="432">
        <v>44334</v>
      </c>
      <c r="B147" s="433">
        <v>14660.66</v>
      </c>
      <c r="C147" s="433">
        <v>1262.49</v>
      </c>
      <c r="D147" s="434">
        <f t="shared" ref="D147:E147" si="145">LN(B147/B148)</f>
        <v>-3.3902211036411348E-2</v>
      </c>
      <c r="E147" s="435">
        <f t="shared" si="145"/>
        <v>7.8007051178585621E-3</v>
      </c>
      <c r="F147" s="221"/>
      <c r="G147" s="222"/>
      <c r="H147" s="222"/>
      <c r="I147" s="6"/>
      <c r="J147" s="6"/>
      <c r="K147" s="6"/>
      <c r="L147" s="6"/>
      <c r="M147" s="6"/>
      <c r="N147" s="6"/>
      <c r="O147" s="6"/>
      <c r="P147" s="6"/>
      <c r="Q147" s="6"/>
      <c r="R147" s="6"/>
      <c r="S147" s="6"/>
      <c r="T147" s="6"/>
      <c r="U147" s="6"/>
      <c r="V147" s="6"/>
      <c r="W147" s="6"/>
      <c r="X147" s="6"/>
      <c r="Y147" s="6"/>
      <c r="Z147" s="6"/>
    </row>
    <row r="148" spans="1:26">
      <c r="A148" s="432">
        <v>44333</v>
      </c>
      <c r="B148" s="433">
        <v>15166.21</v>
      </c>
      <c r="C148" s="433">
        <v>1252.68</v>
      </c>
      <c r="D148" s="434">
        <f t="shared" ref="D148:E148" si="146">LN(B148/B149)</f>
        <v>-2.0989792621551116E-2</v>
      </c>
      <c r="E148" s="435">
        <f t="shared" si="146"/>
        <v>-4.7941860892519528E-3</v>
      </c>
      <c r="F148" s="221"/>
      <c r="G148" s="222"/>
      <c r="H148" s="222"/>
      <c r="I148" s="6"/>
      <c r="J148" s="6"/>
      <c r="K148" s="6"/>
      <c r="L148" s="6"/>
      <c r="M148" s="6"/>
      <c r="N148" s="6"/>
      <c r="O148" s="6"/>
      <c r="P148" s="6"/>
      <c r="Q148" s="6"/>
      <c r="R148" s="6"/>
      <c r="S148" s="6"/>
      <c r="T148" s="6"/>
      <c r="U148" s="6"/>
      <c r="V148" s="6"/>
      <c r="W148" s="6"/>
      <c r="X148" s="6"/>
      <c r="Y148" s="6"/>
      <c r="Z148" s="6"/>
    </row>
    <row r="149" spans="1:26">
      <c r="A149" s="432">
        <v>44332</v>
      </c>
      <c r="B149" s="433">
        <v>15487.91</v>
      </c>
      <c r="C149" s="433">
        <v>1258.7</v>
      </c>
      <c r="D149" s="434">
        <f t="shared" ref="D149:E149" si="147">LN(B149/B150)</f>
        <v>-5.9174093912440755E-3</v>
      </c>
      <c r="E149" s="435">
        <f t="shared" si="147"/>
        <v>-6.0672011735398009E-3</v>
      </c>
      <c r="F149" s="221"/>
      <c r="G149" s="222"/>
      <c r="H149" s="222"/>
      <c r="I149" s="6"/>
      <c r="J149" s="6"/>
      <c r="K149" s="6"/>
      <c r="L149" s="6"/>
      <c r="M149" s="6"/>
      <c r="N149" s="6"/>
      <c r="O149" s="6"/>
      <c r="P149" s="6"/>
      <c r="Q149" s="6"/>
      <c r="R149" s="6"/>
      <c r="S149" s="6"/>
      <c r="T149" s="6"/>
      <c r="U149" s="6"/>
      <c r="V149" s="6"/>
      <c r="W149" s="6"/>
      <c r="X149" s="6"/>
      <c r="Y149" s="6"/>
      <c r="Z149" s="6"/>
    </row>
    <row r="150" spans="1:26">
      <c r="A150" s="432">
        <v>44329</v>
      </c>
      <c r="B150" s="433">
        <v>15579.83</v>
      </c>
      <c r="C150" s="433">
        <v>1266.3599999999999</v>
      </c>
      <c r="D150" s="434">
        <f t="shared" ref="D150:E150" si="148">LN(B150/B151)</f>
        <v>-2.945625386183114E-3</v>
      </c>
      <c r="E150" s="435">
        <f t="shared" si="148"/>
        <v>3.456803331504458E-3</v>
      </c>
      <c r="F150" s="221"/>
      <c r="G150" s="222"/>
      <c r="H150" s="222"/>
      <c r="I150" s="6"/>
      <c r="J150" s="6"/>
      <c r="K150" s="6"/>
      <c r="L150" s="6"/>
      <c r="M150" s="6"/>
      <c r="N150" s="6"/>
      <c r="O150" s="6"/>
      <c r="P150" s="6"/>
      <c r="Q150" s="6"/>
      <c r="R150" s="6"/>
      <c r="S150" s="6"/>
      <c r="T150" s="6"/>
      <c r="U150" s="6"/>
      <c r="V150" s="6"/>
      <c r="W150" s="6"/>
      <c r="X150" s="6"/>
      <c r="Y150" s="6"/>
      <c r="Z150" s="6"/>
    </row>
    <row r="151" spans="1:26">
      <c r="A151" s="432">
        <v>44328</v>
      </c>
      <c r="B151" s="433">
        <v>15625.79</v>
      </c>
      <c r="C151" s="433">
        <v>1261.99</v>
      </c>
      <c r="D151" s="434">
        <f t="shared" ref="D151:E151" si="149">LN(B151/B152)</f>
        <v>-5.8647115197236008E-3</v>
      </c>
      <c r="E151" s="435">
        <f t="shared" si="149"/>
        <v>-5.6102680458635186E-3</v>
      </c>
      <c r="F151" s="221"/>
      <c r="G151" s="222"/>
      <c r="H151" s="222"/>
      <c r="I151" s="6"/>
      <c r="J151" s="6"/>
      <c r="K151" s="6"/>
      <c r="L151" s="6"/>
      <c r="M151" s="6"/>
      <c r="N151" s="6"/>
      <c r="O151" s="6"/>
      <c r="P151" s="6"/>
      <c r="Q151" s="6"/>
      <c r="R151" s="6"/>
      <c r="S151" s="6"/>
      <c r="T151" s="6"/>
      <c r="U151" s="6"/>
      <c r="V151" s="6"/>
      <c r="W151" s="6"/>
      <c r="X151" s="6"/>
      <c r="Y151" s="6"/>
      <c r="Z151" s="6"/>
    </row>
    <row r="152" spans="1:26">
      <c r="A152" s="432">
        <v>44327</v>
      </c>
      <c r="B152" s="433">
        <v>15717.7</v>
      </c>
      <c r="C152" s="433">
        <v>1269.0899999999999</v>
      </c>
      <c r="D152" s="434">
        <f t="shared" ref="D152:E152" si="150">LN(B152/B153)</f>
        <v>5.8647115197236642E-3</v>
      </c>
      <c r="E152" s="435">
        <f t="shared" si="150"/>
        <v>1.0336193530565278E-2</v>
      </c>
      <c r="F152" s="221"/>
      <c r="G152" s="222"/>
      <c r="H152" s="222"/>
      <c r="I152" s="6"/>
      <c r="J152" s="6"/>
      <c r="K152" s="6"/>
      <c r="L152" s="6"/>
      <c r="M152" s="6"/>
      <c r="N152" s="6"/>
      <c r="O152" s="6"/>
      <c r="P152" s="6"/>
      <c r="Q152" s="6"/>
      <c r="R152" s="6"/>
      <c r="S152" s="6"/>
      <c r="T152" s="6"/>
      <c r="U152" s="6"/>
      <c r="V152" s="6"/>
      <c r="W152" s="6"/>
      <c r="X152" s="6"/>
      <c r="Y152" s="6"/>
      <c r="Z152" s="6"/>
    </row>
    <row r="153" spans="1:26">
      <c r="A153" s="432">
        <v>44326</v>
      </c>
      <c r="B153" s="433">
        <v>15625.79</v>
      </c>
      <c r="C153" s="433">
        <v>1256.04</v>
      </c>
      <c r="D153" s="434">
        <f t="shared" ref="D153:E153" si="151">LN(B153/B154)</f>
        <v>1.1834922385518329E-2</v>
      </c>
      <c r="E153" s="435">
        <f t="shared" si="151"/>
        <v>-2.8144173894932242E-3</v>
      </c>
      <c r="F153" s="221"/>
      <c r="G153" s="222"/>
      <c r="H153" s="222"/>
      <c r="I153" s="6"/>
      <c r="J153" s="6"/>
      <c r="K153" s="6"/>
      <c r="L153" s="6"/>
      <c r="M153" s="6"/>
      <c r="N153" s="6"/>
      <c r="O153" s="6"/>
      <c r="P153" s="6"/>
      <c r="Q153" s="6"/>
      <c r="R153" s="6"/>
      <c r="S153" s="6"/>
      <c r="T153" s="6"/>
      <c r="U153" s="6"/>
      <c r="V153" s="6"/>
      <c r="W153" s="6"/>
      <c r="X153" s="6"/>
      <c r="Y153" s="6"/>
      <c r="Z153" s="6"/>
    </row>
    <row r="154" spans="1:26">
      <c r="A154" s="432">
        <v>44325</v>
      </c>
      <c r="B154" s="433">
        <v>15441.95</v>
      </c>
      <c r="C154" s="433">
        <v>1259.58</v>
      </c>
      <c r="D154" s="434">
        <f t="shared" ref="D154:E154" si="152">LN(B154/B155)</f>
        <v>-2.9718876080912404E-3</v>
      </c>
      <c r="E154" s="435">
        <f t="shared" si="152"/>
        <v>1.4208339319375284E-2</v>
      </c>
      <c r="F154" s="221"/>
      <c r="G154" s="222"/>
      <c r="H154" s="222"/>
      <c r="I154" s="6"/>
      <c r="J154" s="6"/>
      <c r="K154" s="6"/>
      <c r="L154" s="6"/>
      <c r="M154" s="6"/>
      <c r="N154" s="6"/>
      <c r="O154" s="6"/>
      <c r="P154" s="6"/>
      <c r="Q154" s="6"/>
      <c r="R154" s="6"/>
      <c r="S154" s="6"/>
      <c r="T154" s="6"/>
      <c r="U154" s="6"/>
      <c r="V154" s="6"/>
      <c r="W154" s="6"/>
      <c r="X154" s="6"/>
      <c r="Y154" s="6"/>
      <c r="Z154" s="6"/>
    </row>
    <row r="155" spans="1:26">
      <c r="A155" s="432">
        <v>44322</v>
      </c>
      <c r="B155" s="433">
        <v>15487.91</v>
      </c>
      <c r="C155" s="433">
        <v>1241.81</v>
      </c>
      <c r="D155" s="434">
        <f t="shared" ref="D155:E155" si="153">LN(B155/B156)</f>
        <v>-2.0558895944981195E-2</v>
      </c>
      <c r="E155" s="435">
        <f t="shared" si="153"/>
        <v>-7.0294546350316107E-3</v>
      </c>
      <c r="F155" s="221"/>
      <c r="G155" s="222"/>
      <c r="H155" s="222"/>
      <c r="I155" s="6"/>
      <c r="J155" s="6"/>
      <c r="K155" s="6"/>
      <c r="L155" s="6"/>
      <c r="M155" s="6"/>
      <c r="N155" s="6"/>
      <c r="O155" s="6"/>
      <c r="P155" s="6"/>
      <c r="Q155" s="6"/>
      <c r="R155" s="6"/>
      <c r="S155" s="6"/>
      <c r="T155" s="6"/>
      <c r="U155" s="6"/>
      <c r="V155" s="6"/>
      <c r="W155" s="6"/>
      <c r="X155" s="6"/>
      <c r="Y155" s="6"/>
      <c r="Z155" s="6"/>
    </row>
    <row r="156" spans="1:26">
      <c r="A156" s="432">
        <v>44321</v>
      </c>
      <c r="B156" s="433">
        <v>15809.62</v>
      </c>
      <c r="C156" s="433">
        <v>1250.57</v>
      </c>
      <c r="D156" s="434">
        <f t="shared" ref="D156:E156" si="154">LN(B156/B157)</f>
        <v>-8.6828345643387254E-3</v>
      </c>
      <c r="E156" s="435">
        <f t="shared" si="154"/>
        <v>-4.6749187654212205E-3</v>
      </c>
      <c r="F156" s="221"/>
      <c r="G156" s="222"/>
      <c r="H156" s="222"/>
      <c r="I156" s="6"/>
      <c r="J156" s="6"/>
      <c r="K156" s="6"/>
      <c r="L156" s="6"/>
      <c r="M156" s="6"/>
      <c r="N156" s="6"/>
      <c r="O156" s="6"/>
      <c r="P156" s="6"/>
      <c r="Q156" s="6"/>
      <c r="R156" s="6"/>
      <c r="S156" s="6"/>
      <c r="T156" s="6"/>
      <c r="U156" s="6"/>
      <c r="V156" s="6"/>
      <c r="W156" s="6"/>
      <c r="X156" s="6"/>
      <c r="Y156" s="6"/>
      <c r="Z156" s="6"/>
    </row>
    <row r="157" spans="1:26">
      <c r="A157" s="432">
        <v>44320</v>
      </c>
      <c r="B157" s="433">
        <v>15947.49</v>
      </c>
      <c r="C157" s="433">
        <v>1256.43</v>
      </c>
      <c r="D157" s="434">
        <f t="shared" ref="D157:E157" si="155">LN(B157/B158)</f>
        <v>2.8854901943225425E-3</v>
      </c>
      <c r="E157" s="435">
        <f t="shared" si="155"/>
        <v>1.1390365000160831E-2</v>
      </c>
      <c r="F157" s="221"/>
      <c r="G157" s="222"/>
      <c r="H157" s="222"/>
      <c r="I157" s="6"/>
      <c r="J157" s="6"/>
      <c r="K157" s="6"/>
      <c r="L157" s="6"/>
      <c r="M157" s="6"/>
      <c r="N157" s="6"/>
      <c r="O157" s="6"/>
      <c r="P157" s="6"/>
      <c r="Q157" s="6"/>
      <c r="R157" s="6"/>
      <c r="S157" s="6"/>
      <c r="T157" s="6"/>
      <c r="U157" s="6"/>
      <c r="V157" s="6"/>
      <c r="W157" s="6"/>
      <c r="X157" s="6"/>
      <c r="Y157" s="6"/>
      <c r="Z157" s="6"/>
    </row>
    <row r="158" spans="1:26">
      <c r="A158" s="432">
        <v>44319</v>
      </c>
      <c r="B158" s="433">
        <v>15901.54</v>
      </c>
      <c r="C158" s="433">
        <v>1242.2</v>
      </c>
      <c r="D158" s="434">
        <f t="shared" ref="D158:E158" si="156">LN(B158/B159)</f>
        <v>-5.7633035410384961E-3</v>
      </c>
      <c r="E158" s="435">
        <f t="shared" si="156"/>
        <v>2.2646780499486221E-3</v>
      </c>
      <c r="F158" s="221"/>
      <c r="G158" s="222"/>
      <c r="H158" s="222"/>
      <c r="I158" s="6"/>
      <c r="J158" s="6"/>
      <c r="K158" s="6"/>
      <c r="L158" s="6"/>
      <c r="M158" s="6"/>
      <c r="N158" s="6"/>
      <c r="O158" s="6"/>
      <c r="P158" s="6"/>
      <c r="Q158" s="6"/>
      <c r="R158" s="6"/>
      <c r="S158" s="6"/>
      <c r="T158" s="6"/>
      <c r="U158" s="6"/>
      <c r="V158" s="6"/>
      <c r="W158" s="6"/>
      <c r="X158" s="6"/>
      <c r="Y158" s="6"/>
      <c r="Z158" s="6"/>
    </row>
    <row r="159" spans="1:26">
      <c r="A159" s="432">
        <v>44314</v>
      </c>
      <c r="B159" s="433">
        <v>15993.45</v>
      </c>
      <c r="C159" s="433">
        <v>1239.3900000000001</v>
      </c>
      <c r="D159" s="434">
        <f t="shared" ref="D159:E159" si="157">LN(B159/B160)</f>
        <v>5.7633035410384094E-3</v>
      </c>
      <c r="E159" s="435">
        <f t="shared" si="157"/>
        <v>7.9710743081046059E-3</v>
      </c>
      <c r="F159" s="221"/>
      <c r="G159" s="222"/>
      <c r="H159" s="222"/>
      <c r="I159" s="6"/>
      <c r="J159" s="6"/>
      <c r="K159" s="6"/>
      <c r="L159" s="6"/>
      <c r="M159" s="6"/>
      <c r="N159" s="6"/>
      <c r="O159" s="6"/>
      <c r="P159" s="6"/>
      <c r="Q159" s="6"/>
      <c r="R159" s="6"/>
      <c r="S159" s="6"/>
      <c r="T159" s="6"/>
      <c r="U159" s="6"/>
      <c r="V159" s="6"/>
      <c r="W159" s="6"/>
      <c r="X159" s="6"/>
      <c r="Y159" s="6"/>
      <c r="Z159" s="6"/>
    </row>
    <row r="160" spans="1:26">
      <c r="A160" s="432">
        <v>44313</v>
      </c>
      <c r="B160" s="433">
        <v>15901.54</v>
      </c>
      <c r="C160" s="433">
        <v>1229.55</v>
      </c>
      <c r="D160" s="434">
        <f t="shared" ref="D160:E160" si="158">LN(B160/B161)</f>
        <v>1.4556231383251607E-2</v>
      </c>
      <c r="E160" s="435">
        <f t="shared" si="158"/>
        <v>8.0023290712027944E-3</v>
      </c>
      <c r="F160" s="221"/>
      <c r="G160" s="222"/>
      <c r="H160" s="222"/>
      <c r="I160" s="6"/>
      <c r="J160" s="6"/>
      <c r="K160" s="6"/>
      <c r="L160" s="6"/>
      <c r="M160" s="6"/>
      <c r="N160" s="6"/>
      <c r="O160" s="6"/>
      <c r="P160" s="6"/>
      <c r="Q160" s="6"/>
      <c r="R160" s="6"/>
      <c r="S160" s="6"/>
      <c r="T160" s="6"/>
      <c r="U160" s="6"/>
      <c r="V160" s="6"/>
      <c r="W160" s="6"/>
      <c r="X160" s="6"/>
      <c r="Y160" s="6"/>
      <c r="Z160" s="6"/>
    </row>
    <row r="161" spans="1:26">
      <c r="A161" s="432">
        <v>44312</v>
      </c>
      <c r="B161" s="433">
        <v>15671.75</v>
      </c>
      <c r="C161" s="433">
        <v>1219.75</v>
      </c>
      <c r="D161" s="434">
        <f t="shared" ref="D161:E161" si="159">LN(B161/B162)</f>
        <v>-2.0319534924290159E-2</v>
      </c>
      <c r="E161" s="435">
        <f t="shared" si="159"/>
        <v>3.2682987967980587E-3</v>
      </c>
      <c r="F161" s="221"/>
      <c r="G161" s="222"/>
      <c r="H161" s="222"/>
      <c r="I161" s="6"/>
      <c r="J161" s="6"/>
      <c r="K161" s="6"/>
      <c r="L161" s="6"/>
      <c r="M161" s="6"/>
      <c r="N161" s="6"/>
      <c r="O161" s="6"/>
      <c r="P161" s="6"/>
      <c r="Q161" s="6"/>
      <c r="R161" s="6"/>
      <c r="S161" s="6"/>
      <c r="T161" s="6"/>
      <c r="U161" s="6"/>
      <c r="V161" s="6"/>
      <c r="W161" s="6"/>
      <c r="X161" s="6"/>
      <c r="Y161" s="6"/>
      <c r="Z161" s="6"/>
    </row>
    <row r="162" spans="1:26">
      <c r="A162" s="432">
        <v>44311</v>
      </c>
      <c r="B162" s="433">
        <v>15993.45</v>
      </c>
      <c r="C162" s="433">
        <v>1215.77</v>
      </c>
      <c r="D162" s="434">
        <f t="shared" ref="D162:E162" si="160">LN(B162/B163)</f>
        <v>-3.3901655885003233E-2</v>
      </c>
      <c r="E162" s="435">
        <f t="shared" si="160"/>
        <v>-2.6589238366593073E-2</v>
      </c>
      <c r="F162" s="221"/>
      <c r="G162" s="222"/>
      <c r="H162" s="222"/>
      <c r="I162" s="6"/>
      <c r="J162" s="6"/>
      <c r="K162" s="6"/>
      <c r="L162" s="6"/>
      <c r="M162" s="6"/>
      <c r="N162" s="6"/>
      <c r="O162" s="6"/>
      <c r="P162" s="6"/>
      <c r="Q162" s="6"/>
      <c r="R162" s="6"/>
      <c r="S162" s="6"/>
      <c r="T162" s="6"/>
      <c r="U162" s="6"/>
      <c r="V162" s="6"/>
      <c r="W162" s="6"/>
      <c r="X162" s="6"/>
      <c r="Y162" s="6"/>
      <c r="Z162" s="6"/>
    </row>
    <row r="163" spans="1:26">
      <c r="A163" s="432">
        <v>44308</v>
      </c>
      <c r="B163" s="433">
        <v>16544.95</v>
      </c>
      <c r="C163" s="433">
        <v>1248.53</v>
      </c>
      <c r="D163" s="434">
        <f t="shared" ref="D163:E163" si="161">LN(B163/B164)</f>
        <v>1.9636137177873374E-2</v>
      </c>
      <c r="E163" s="435">
        <f t="shared" si="161"/>
        <v>1.672662010708351E-2</v>
      </c>
      <c r="F163" s="221"/>
      <c r="G163" s="222"/>
      <c r="H163" s="222"/>
      <c r="I163" s="6"/>
      <c r="J163" s="6"/>
      <c r="K163" s="6"/>
      <c r="L163" s="6"/>
      <c r="M163" s="6"/>
      <c r="N163" s="6"/>
      <c r="O163" s="6"/>
      <c r="P163" s="6"/>
      <c r="Q163" s="6"/>
      <c r="R163" s="6"/>
      <c r="S163" s="6"/>
      <c r="T163" s="6"/>
      <c r="U163" s="6"/>
      <c r="V163" s="6"/>
      <c r="W163" s="6"/>
      <c r="X163" s="6"/>
      <c r="Y163" s="6"/>
      <c r="Z163" s="6"/>
    </row>
    <row r="164" spans="1:26">
      <c r="A164" s="432">
        <v>44307</v>
      </c>
      <c r="B164" s="433">
        <v>16223.24</v>
      </c>
      <c r="C164" s="433">
        <v>1227.82</v>
      </c>
      <c r="D164" s="434">
        <f t="shared" ref="D164:E164" si="162">LN(B164/B165)</f>
        <v>-2.8289676399622802E-3</v>
      </c>
      <c r="E164" s="435">
        <f t="shared" si="162"/>
        <v>-3.242141265059828E-2</v>
      </c>
      <c r="F164" s="221"/>
      <c r="G164" s="222"/>
      <c r="H164" s="222"/>
      <c r="I164" s="6"/>
      <c r="J164" s="6"/>
      <c r="K164" s="6"/>
      <c r="L164" s="6"/>
      <c r="M164" s="6"/>
      <c r="N164" s="6"/>
      <c r="O164" s="6"/>
      <c r="P164" s="6"/>
      <c r="Q164" s="6"/>
      <c r="R164" s="6"/>
      <c r="S164" s="6"/>
      <c r="T164" s="6"/>
      <c r="U164" s="6"/>
      <c r="V164" s="6"/>
      <c r="W164" s="6"/>
      <c r="X164" s="6"/>
      <c r="Y164" s="6"/>
      <c r="Z164" s="6"/>
    </row>
    <row r="165" spans="1:26">
      <c r="A165" s="432">
        <v>44305</v>
      </c>
      <c r="B165" s="433">
        <v>16269.2</v>
      </c>
      <c r="C165" s="433">
        <v>1268.28</v>
      </c>
      <c r="D165" s="434">
        <f t="shared" ref="D165:E165" si="163">LN(B165/B166)</f>
        <v>-1.9581205248642253E-2</v>
      </c>
      <c r="E165" s="435">
        <f t="shared" si="163"/>
        <v>6.089719316996034E-3</v>
      </c>
      <c r="F165" s="221"/>
      <c r="G165" s="222"/>
      <c r="H165" s="222"/>
      <c r="I165" s="6"/>
      <c r="J165" s="6"/>
      <c r="K165" s="6"/>
      <c r="L165" s="6"/>
      <c r="M165" s="6"/>
      <c r="N165" s="6"/>
      <c r="O165" s="6"/>
      <c r="P165" s="6"/>
      <c r="Q165" s="6"/>
      <c r="R165" s="6"/>
      <c r="S165" s="6"/>
      <c r="T165" s="6"/>
      <c r="U165" s="6"/>
      <c r="V165" s="6"/>
      <c r="W165" s="6"/>
      <c r="X165" s="6"/>
      <c r="Y165" s="6"/>
      <c r="Z165" s="6"/>
    </row>
    <row r="166" spans="1:26">
      <c r="A166" s="432">
        <v>44304</v>
      </c>
      <c r="B166" s="433">
        <v>16590.91</v>
      </c>
      <c r="C166" s="433">
        <v>1260.58</v>
      </c>
      <c r="D166" s="434">
        <f t="shared" ref="D166:E166" si="164">LN(B166/B167)</f>
        <v>-1.3755315782612148E-2</v>
      </c>
      <c r="E166" s="435">
        <f t="shared" si="164"/>
        <v>1.7501416984955581E-2</v>
      </c>
      <c r="F166" s="221"/>
      <c r="G166" s="222"/>
      <c r="H166" s="222"/>
      <c r="I166" s="6"/>
      <c r="J166" s="6"/>
      <c r="K166" s="6"/>
      <c r="L166" s="6"/>
      <c r="M166" s="6"/>
      <c r="N166" s="6"/>
      <c r="O166" s="6"/>
      <c r="P166" s="6"/>
      <c r="Q166" s="6"/>
      <c r="R166" s="6"/>
      <c r="S166" s="6"/>
      <c r="T166" s="6"/>
      <c r="U166" s="6"/>
      <c r="V166" s="6"/>
      <c r="W166" s="6"/>
      <c r="X166" s="6"/>
      <c r="Y166" s="6"/>
      <c r="Z166" s="6"/>
    </row>
    <row r="167" spans="1:26">
      <c r="A167" s="432">
        <v>44301</v>
      </c>
      <c r="B167" s="433">
        <v>16820.7</v>
      </c>
      <c r="C167" s="433">
        <v>1238.71</v>
      </c>
      <c r="D167" s="434">
        <f t="shared" ref="D167:E167" si="165">LN(B167/B168)</f>
        <v>-1.0869508346163006E-2</v>
      </c>
      <c r="E167" s="435">
        <f t="shared" si="165"/>
        <v>-6.870612233841957E-3</v>
      </c>
      <c r="F167" s="221"/>
      <c r="G167" s="222"/>
      <c r="H167" s="222"/>
      <c r="I167" s="6"/>
      <c r="J167" s="6"/>
      <c r="K167" s="6"/>
      <c r="L167" s="6"/>
      <c r="M167" s="6"/>
      <c r="N167" s="6"/>
      <c r="O167" s="6"/>
      <c r="P167" s="6"/>
      <c r="Q167" s="6"/>
      <c r="R167" s="6"/>
      <c r="S167" s="6"/>
      <c r="T167" s="6"/>
      <c r="U167" s="6"/>
      <c r="V167" s="6"/>
      <c r="W167" s="6"/>
      <c r="X167" s="6"/>
      <c r="Y167" s="6"/>
      <c r="Z167" s="6"/>
    </row>
    <row r="168" spans="1:26">
      <c r="A168" s="432">
        <v>44300</v>
      </c>
      <c r="B168" s="433">
        <v>17004.53</v>
      </c>
      <c r="C168" s="433">
        <v>1247.25</v>
      </c>
      <c r="D168" s="434">
        <f t="shared" ref="D168:E168" si="166">LN(B168/B169)</f>
        <v>-2.6668711354623422E-2</v>
      </c>
      <c r="E168" s="435">
        <f t="shared" si="166"/>
        <v>-6.8874317454595685E-3</v>
      </c>
      <c r="F168" s="221"/>
      <c r="G168" s="222"/>
      <c r="H168" s="222"/>
      <c r="I168" s="6"/>
      <c r="J168" s="6"/>
      <c r="K168" s="6"/>
      <c r="L168" s="6"/>
      <c r="M168" s="6"/>
      <c r="N168" s="6"/>
      <c r="O168" s="6"/>
      <c r="P168" s="6"/>
      <c r="Q168" s="6"/>
      <c r="R168" s="6"/>
      <c r="S168" s="6"/>
      <c r="T168" s="6"/>
      <c r="U168" s="6"/>
      <c r="V168" s="6"/>
      <c r="W168" s="6"/>
      <c r="X168" s="6"/>
      <c r="Y168" s="6"/>
      <c r="Z168" s="6"/>
    </row>
    <row r="169" spans="1:26">
      <c r="A169" s="432">
        <v>44299</v>
      </c>
      <c r="B169" s="433">
        <v>17464.12</v>
      </c>
      <c r="C169" s="433">
        <v>1255.8699999999999</v>
      </c>
      <c r="D169" s="434">
        <f t="shared" ref="D169:E169" si="167">LN(B169/B170)</f>
        <v>2.6668711354623308E-2</v>
      </c>
      <c r="E169" s="435">
        <f t="shared" si="167"/>
        <v>6.0219014339305266E-3</v>
      </c>
      <c r="F169" s="221"/>
      <c r="G169" s="222"/>
      <c r="H169" s="222"/>
      <c r="I169" s="6"/>
      <c r="J169" s="6"/>
      <c r="K169" s="6"/>
      <c r="L169" s="6"/>
      <c r="M169" s="6"/>
      <c r="N169" s="6"/>
      <c r="O169" s="6"/>
      <c r="P169" s="6"/>
      <c r="Q169" s="6"/>
      <c r="R169" s="6"/>
      <c r="S169" s="6"/>
      <c r="T169" s="6"/>
      <c r="U169" s="6"/>
      <c r="V169" s="6"/>
      <c r="W169" s="6"/>
      <c r="X169" s="6"/>
      <c r="Y169" s="6"/>
      <c r="Z169" s="6"/>
    </row>
    <row r="170" spans="1:26">
      <c r="A170" s="432">
        <v>44298</v>
      </c>
      <c r="B170" s="433">
        <v>17004.53</v>
      </c>
      <c r="C170" s="433">
        <v>1248.33</v>
      </c>
      <c r="D170" s="434">
        <f t="shared" ref="D170:E170" si="168">LN(B170/B171)</f>
        <v>-2.4033560980531846E-2</v>
      </c>
      <c r="E170" s="435">
        <f t="shared" si="168"/>
        <v>-3.2949749498327498E-3</v>
      </c>
      <c r="F170" s="221"/>
      <c r="G170" s="222"/>
      <c r="H170" s="222"/>
      <c r="I170" s="6"/>
      <c r="J170" s="6"/>
      <c r="K170" s="6"/>
      <c r="L170" s="6"/>
      <c r="M170" s="6"/>
      <c r="N170" s="6"/>
      <c r="O170" s="6"/>
      <c r="P170" s="6"/>
      <c r="Q170" s="6"/>
      <c r="R170" s="6"/>
      <c r="S170" s="6"/>
      <c r="T170" s="6"/>
      <c r="U170" s="6"/>
      <c r="V170" s="6"/>
      <c r="W170" s="6"/>
      <c r="X170" s="6"/>
      <c r="Y170" s="6"/>
      <c r="Z170" s="6"/>
    </row>
    <row r="171" spans="1:26">
      <c r="A171" s="432">
        <v>44297</v>
      </c>
      <c r="B171" s="433">
        <v>17418.16</v>
      </c>
      <c r="C171" s="433">
        <v>1252.45</v>
      </c>
      <c r="D171" s="434">
        <f t="shared" ref="D171:E171" si="169">LN(B171/B172)</f>
        <v>-1.5706607283899936E-2</v>
      </c>
      <c r="E171" s="435">
        <f t="shared" si="169"/>
        <v>1.6738780022856621E-2</v>
      </c>
      <c r="F171" s="221"/>
      <c r="G171" s="222"/>
      <c r="H171" s="222"/>
      <c r="I171" s="6"/>
      <c r="J171" s="6"/>
      <c r="K171" s="6"/>
      <c r="L171" s="6"/>
      <c r="M171" s="6"/>
      <c r="N171" s="6"/>
      <c r="O171" s="6"/>
      <c r="P171" s="6"/>
      <c r="Q171" s="6"/>
      <c r="R171" s="6"/>
      <c r="S171" s="6"/>
      <c r="T171" s="6"/>
      <c r="U171" s="6"/>
      <c r="V171" s="6"/>
      <c r="W171" s="6"/>
      <c r="X171" s="6"/>
      <c r="Y171" s="6"/>
      <c r="Z171" s="6"/>
    </row>
    <row r="172" spans="1:26">
      <c r="A172" s="432">
        <v>44294</v>
      </c>
      <c r="B172" s="433">
        <v>17693.900000000001</v>
      </c>
      <c r="C172" s="433">
        <v>1231.6600000000001</v>
      </c>
      <c r="D172" s="434">
        <f t="shared" ref="D172:E172" si="170">LN(B172/B173)</f>
        <v>2.6003180869986525E-3</v>
      </c>
      <c r="E172" s="435">
        <f t="shared" si="170"/>
        <v>-2.6190442896513347E-3</v>
      </c>
      <c r="F172" s="221"/>
      <c r="G172" s="222"/>
      <c r="H172" s="222"/>
      <c r="I172" s="6"/>
      <c r="J172" s="6"/>
      <c r="K172" s="6"/>
      <c r="L172" s="6"/>
      <c r="M172" s="6"/>
      <c r="N172" s="6"/>
      <c r="O172" s="6"/>
      <c r="P172" s="6"/>
      <c r="Q172" s="6"/>
      <c r="R172" s="6"/>
      <c r="S172" s="6"/>
      <c r="T172" s="6"/>
      <c r="U172" s="6"/>
      <c r="V172" s="6"/>
      <c r="W172" s="6"/>
      <c r="X172" s="6"/>
      <c r="Y172" s="6"/>
      <c r="Z172" s="6"/>
    </row>
    <row r="173" spans="1:26">
      <c r="A173" s="432">
        <v>44293</v>
      </c>
      <c r="B173" s="433">
        <v>17647.95</v>
      </c>
      <c r="C173" s="433">
        <v>1234.8900000000001</v>
      </c>
      <c r="D173" s="434">
        <f t="shared" ref="D173:E173" si="171">LN(B173/B174)</f>
        <v>-5.1944557553790073E-3</v>
      </c>
      <c r="E173" s="435">
        <f t="shared" si="171"/>
        <v>-6.0469975605214193E-3</v>
      </c>
      <c r="F173" s="221"/>
      <c r="G173" s="222"/>
      <c r="H173" s="222"/>
      <c r="I173" s="6"/>
      <c r="J173" s="6"/>
      <c r="K173" s="6"/>
      <c r="L173" s="6"/>
      <c r="M173" s="6"/>
      <c r="N173" s="6"/>
      <c r="O173" s="6"/>
      <c r="P173" s="6"/>
      <c r="Q173" s="6"/>
      <c r="R173" s="6"/>
      <c r="S173" s="6"/>
      <c r="T173" s="6"/>
      <c r="U173" s="6"/>
      <c r="V173" s="6"/>
      <c r="W173" s="6"/>
      <c r="X173" s="6"/>
      <c r="Y173" s="6"/>
      <c r="Z173" s="6"/>
    </row>
    <row r="174" spans="1:26">
      <c r="A174" s="432">
        <v>44292</v>
      </c>
      <c r="B174" s="433">
        <v>17739.86</v>
      </c>
      <c r="C174" s="433">
        <v>1242.3800000000001</v>
      </c>
      <c r="D174" s="434">
        <f t="shared" ref="D174:E174" si="172">LN(B174/B175)</f>
        <v>1.5665594578188672E-2</v>
      </c>
      <c r="E174" s="435">
        <f t="shared" si="172"/>
        <v>1.9497738155607386E-3</v>
      </c>
      <c r="F174" s="221"/>
      <c r="G174" s="222"/>
      <c r="H174" s="222"/>
      <c r="I174" s="6"/>
      <c r="J174" s="6"/>
      <c r="K174" s="6"/>
      <c r="L174" s="6"/>
      <c r="M174" s="6"/>
      <c r="N174" s="6"/>
      <c r="O174" s="6"/>
      <c r="P174" s="6"/>
      <c r="Q174" s="6"/>
      <c r="R174" s="6"/>
      <c r="S174" s="6"/>
      <c r="T174" s="6"/>
      <c r="U174" s="6"/>
      <c r="V174" s="6"/>
      <c r="W174" s="6"/>
      <c r="X174" s="6"/>
      <c r="Y174" s="6"/>
      <c r="Z174" s="6"/>
    </row>
    <row r="175" spans="1:26">
      <c r="A175" s="432">
        <v>44291</v>
      </c>
      <c r="B175" s="433">
        <v>17464.12</v>
      </c>
      <c r="C175" s="433">
        <v>1239.96</v>
      </c>
      <c r="D175" s="434">
        <f t="shared" ref="D175:E175" si="173">LN(B175/B176)</f>
        <v>0</v>
      </c>
      <c r="E175" s="435">
        <f t="shared" si="173"/>
        <v>3.1583097403976952E-3</v>
      </c>
      <c r="F175" s="221"/>
      <c r="G175" s="222"/>
      <c r="H175" s="222"/>
      <c r="I175" s="6"/>
      <c r="J175" s="6"/>
      <c r="K175" s="6"/>
      <c r="L175" s="6"/>
      <c r="M175" s="6"/>
      <c r="N175" s="6"/>
      <c r="O175" s="6"/>
      <c r="P175" s="6"/>
      <c r="Q175" s="6"/>
      <c r="R175" s="6"/>
      <c r="S175" s="6"/>
      <c r="T175" s="6"/>
      <c r="U175" s="6"/>
      <c r="V175" s="6"/>
      <c r="W175" s="6"/>
      <c r="X175" s="6"/>
      <c r="Y175" s="6"/>
      <c r="Z175" s="6"/>
    </row>
    <row r="176" spans="1:26">
      <c r="A176" s="432">
        <v>44290</v>
      </c>
      <c r="B176" s="433">
        <v>17464.12</v>
      </c>
      <c r="C176" s="433">
        <v>1236.05</v>
      </c>
      <c r="D176" s="434">
        <f t="shared" ref="D176:E176" si="174">LN(B176/B177)</f>
        <v>-2.6276535032674314E-3</v>
      </c>
      <c r="E176" s="435">
        <f t="shared" si="174"/>
        <v>9.4290477083914612E-3</v>
      </c>
      <c r="F176" s="221"/>
      <c r="G176" s="222"/>
      <c r="H176" s="222"/>
      <c r="I176" s="6"/>
      <c r="J176" s="6"/>
      <c r="K176" s="6"/>
      <c r="L176" s="6"/>
      <c r="M176" s="6"/>
      <c r="N176" s="6"/>
      <c r="O176" s="6"/>
      <c r="P176" s="6"/>
      <c r="Q176" s="6"/>
      <c r="R176" s="6"/>
      <c r="S176" s="6"/>
      <c r="T176" s="6"/>
      <c r="U176" s="6"/>
      <c r="V176" s="6"/>
      <c r="W176" s="6"/>
      <c r="X176" s="6"/>
      <c r="Y176" s="6"/>
      <c r="Z176" s="6"/>
    </row>
    <row r="177" spans="1:26">
      <c r="A177" s="432">
        <v>44287</v>
      </c>
      <c r="B177" s="433">
        <v>17510.07</v>
      </c>
      <c r="C177" s="433">
        <v>1224.45</v>
      </c>
      <c r="D177" s="434">
        <f t="shared" ref="D177:E177" si="175">LN(B177/B178)</f>
        <v>-2.8462460293098776E-2</v>
      </c>
      <c r="E177" s="435">
        <f t="shared" si="175"/>
        <v>6.8427465785209033E-3</v>
      </c>
      <c r="F177" s="221"/>
      <c r="G177" s="222"/>
      <c r="H177" s="222"/>
      <c r="I177" s="6"/>
      <c r="J177" s="6"/>
      <c r="K177" s="6"/>
      <c r="L177" s="6"/>
      <c r="M177" s="6"/>
      <c r="N177" s="6"/>
      <c r="O177" s="6"/>
      <c r="P177" s="6"/>
      <c r="Q177" s="6"/>
      <c r="R177" s="6"/>
      <c r="S177" s="6"/>
      <c r="T177" s="6"/>
      <c r="U177" s="6"/>
      <c r="V177" s="6"/>
      <c r="W177" s="6"/>
      <c r="X177" s="6"/>
      <c r="Y177" s="6"/>
      <c r="Z177" s="6"/>
    </row>
    <row r="178" spans="1:26">
      <c r="A178" s="432">
        <v>44286</v>
      </c>
      <c r="B178" s="433">
        <v>18015.61</v>
      </c>
      <c r="C178" s="433">
        <v>1216.0999999999999</v>
      </c>
      <c r="D178" s="434">
        <f t="shared" ref="D178:E178" si="176">LN(B178/B179)</f>
        <v>-2.0202951550130049E-2</v>
      </c>
      <c r="E178" s="435">
        <f t="shared" si="176"/>
        <v>2.048635740934153E-2</v>
      </c>
      <c r="F178" s="221"/>
      <c r="G178" s="222"/>
      <c r="H178" s="222"/>
      <c r="I178" s="6"/>
      <c r="J178" s="6"/>
      <c r="K178" s="6"/>
      <c r="L178" s="6"/>
      <c r="M178" s="6"/>
      <c r="N178" s="6"/>
      <c r="O178" s="6"/>
      <c r="P178" s="6"/>
      <c r="Q178" s="6"/>
      <c r="R178" s="6"/>
      <c r="S178" s="6"/>
      <c r="T178" s="6"/>
      <c r="U178" s="6"/>
      <c r="V178" s="6"/>
      <c r="W178" s="6"/>
      <c r="X178" s="6"/>
      <c r="Y178" s="6"/>
      <c r="Z178" s="6"/>
    </row>
    <row r="179" spans="1:26">
      <c r="A179" s="432">
        <v>44285</v>
      </c>
      <c r="B179" s="433">
        <v>18383.28</v>
      </c>
      <c r="C179" s="433">
        <v>1191.44</v>
      </c>
      <c r="D179" s="434">
        <f t="shared" ref="D179:E179" si="177">LN(B179/B180)</f>
        <v>2.5317696400179803E-2</v>
      </c>
      <c r="E179" s="435">
        <f t="shared" si="177"/>
        <v>4.2728637639404691E-3</v>
      </c>
      <c r="F179" s="221"/>
      <c r="G179" s="222"/>
      <c r="H179" s="222"/>
      <c r="I179" s="6"/>
      <c r="J179" s="6"/>
      <c r="K179" s="6"/>
      <c r="L179" s="6"/>
      <c r="M179" s="6"/>
      <c r="N179" s="6"/>
      <c r="O179" s="6"/>
      <c r="P179" s="6"/>
      <c r="Q179" s="6"/>
      <c r="R179" s="6"/>
      <c r="S179" s="6"/>
      <c r="T179" s="6"/>
      <c r="U179" s="6"/>
      <c r="V179" s="6"/>
      <c r="W179" s="6"/>
      <c r="X179" s="6"/>
      <c r="Y179" s="6"/>
      <c r="Z179" s="6"/>
    </row>
    <row r="180" spans="1:26">
      <c r="A180" s="432">
        <v>44284</v>
      </c>
      <c r="B180" s="433">
        <v>17923.7</v>
      </c>
      <c r="C180" s="433">
        <v>1186.3599999999999</v>
      </c>
      <c r="D180" s="434">
        <f t="shared" ref="D180:E180" si="178">LN(B180/B181)</f>
        <v>3.6557892500075108E-2</v>
      </c>
      <c r="E180" s="435">
        <f t="shared" si="178"/>
        <v>9.0430922269655392E-3</v>
      </c>
      <c r="F180" s="221"/>
      <c r="G180" s="222"/>
      <c r="H180" s="222"/>
      <c r="I180" s="6"/>
      <c r="J180" s="6"/>
      <c r="K180" s="6"/>
      <c r="L180" s="6"/>
      <c r="M180" s="6"/>
      <c r="N180" s="6"/>
      <c r="O180" s="6"/>
      <c r="P180" s="6"/>
      <c r="Q180" s="6"/>
      <c r="R180" s="6"/>
      <c r="S180" s="6"/>
      <c r="T180" s="6"/>
      <c r="U180" s="6"/>
      <c r="V180" s="6"/>
      <c r="W180" s="6"/>
      <c r="X180" s="6"/>
      <c r="Y180" s="6"/>
      <c r="Z180" s="6"/>
    </row>
    <row r="181" spans="1:26">
      <c r="A181" s="432">
        <v>44283</v>
      </c>
      <c r="B181" s="433">
        <v>17280.28</v>
      </c>
      <c r="C181" s="433">
        <v>1175.68</v>
      </c>
      <c r="D181" s="434">
        <f t="shared" ref="D181:E181" si="179">LN(B181/B182)</f>
        <v>5.332974620783356E-3</v>
      </c>
      <c r="E181" s="435">
        <f t="shared" si="179"/>
        <v>1.1523338611697865E-2</v>
      </c>
      <c r="F181" s="221"/>
      <c r="G181" s="222"/>
      <c r="H181" s="222"/>
      <c r="I181" s="6"/>
      <c r="J181" s="6"/>
      <c r="K181" s="6"/>
      <c r="L181" s="6"/>
      <c r="M181" s="6"/>
      <c r="N181" s="6"/>
      <c r="O181" s="6"/>
      <c r="P181" s="6"/>
      <c r="Q181" s="6"/>
      <c r="R181" s="6"/>
      <c r="S181" s="6"/>
      <c r="T181" s="6"/>
      <c r="U181" s="6"/>
      <c r="V181" s="6"/>
      <c r="W181" s="6"/>
      <c r="X181" s="6"/>
      <c r="Y181" s="6"/>
      <c r="Z181" s="6"/>
    </row>
    <row r="182" spans="1:26">
      <c r="A182" s="432">
        <v>44280</v>
      </c>
      <c r="B182" s="433">
        <v>17188.37</v>
      </c>
      <c r="C182" s="433">
        <v>1162.21</v>
      </c>
      <c r="D182" s="434">
        <f t="shared" ref="D182:E182" si="180">LN(B182/B183)</f>
        <v>5.3621527104668176E-3</v>
      </c>
      <c r="E182" s="435">
        <f t="shared" si="180"/>
        <v>-7.6548936998469962E-4</v>
      </c>
      <c r="F182" s="221"/>
      <c r="G182" s="222"/>
      <c r="H182" s="222"/>
      <c r="I182" s="6"/>
      <c r="J182" s="6"/>
      <c r="K182" s="6"/>
      <c r="L182" s="6"/>
      <c r="M182" s="6"/>
      <c r="N182" s="6"/>
      <c r="O182" s="6"/>
      <c r="P182" s="6"/>
      <c r="Q182" s="6"/>
      <c r="R182" s="6"/>
      <c r="S182" s="6"/>
      <c r="T182" s="6"/>
      <c r="U182" s="6"/>
      <c r="V182" s="6"/>
      <c r="W182" s="6"/>
      <c r="X182" s="6"/>
      <c r="Y182" s="6"/>
      <c r="Z182" s="6"/>
    </row>
    <row r="183" spans="1:26">
      <c r="A183" s="432">
        <v>44279</v>
      </c>
      <c r="B183" s="433">
        <v>17096.45</v>
      </c>
      <c r="C183" s="433">
        <v>1163.0999999999999</v>
      </c>
      <c r="D183" s="434">
        <f t="shared" ref="D183:E183" si="181">LN(B183/B184)</f>
        <v>5.391060469614517E-3</v>
      </c>
      <c r="E183" s="435">
        <f t="shared" si="181"/>
        <v>1.109720490155789E-3</v>
      </c>
      <c r="F183" s="221"/>
      <c r="G183" s="222"/>
      <c r="H183" s="222"/>
      <c r="I183" s="6"/>
      <c r="J183" s="6"/>
      <c r="K183" s="6"/>
      <c r="L183" s="6"/>
      <c r="M183" s="6"/>
      <c r="N183" s="6"/>
      <c r="O183" s="6"/>
      <c r="P183" s="6"/>
      <c r="Q183" s="6"/>
      <c r="R183" s="6"/>
      <c r="S183" s="6"/>
      <c r="T183" s="6"/>
      <c r="U183" s="6"/>
      <c r="V183" s="6"/>
      <c r="W183" s="6"/>
      <c r="X183" s="6"/>
      <c r="Y183" s="6"/>
      <c r="Z183" s="6"/>
    </row>
    <row r="184" spans="1:26">
      <c r="A184" s="432">
        <v>44278</v>
      </c>
      <c r="B184" s="433">
        <v>17004.53</v>
      </c>
      <c r="C184" s="433">
        <v>1161.81</v>
      </c>
      <c r="D184" s="434">
        <f t="shared" ref="D184:E184" si="182">LN(B184/B185)</f>
        <v>-2.6991631720312682E-3</v>
      </c>
      <c r="E184" s="435">
        <f t="shared" si="182"/>
        <v>-1.845476763598294E-2</v>
      </c>
      <c r="F184" s="221"/>
      <c r="G184" s="222"/>
      <c r="H184" s="222"/>
      <c r="I184" s="6"/>
      <c r="J184" s="6"/>
      <c r="K184" s="6"/>
      <c r="L184" s="6"/>
      <c r="M184" s="6"/>
      <c r="N184" s="6"/>
      <c r="O184" s="6"/>
      <c r="P184" s="6"/>
      <c r="Q184" s="6"/>
      <c r="R184" s="6"/>
      <c r="S184" s="6"/>
      <c r="T184" s="6"/>
      <c r="U184" s="6"/>
      <c r="V184" s="6"/>
      <c r="W184" s="6"/>
      <c r="X184" s="6"/>
      <c r="Y184" s="6"/>
      <c r="Z184" s="6"/>
    </row>
    <row r="185" spans="1:26">
      <c r="A185" s="432">
        <v>44277</v>
      </c>
      <c r="B185" s="433">
        <v>17050.490000000002</v>
      </c>
      <c r="C185" s="433">
        <v>1183.45</v>
      </c>
      <c r="D185" s="434">
        <f t="shared" ref="D185:E185" si="183">LN(B185/B186)</f>
        <v>-1.3387024628833372E-2</v>
      </c>
      <c r="E185" s="435">
        <f t="shared" si="183"/>
        <v>-9.2351826323922807E-3</v>
      </c>
      <c r="F185" s="221"/>
      <c r="G185" s="222"/>
      <c r="H185" s="222"/>
      <c r="I185" s="6"/>
      <c r="J185" s="6"/>
      <c r="K185" s="6"/>
      <c r="L185" s="6"/>
      <c r="M185" s="6"/>
      <c r="N185" s="6"/>
      <c r="O185" s="6"/>
      <c r="P185" s="6"/>
      <c r="Q185" s="6"/>
      <c r="R185" s="6"/>
      <c r="S185" s="6"/>
      <c r="T185" s="6"/>
      <c r="U185" s="6"/>
      <c r="V185" s="6"/>
      <c r="W185" s="6"/>
      <c r="X185" s="6"/>
      <c r="Y185" s="6"/>
      <c r="Z185" s="6"/>
    </row>
    <row r="186" spans="1:26">
      <c r="A186" s="432">
        <v>44276</v>
      </c>
      <c r="B186" s="433">
        <v>17280.28</v>
      </c>
      <c r="C186" s="433">
        <v>1194.43</v>
      </c>
      <c r="D186" s="434">
        <f t="shared" ref="D186:E186" si="184">LN(B186/B187)</f>
        <v>5.332974620783356E-3</v>
      </c>
      <c r="E186" s="435">
        <f t="shared" si="184"/>
        <v>3.1819400054112882E-4</v>
      </c>
      <c r="F186" s="221"/>
      <c r="G186" s="222"/>
      <c r="H186" s="222"/>
      <c r="I186" s="6"/>
      <c r="J186" s="6"/>
      <c r="K186" s="6"/>
      <c r="L186" s="6"/>
      <c r="M186" s="6"/>
      <c r="N186" s="6"/>
      <c r="O186" s="6"/>
      <c r="P186" s="6"/>
      <c r="Q186" s="6"/>
      <c r="R186" s="6"/>
      <c r="S186" s="6"/>
      <c r="T186" s="6"/>
      <c r="U186" s="6"/>
      <c r="V186" s="6"/>
      <c r="W186" s="6"/>
      <c r="X186" s="6"/>
      <c r="Y186" s="6"/>
      <c r="Z186" s="6"/>
    </row>
    <row r="187" spans="1:26">
      <c r="A187" s="432">
        <v>44273</v>
      </c>
      <c r="B187" s="433">
        <v>17188.37</v>
      </c>
      <c r="C187" s="433">
        <v>1194.05</v>
      </c>
      <c r="D187" s="434">
        <f t="shared" ref="D187:E187" si="185">LN(B187/B188)</f>
        <v>-5.3329746207833413E-3</v>
      </c>
      <c r="E187" s="435">
        <f t="shared" si="185"/>
        <v>-5.7536933413247036E-3</v>
      </c>
      <c r="F187" s="221"/>
      <c r="G187" s="222"/>
      <c r="H187" s="222"/>
      <c r="I187" s="6"/>
      <c r="J187" s="6"/>
      <c r="K187" s="6"/>
      <c r="L187" s="6"/>
      <c r="M187" s="6"/>
      <c r="N187" s="6"/>
      <c r="O187" s="6"/>
      <c r="P187" s="6"/>
      <c r="Q187" s="6"/>
      <c r="R187" s="6"/>
      <c r="S187" s="6"/>
      <c r="T187" s="6"/>
      <c r="U187" s="6"/>
      <c r="V187" s="6"/>
      <c r="W187" s="6"/>
      <c r="X187" s="6"/>
      <c r="Y187" s="6"/>
      <c r="Z187" s="6"/>
    </row>
    <row r="188" spans="1:26">
      <c r="A188" s="432">
        <v>44272</v>
      </c>
      <c r="B188" s="433">
        <v>17280.28</v>
      </c>
      <c r="C188" s="433">
        <v>1200.94</v>
      </c>
      <c r="D188" s="434">
        <f t="shared" ref="D188:E188" si="186">LN(B188/B189)</f>
        <v>-7.9473731796671811E-3</v>
      </c>
      <c r="E188" s="435">
        <f t="shared" si="186"/>
        <v>1.2442400456634794E-2</v>
      </c>
      <c r="F188" s="221"/>
      <c r="G188" s="222"/>
      <c r="H188" s="222"/>
      <c r="I188" s="6"/>
      <c r="J188" s="6"/>
      <c r="K188" s="6"/>
      <c r="L188" s="6"/>
      <c r="M188" s="6"/>
      <c r="N188" s="6"/>
      <c r="O188" s="6"/>
      <c r="P188" s="6"/>
      <c r="Q188" s="6"/>
      <c r="R188" s="6"/>
      <c r="S188" s="6"/>
      <c r="T188" s="6"/>
      <c r="U188" s="6"/>
      <c r="V188" s="6"/>
      <c r="W188" s="6"/>
      <c r="X188" s="6"/>
      <c r="Y188" s="6"/>
      <c r="Z188" s="6"/>
    </row>
    <row r="189" spans="1:26">
      <c r="A189" s="432">
        <v>44271</v>
      </c>
      <c r="B189" s="433">
        <v>17418.16</v>
      </c>
      <c r="C189" s="433">
        <v>1186.0899999999999</v>
      </c>
      <c r="D189" s="434">
        <f t="shared" ref="D189:E189" si="187">LN(B189/B190)</f>
        <v>2.4033560980531846E-2</v>
      </c>
      <c r="E189" s="435">
        <f t="shared" si="187"/>
        <v>5.2324939014876609E-3</v>
      </c>
      <c r="F189" s="221"/>
      <c r="G189" s="222"/>
      <c r="H189" s="222"/>
      <c r="I189" s="6"/>
      <c r="J189" s="6"/>
      <c r="K189" s="6"/>
      <c r="L189" s="6"/>
      <c r="M189" s="6"/>
      <c r="N189" s="6"/>
      <c r="O189" s="6"/>
      <c r="P189" s="6"/>
      <c r="Q189" s="6"/>
      <c r="R189" s="6"/>
      <c r="S189" s="6"/>
      <c r="T189" s="6"/>
      <c r="U189" s="6"/>
      <c r="V189" s="6"/>
      <c r="W189" s="6"/>
      <c r="X189" s="6"/>
      <c r="Y189" s="6"/>
      <c r="Z189" s="6"/>
    </row>
    <row r="190" spans="1:26">
      <c r="A190" s="432">
        <v>44270</v>
      </c>
      <c r="B190" s="433">
        <v>17004.53</v>
      </c>
      <c r="C190" s="433">
        <v>1179.9000000000001</v>
      </c>
      <c r="D190" s="434">
        <f t="shared" ref="D190:E190" si="188">LN(B190/B191)</f>
        <v>-1.6086187800864762E-2</v>
      </c>
      <c r="E190" s="435">
        <f t="shared" si="188"/>
        <v>-3.9417084945897411E-3</v>
      </c>
      <c r="F190" s="221"/>
      <c r="G190" s="222"/>
      <c r="H190" s="222"/>
      <c r="I190" s="6"/>
      <c r="J190" s="6"/>
      <c r="K190" s="6"/>
      <c r="L190" s="6"/>
      <c r="M190" s="6"/>
      <c r="N190" s="6"/>
      <c r="O190" s="6"/>
      <c r="P190" s="6"/>
      <c r="Q190" s="6"/>
      <c r="R190" s="6"/>
      <c r="S190" s="6"/>
      <c r="T190" s="6"/>
      <c r="U190" s="6"/>
      <c r="V190" s="6"/>
      <c r="W190" s="6"/>
      <c r="X190" s="6"/>
      <c r="Y190" s="6"/>
      <c r="Z190" s="6"/>
    </row>
    <row r="191" spans="1:26">
      <c r="A191" s="432">
        <v>44269</v>
      </c>
      <c r="B191" s="433">
        <v>17280.28</v>
      </c>
      <c r="C191" s="433">
        <v>1184.56</v>
      </c>
      <c r="D191" s="434">
        <f t="shared" ref="D191:E191" si="189">LN(B191/B192)</f>
        <v>0</v>
      </c>
      <c r="E191" s="435">
        <f t="shared" si="189"/>
        <v>2.5357983598196399E-3</v>
      </c>
      <c r="F191" s="221"/>
      <c r="G191" s="222"/>
      <c r="H191" s="222"/>
      <c r="I191" s="6"/>
      <c r="J191" s="6"/>
      <c r="K191" s="6"/>
      <c r="L191" s="6"/>
      <c r="M191" s="6"/>
      <c r="N191" s="6"/>
      <c r="O191" s="6"/>
      <c r="P191" s="6"/>
      <c r="Q191" s="6"/>
      <c r="R191" s="6"/>
      <c r="S191" s="6"/>
      <c r="T191" s="6"/>
      <c r="U191" s="6"/>
      <c r="V191" s="6"/>
      <c r="W191" s="6"/>
      <c r="X191" s="6"/>
      <c r="Y191" s="6"/>
      <c r="Z191" s="6"/>
    </row>
    <row r="192" spans="1:26">
      <c r="A192" s="432">
        <v>44266</v>
      </c>
      <c r="B192" s="433">
        <v>17280.28</v>
      </c>
      <c r="C192" s="433">
        <v>1181.56</v>
      </c>
      <c r="D192" s="434">
        <f t="shared" ref="D192:E192" si="190">LN(B192/B193)</f>
        <v>1.8792656177110408E-2</v>
      </c>
      <c r="E192" s="435">
        <f t="shared" si="190"/>
        <v>-1.4386723617772985E-4</v>
      </c>
      <c r="F192" s="221"/>
      <c r="G192" s="222"/>
      <c r="H192" s="222"/>
      <c r="I192" s="6"/>
      <c r="J192" s="6"/>
      <c r="K192" s="6"/>
      <c r="L192" s="6"/>
      <c r="M192" s="6"/>
      <c r="N192" s="6"/>
      <c r="O192" s="6"/>
      <c r="P192" s="6"/>
      <c r="Q192" s="6"/>
      <c r="R192" s="6"/>
      <c r="S192" s="6"/>
      <c r="T192" s="6"/>
      <c r="U192" s="6"/>
      <c r="V192" s="6"/>
      <c r="W192" s="6"/>
      <c r="X192" s="6"/>
      <c r="Y192" s="6"/>
      <c r="Z192" s="6"/>
    </row>
    <row r="193" spans="1:26">
      <c r="A193" s="432">
        <v>44265</v>
      </c>
      <c r="B193" s="433">
        <v>16958.57</v>
      </c>
      <c r="C193" s="433">
        <v>1181.73</v>
      </c>
      <c r="D193" s="434">
        <f t="shared" ref="D193:E193" si="191">LN(B193/B194)</f>
        <v>-1.3459681556327053E-2</v>
      </c>
      <c r="E193" s="435">
        <f t="shared" si="191"/>
        <v>9.9073439541806311E-3</v>
      </c>
      <c r="F193" s="221"/>
      <c r="G193" s="222"/>
      <c r="H193" s="222"/>
      <c r="I193" s="6"/>
      <c r="J193" s="6"/>
      <c r="K193" s="6"/>
      <c r="L193" s="6"/>
      <c r="M193" s="6"/>
      <c r="N193" s="6"/>
      <c r="O193" s="6"/>
      <c r="P193" s="6"/>
      <c r="Q193" s="6"/>
      <c r="R193" s="6"/>
      <c r="S193" s="6"/>
      <c r="T193" s="6"/>
      <c r="U193" s="6"/>
      <c r="V193" s="6"/>
      <c r="W193" s="6"/>
      <c r="X193" s="6"/>
      <c r="Y193" s="6"/>
      <c r="Z193" s="6"/>
    </row>
    <row r="194" spans="1:26">
      <c r="A194" s="432">
        <v>44264</v>
      </c>
      <c r="B194" s="433">
        <v>17188.37</v>
      </c>
      <c r="C194" s="433">
        <v>1170.08</v>
      </c>
      <c r="D194" s="434">
        <f t="shared" ref="D194:E194" si="192">LN(B194/B195)</f>
        <v>-7.989123058772904E-3</v>
      </c>
      <c r="E194" s="435">
        <f t="shared" si="192"/>
        <v>6.9552820000012535E-3</v>
      </c>
      <c r="F194" s="221"/>
      <c r="G194" s="222"/>
      <c r="H194" s="222"/>
      <c r="I194" s="6"/>
      <c r="J194" s="6"/>
      <c r="K194" s="6"/>
      <c r="L194" s="6"/>
      <c r="M194" s="6"/>
      <c r="N194" s="6"/>
      <c r="O194" s="6"/>
      <c r="P194" s="6"/>
      <c r="Q194" s="6"/>
      <c r="R194" s="6"/>
      <c r="S194" s="6"/>
      <c r="T194" s="6"/>
      <c r="U194" s="6"/>
      <c r="V194" s="6"/>
      <c r="W194" s="6"/>
      <c r="X194" s="6"/>
      <c r="Y194" s="6"/>
      <c r="Z194" s="6"/>
    </row>
    <row r="195" spans="1:26">
      <c r="A195" s="432">
        <v>44263</v>
      </c>
      <c r="B195" s="433">
        <v>17326.240000000002</v>
      </c>
      <c r="C195" s="433">
        <v>1161.97</v>
      </c>
      <c r="D195" s="434">
        <f t="shared" ref="D195:E195" si="193">LN(B195/B196)</f>
        <v>1.3351275769239777E-2</v>
      </c>
      <c r="E195" s="435">
        <f t="shared" si="193"/>
        <v>-5.4071815347250512E-3</v>
      </c>
      <c r="F195" s="221"/>
      <c r="G195" s="222"/>
      <c r="H195" s="222"/>
      <c r="I195" s="6"/>
      <c r="J195" s="6"/>
      <c r="K195" s="6"/>
      <c r="L195" s="6"/>
      <c r="M195" s="6"/>
      <c r="N195" s="6"/>
      <c r="O195" s="6"/>
      <c r="P195" s="6"/>
      <c r="Q195" s="6"/>
      <c r="R195" s="6"/>
      <c r="S195" s="6"/>
      <c r="T195" s="6"/>
      <c r="U195" s="6"/>
      <c r="V195" s="6"/>
      <c r="W195" s="6"/>
      <c r="X195" s="6"/>
      <c r="Y195" s="6"/>
      <c r="Z195" s="6"/>
    </row>
    <row r="196" spans="1:26">
      <c r="A196" s="432">
        <v>44262</v>
      </c>
      <c r="B196" s="433">
        <v>17096.45</v>
      </c>
      <c r="C196" s="433">
        <v>1168.27</v>
      </c>
      <c r="D196" s="434">
        <f t="shared" ref="D196:E196" si="194">LN(B196/B197)</f>
        <v>6.6691576194124219E-2</v>
      </c>
      <c r="E196" s="435">
        <f t="shared" si="194"/>
        <v>-3.5944132935265783E-4</v>
      </c>
      <c r="F196" s="221"/>
      <c r="G196" s="222"/>
      <c r="H196" s="222"/>
      <c r="I196" s="6"/>
      <c r="J196" s="6"/>
      <c r="K196" s="6"/>
      <c r="L196" s="6"/>
      <c r="M196" s="6"/>
      <c r="N196" s="6"/>
      <c r="O196" s="6"/>
      <c r="P196" s="6"/>
      <c r="Q196" s="6"/>
      <c r="R196" s="6"/>
      <c r="S196" s="6"/>
      <c r="T196" s="6"/>
      <c r="U196" s="6"/>
      <c r="V196" s="6"/>
      <c r="W196" s="6"/>
      <c r="X196" s="6"/>
      <c r="Y196" s="6"/>
      <c r="Z196" s="6"/>
    </row>
    <row r="197" spans="1:26">
      <c r="A197" s="432">
        <v>44259</v>
      </c>
      <c r="B197" s="433">
        <v>15993.45</v>
      </c>
      <c r="C197" s="433">
        <v>1168.69</v>
      </c>
      <c r="D197" s="434">
        <f t="shared" ref="D197:E197" si="195">LN(B197/B198)</f>
        <v>-5.7308998011068269E-3</v>
      </c>
      <c r="E197" s="435">
        <f t="shared" si="195"/>
        <v>1.4547259364786329E-4</v>
      </c>
      <c r="F197" s="221"/>
      <c r="G197" s="222"/>
      <c r="H197" s="222"/>
      <c r="I197" s="6"/>
      <c r="J197" s="6"/>
      <c r="K197" s="6"/>
      <c r="L197" s="6"/>
      <c r="M197" s="6"/>
      <c r="N197" s="6"/>
      <c r="O197" s="6"/>
      <c r="P197" s="6"/>
      <c r="Q197" s="6"/>
      <c r="R197" s="6"/>
      <c r="S197" s="6"/>
      <c r="T197" s="6"/>
      <c r="U197" s="6"/>
      <c r="V197" s="6"/>
      <c r="W197" s="6"/>
      <c r="X197" s="6"/>
      <c r="Y197" s="6"/>
      <c r="Z197" s="6"/>
    </row>
    <row r="198" spans="1:26">
      <c r="A198" s="432">
        <v>44258</v>
      </c>
      <c r="B198" s="433">
        <v>16085.37</v>
      </c>
      <c r="C198" s="433">
        <v>1168.52</v>
      </c>
      <c r="D198" s="434">
        <f t="shared" ref="D198:E198" si="196">LN(B198/B199)</f>
        <v>-8.534618906023193E-3</v>
      </c>
      <c r="E198" s="435">
        <f t="shared" si="196"/>
        <v>-1.5649000930242556E-2</v>
      </c>
      <c r="F198" s="221"/>
      <c r="G198" s="222"/>
      <c r="H198" s="222"/>
      <c r="I198" s="6"/>
      <c r="J198" s="6"/>
      <c r="K198" s="6"/>
      <c r="L198" s="6"/>
      <c r="M198" s="6"/>
      <c r="N198" s="6"/>
      <c r="O198" s="6"/>
      <c r="P198" s="6"/>
      <c r="Q198" s="6"/>
      <c r="R198" s="6"/>
      <c r="S198" s="6"/>
      <c r="T198" s="6"/>
      <c r="U198" s="6"/>
      <c r="V198" s="6"/>
      <c r="W198" s="6"/>
      <c r="X198" s="6"/>
      <c r="Y198" s="6"/>
      <c r="Z198" s="6"/>
    </row>
    <row r="199" spans="1:26">
      <c r="A199" s="432">
        <v>44257</v>
      </c>
      <c r="B199" s="433">
        <v>16223.24</v>
      </c>
      <c r="C199" s="433">
        <v>1186.95</v>
      </c>
      <c r="D199" s="434">
        <f t="shared" ref="D199:E199" si="197">LN(B199/B200)</f>
        <v>-2.8289676399622802E-3</v>
      </c>
      <c r="E199" s="435">
        <f t="shared" si="197"/>
        <v>2.8648949453616702E-4</v>
      </c>
      <c r="F199" s="221"/>
      <c r="G199" s="222"/>
      <c r="H199" s="222"/>
      <c r="I199" s="6"/>
      <c r="J199" s="6"/>
      <c r="K199" s="6"/>
      <c r="L199" s="6"/>
      <c r="M199" s="6"/>
      <c r="N199" s="6"/>
      <c r="O199" s="6"/>
      <c r="P199" s="6"/>
      <c r="Q199" s="6"/>
      <c r="R199" s="6"/>
      <c r="S199" s="6"/>
      <c r="T199" s="6"/>
      <c r="U199" s="6"/>
      <c r="V199" s="6"/>
      <c r="W199" s="6"/>
      <c r="X199" s="6"/>
      <c r="Y199" s="6"/>
      <c r="Z199" s="6"/>
    </row>
    <row r="200" spans="1:26">
      <c r="A200" s="432">
        <v>44256</v>
      </c>
      <c r="B200" s="433">
        <v>16269.2</v>
      </c>
      <c r="C200" s="433">
        <v>1186.6099999999999</v>
      </c>
      <c r="D200" s="434">
        <f t="shared" ref="D200:E200" si="198">LN(B200/B201)</f>
        <v>0</v>
      </c>
      <c r="E200" s="435">
        <f t="shared" si="198"/>
        <v>3.7087298868267778E-4</v>
      </c>
      <c r="F200" s="221"/>
      <c r="G200" s="222"/>
      <c r="H200" s="222"/>
      <c r="I200" s="6"/>
      <c r="J200" s="6"/>
      <c r="K200" s="6"/>
      <c r="L200" s="6"/>
      <c r="M200" s="6"/>
      <c r="N200" s="6"/>
      <c r="O200" s="6"/>
      <c r="P200" s="6"/>
      <c r="Q200" s="6"/>
      <c r="R200" s="6"/>
      <c r="S200" s="6"/>
      <c r="T200" s="6"/>
      <c r="U200" s="6"/>
      <c r="V200" s="6"/>
      <c r="W200" s="6"/>
      <c r="X200" s="6"/>
      <c r="Y200" s="6"/>
      <c r="Z200" s="6"/>
    </row>
    <row r="201" spans="1:26">
      <c r="A201" s="432">
        <v>44255</v>
      </c>
      <c r="B201" s="433">
        <v>16269.2</v>
      </c>
      <c r="C201" s="433">
        <v>1186.17</v>
      </c>
      <c r="D201" s="434">
        <f t="shared" ref="D201:E201" si="199">LN(B201/B202)</f>
        <v>4.3296620811883936E-2</v>
      </c>
      <c r="E201" s="435">
        <f t="shared" si="199"/>
        <v>1.5034428531711811E-2</v>
      </c>
      <c r="F201" s="221"/>
      <c r="G201" s="222"/>
      <c r="H201" s="222"/>
      <c r="I201" s="6"/>
      <c r="J201" s="6"/>
      <c r="K201" s="6"/>
      <c r="L201" s="6"/>
      <c r="M201" s="6"/>
      <c r="N201" s="6"/>
      <c r="O201" s="6"/>
      <c r="P201" s="6"/>
      <c r="Q201" s="6"/>
      <c r="R201" s="6"/>
      <c r="S201" s="6"/>
      <c r="T201" s="6"/>
      <c r="U201" s="6"/>
      <c r="V201" s="6"/>
      <c r="W201" s="6"/>
      <c r="X201" s="6"/>
      <c r="Y201" s="6"/>
      <c r="Z201" s="6"/>
    </row>
    <row r="202" spans="1:26">
      <c r="A202" s="432">
        <v>44252</v>
      </c>
      <c r="B202" s="433">
        <v>15579.83</v>
      </c>
      <c r="C202" s="433">
        <v>1168.47</v>
      </c>
      <c r="D202" s="434">
        <f t="shared" ref="D202:E202" si="200">LN(B202/B203)</f>
        <v>0</v>
      </c>
      <c r="E202" s="435">
        <f t="shared" si="200"/>
        <v>2.6050830963072692E-3</v>
      </c>
      <c r="F202" s="221"/>
      <c r="G202" s="222"/>
      <c r="H202" s="222"/>
      <c r="I202" s="6"/>
      <c r="J202" s="6"/>
      <c r="K202" s="6"/>
      <c r="L202" s="6"/>
      <c r="M202" s="6"/>
      <c r="N202" s="6"/>
      <c r="O202" s="6"/>
      <c r="P202" s="6"/>
      <c r="Q202" s="6"/>
      <c r="R202" s="6"/>
      <c r="S202" s="6"/>
      <c r="T202" s="6"/>
      <c r="U202" s="6"/>
      <c r="V202" s="6"/>
      <c r="W202" s="6"/>
      <c r="X202" s="6"/>
      <c r="Y202" s="6"/>
      <c r="Z202" s="6"/>
    </row>
    <row r="203" spans="1:26">
      <c r="A203" s="432">
        <v>44251</v>
      </c>
      <c r="B203" s="433">
        <v>15579.83</v>
      </c>
      <c r="C203" s="433">
        <v>1165.43</v>
      </c>
      <c r="D203" s="434">
        <f t="shared" ref="D203:E203" si="201">LN(B203/B204)</f>
        <v>-1.4641486553737074E-2</v>
      </c>
      <c r="E203" s="435">
        <f t="shared" si="201"/>
        <v>2.9388533852683766E-3</v>
      </c>
      <c r="F203" s="221"/>
      <c r="G203" s="222"/>
      <c r="H203" s="222"/>
      <c r="I203" s="6"/>
      <c r="J203" s="6"/>
      <c r="K203" s="6"/>
      <c r="L203" s="6"/>
      <c r="M203" s="6"/>
      <c r="N203" s="6"/>
      <c r="O203" s="6"/>
      <c r="P203" s="6"/>
      <c r="Q203" s="6"/>
      <c r="R203" s="6"/>
      <c r="S203" s="6"/>
      <c r="T203" s="6"/>
      <c r="U203" s="6"/>
      <c r="V203" s="6"/>
      <c r="W203" s="6"/>
      <c r="X203" s="6"/>
      <c r="Y203" s="6"/>
      <c r="Z203" s="6"/>
    </row>
    <row r="204" spans="1:26">
      <c r="A204" s="432">
        <v>44250</v>
      </c>
      <c r="B204" s="433">
        <v>15809.62</v>
      </c>
      <c r="C204" s="433">
        <v>1162.01</v>
      </c>
      <c r="D204" s="434">
        <f t="shared" ref="D204:E204" si="202">LN(B204/B205)</f>
        <v>-1.7291547712161466E-2</v>
      </c>
      <c r="E204" s="435">
        <f t="shared" si="202"/>
        <v>-1.3361171562231692E-2</v>
      </c>
      <c r="F204" s="221"/>
      <c r="G204" s="222"/>
      <c r="H204" s="222"/>
      <c r="I204" s="6"/>
      <c r="J204" s="6"/>
      <c r="K204" s="6"/>
      <c r="L204" s="6"/>
      <c r="M204" s="6"/>
      <c r="N204" s="6"/>
      <c r="O204" s="6"/>
      <c r="P204" s="6"/>
      <c r="Q204" s="6"/>
      <c r="R204" s="6"/>
      <c r="S204" s="6"/>
      <c r="T204" s="6"/>
      <c r="U204" s="6"/>
      <c r="V204" s="6"/>
      <c r="W204" s="6"/>
      <c r="X204" s="6"/>
      <c r="Y204" s="6"/>
      <c r="Z204" s="6"/>
    </row>
    <row r="205" spans="1:26">
      <c r="A205" s="432">
        <v>44249</v>
      </c>
      <c r="B205" s="433">
        <v>16085.37</v>
      </c>
      <c r="C205" s="433">
        <v>1177.6400000000001</v>
      </c>
      <c r="D205" s="434">
        <f t="shared" ref="D205:E205" si="203">LN(B205/B206)</f>
        <v>-8.534618906023193E-3</v>
      </c>
      <c r="E205" s="435">
        <f t="shared" si="203"/>
        <v>2.2102462370211158E-3</v>
      </c>
      <c r="F205" s="221"/>
      <c r="G205" s="222"/>
      <c r="H205" s="222"/>
      <c r="I205" s="6"/>
      <c r="J205" s="6"/>
      <c r="K205" s="6"/>
      <c r="L205" s="6"/>
      <c r="M205" s="6"/>
      <c r="N205" s="6"/>
      <c r="O205" s="6"/>
      <c r="P205" s="6"/>
      <c r="Q205" s="6"/>
      <c r="R205" s="6"/>
      <c r="S205" s="6"/>
      <c r="T205" s="6"/>
      <c r="U205" s="6"/>
      <c r="V205" s="6"/>
      <c r="W205" s="6"/>
      <c r="X205" s="6"/>
      <c r="Y205" s="6"/>
      <c r="Z205" s="6"/>
    </row>
    <row r="206" spans="1:26">
      <c r="A206" s="432">
        <v>44248</v>
      </c>
      <c r="B206" s="433">
        <v>16223.24</v>
      </c>
      <c r="C206" s="433">
        <v>1175.04</v>
      </c>
      <c r="D206" s="434">
        <f t="shared" ref="D206:E206" si="204">LN(B206/B207)</f>
        <v>-8.4630063589572254E-3</v>
      </c>
      <c r="E206" s="435">
        <f t="shared" si="204"/>
        <v>1.3114532609380942E-3</v>
      </c>
      <c r="F206" s="221"/>
      <c r="G206" s="222"/>
      <c r="H206" s="222"/>
      <c r="I206" s="6"/>
      <c r="J206" s="6"/>
      <c r="K206" s="6"/>
      <c r="L206" s="6"/>
      <c r="M206" s="6"/>
      <c r="N206" s="6"/>
      <c r="O206" s="6"/>
      <c r="P206" s="6"/>
      <c r="Q206" s="6"/>
      <c r="R206" s="6"/>
      <c r="S206" s="6"/>
      <c r="T206" s="6"/>
      <c r="U206" s="6"/>
      <c r="V206" s="6"/>
      <c r="W206" s="6"/>
      <c r="X206" s="6"/>
      <c r="Y206" s="6"/>
      <c r="Z206" s="6"/>
    </row>
    <row r="207" spans="1:26">
      <c r="A207" s="432">
        <v>44245</v>
      </c>
      <c r="B207" s="433">
        <v>16361.12</v>
      </c>
      <c r="C207" s="433">
        <v>1173.5</v>
      </c>
      <c r="D207" s="434">
        <f t="shared" ref="D207:E207" si="205">LN(B207/B208)</f>
        <v>-5.6024740800787324E-3</v>
      </c>
      <c r="E207" s="435">
        <f t="shared" si="205"/>
        <v>-7.4961245140940083E-4</v>
      </c>
      <c r="F207" s="221"/>
      <c r="G207" s="222"/>
      <c r="H207" s="222"/>
      <c r="I207" s="6"/>
      <c r="J207" s="6"/>
      <c r="K207" s="6"/>
      <c r="L207" s="6"/>
      <c r="M207" s="6"/>
      <c r="N207" s="6"/>
      <c r="O207" s="6"/>
      <c r="P207" s="6"/>
      <c r="Q207" s="6"/>
      <c r="R207" s="6"/>
      <c r="S207" s="6"/>
      <c r="T207" s="6"/>
      <c r="U207" s="6"/>
      <c r="V207" s="6"/>
      <c r="W207" s="6"/>
      <c r="X207" s="6"/>
      <c r="Y207" s="6"/>
      <c r="Z207" s="6"/>
    </row>
    <row r="208" spans="1:26">
      <c r="A208" s="432">
        <v>44244</v>
      </c>
      <c r="B208" s="433">
        <v>16453.04</v>
      </c>
      <c r="C208" s="433">
        <v>1174.3800000000001</v>
      </c>
      <c r="D208" s="434">
        <f t="shared" ref="D208:E208" si="206">LN(B208/B209)</f>
        <v>-1.1111054169193358E-2</v>
      </c>
      <c r="E208" s="435">
        <f t="shared" si="206"/>
        <v>1.5964908040365954E-2</v>
      </c>
      <c r="F208" s="221"/>
      <c r="G208" s="222"/>
      <c r="H208" s="222"/>
      <c r="I208" s="6"/>
      <c r="J208" s="6"/>
      <c r="K208" s="6"/>
      <c r="L208" s="6"/>
      <c r="M208" s="6"/>
      <c r="N208" s="6"/>
      <c r="O208" s="6"/>
      <c r="P208" s="6"/>
      <c r="Q208" s="6"/>
      <c r="R208" s="6"/>
      <c r="S208" s="6"/>
      <c r="T208" s="6"/>
      <c r="U208" s="6"/>
      <c r="V208" s="6"/>
      <c r="W208" s="6"/>
      <c r="X208" s="6"/>
      <c r="Y208" s="6"/>
      <c r="Z208" s="6"/>
    </row>
    <row r="209" spans="1:26">
      <c r="A209" s="432">
        <v>44243</v>
      </c>
      <c r="B209" s="433">
        <v>16636.87</v>
      </c>
      <c r="C209" s="433">
        <v>1155.78</v>
      </c>
      <c r="D209" s="434">
        <f t="shared" ref="D209:E209" si="207">LN(B209/B210)</f>
        <v>3.944205331535925E-2</v>
      </c>
      <c r="E209" s="435">
        <f t="shared" si="207"/>
        <v>3.5983818047724409E-2</v>
      </c>
      <c r="F209" s="221"/>
      <c r="G209" s="222"/>
      <c r="H209" s="222"/>
      <c r="I209" s="6"/>
      <c r="J209" s="6"/>
      <c r="K209" s="6"/>
      <c r="L209" s="6"/>
      <c r="M209" s="6"/>
      <c r="N209" s="6"/>
      <c r="O209" s="6"/>
      <c r="P209" s="6"/>
      <c r="Q209" s="6"/>
      <c r="R209" s="6"/>
      <c r="S209" s="6"/>
      <c r="T209" s="6"/>
      <c r="U209" s="6"/>
      <c r="V209" s="6"/>
      <c r="W209" s="6"/>
      <c r="X209" s="6"/>
      <c r="Y209" s="6"/>
      <c r="Z209" s="6"/>
    </row>
    <row r="210" spans="1:26">
      <c r="A210" s="432">
        <v>44235</v>
      </c>
      <c r="B210" s="433">
        <v>15993.45</v>
      </c>
      <c r="C210" s="433">
        <v>1114.93</v>
      </c>
      <c r="D210" s="434">
        <f t="shared" ref="D210:E210" si="208">LN(B210/B211)</f>
        <v>2.3256509078608545E-2</v>
      </c>
      <c r="E210" s="435">
        <f t="shared" si="208"/>
        <v>2.8890463477775487E-2</v>
      </c>
      <c r="F210" s="221"/>
      <c r="G210" s="222"/>
      <c r="H210" s="222"/>
      <c r="I210" s="6"/>
      <c r="J210" s="6"/>
      <c r="K210" s="6"/>
      <c r="L210" s="6"/>
      <c r="M210" s="6"/>
      <c r="N210" s="6"/>
      <c r="O210" s="6"/>
      <c r="P210" s="6"/>
      <c r="Q210" s="6"/>
      <c r="R210" s="6"/>
      <c r="S210" s="6"/>
      <c r="T210" s="6"/>
      <c r="U210" s="6"/>
      <c r="V210" s="6"/>
      <c r="W210" s="6"/>
      <c r="X210" s="6"/>
      <c r="Y210" s="6"/>
      <c r="Z210" s="6"/>
    </row>
    <row r="211" spans="1:26">
      <c r="A211" s="432">
        <v>44234</v>
      </c>
      <c r="B211" s="433">
        <v>15625.79</v>
      </c>
      <c r="C211" s="433">
        <v>1083.18</v>
      </c>
      <c r="D211" s="434">
        <f t="shared" ref="D211:E211" si="209">LN(B211/B212)</f>
        <v>-4.0350995425700892E-2</v>
      </c>
      <c r="E211" s="435">
        <f t="shared" si="209"/>
        <v>-3.9578214644163758E-2</v>
      </c>
      <c r="F211" s="221"/>
      <c r="G211" s="222"/>
      <c r="H211" s="222"/>
      <c r="I211" s="6"/>
      <c r="J211" s="6"/>
      <c r="K211" s="6"/>
      <c r="L211" s="6"/>
      <c r="M211" s="6"/>
      <c r="N211" s="6"/>
      <c r="O211" s="6"/>
      <c r="P211" s="6"/>
      <c r="Q211" s="6"/>
      <c r="R211" s="6"/>
      <c r="S211" s="6"/>
      <c r="T211" s="6"/>
      <c r="U211" s="6"/>
      <c r="V211" s="6"/>
      <c r="W211" s="6"/>
      <c r="X211" s="6"/>
      <c r="Y211" s="6"/>
      <c r="Z211" s="6"/>
    </row>
    <row r="212" spans="1:26">
      <c r="A212" s="432">
        <v>44231</v>
      </c>
      <c r="B212" s="433">
        <v>16269.2</v>
      </c>
      <c r="C212" s="433">
        <v>1126.9100000000001</v>
      </c>
      <c r="D212" s="434">
        <f t="shared" ref="D212:E212" si="210">LN(B212/B213)</f>
        <v>1.4224931050590712E-2</v>
      </c>
      <c r="E212" s="435">
        <f t="shared" si="210"/>
        <v>1.3148329296377947E-2</v>
      </c>
      <c r="F212" s="221"/>
      <c r="G212" s="222"/>
      <c r="H212" s="222"/>
      <c r="I212" s="6"/>
      <c r="J212" s="6"/>
      <c r="K212" s="6"/>
      <c r="L212" s="6"/>
      <c r="M212" s="6"/>
      <c r="N212" s="6"/>
      <c r="O212" s="6"/>
      <c r="P212" s="6"/>
      <c r="Q212" s="6"/>
      <c r="R212" s="6"/>
      <c r="S212" s="6"/>
      <c r="T212" s="6"/>
      <c r="U212" s="6"/>
      <c r="V212" s="6"/>
      <c r="W212" s="6"/>
      <c r="X212" s="6"/>
      <c r="Y212" s="6"/>
      <c r="Z212" s="6"/>
    </row>
    <row r="213" spans="1:26">
      <c r="A213" s="432">
        <v>44230</v>
      </c>
      <c r="B213" s="433">
        <v>16039.41</v>
      </c>
      <c r="C213" s="433">
        <v>1112.19</v>
      </c>
      <c r="D213" s="434">
        <f t="shared" ref="D213:E213" si="211">LN(B213/B214)</f>
        <v>3.2026017496563322E-2</v>
      </c>
      <c r="E213" s="435">
        <f t="shared" si="211"/>
        <v>8.0954184355319148E-4</v>
      </c>
      <c r="F213" s="221"/>
      <c r="G213" s="222"/>
      <c r="H213" s="222"/>
      <c r="I213" s="6"/>
      <c r="J213" s="6"/>
      <c r="K213" s="6"/>
      <c r="L213" s="6"/>
      <c r="M213" s="6"/>
      <c r="N213" s="6"/>
      <c r="O213" s="6"/>
      <c r="P213" s="6"/>
      <c r="Q213" s="6"/>
      <c r="R213" s="6"/>
      <c r="S213" s="6"/>
      <c r="T213" s="6"/>
      <c r="U213" s="6"/>
      <c r="V213" s="6"/>
      <c r="W213" s="6"/>
      <c r="X213" s="6"/>
      <c r="Y213" s="6"/>
      <c r="Z213" s="6"/>
    </row>
    <row r="214" spans="1:26">
      <c r="A214" s="432">
        <v>44229</v>
      </c>
      <c r="B214" s="433">
        <v>15533.87</v>
      </c>
      <c r="C214" s="433">
        <v>1111.29</v>
      </c>
      <c r="D214" s="434">
        <f t="shared" ref="D214:E214" si="212">LN(B214/B215)</f>
        <v>6.730366152412634E-2</v>
      </c>
      <c r="E214" s="435">
        <f t="shared" si="212"/>
        <v>3.2707939359310614E-2</v>
      </c>
      <c r="F214" s="221"/>
      <c r="G214" s="222"/>
      <c r="H214" s="222"/>
      <c r="I214" s="6"/>
      <c r="J214" s="6"/>
      <c r="K214" s="6"/>
      <c r="L214" s="6"/>
      <c r="M214" s="6"/>
      <c r="N214" s="6"/>
      <c r="O214" s="6"/>
      <c r="P214" s="6"/>
      <c r="Q214" s="6"/>
      <c r="R214" s="6"/>
      <c r="S214" s="6"/>
      <c r="T214" s="6"/>
      <c r="U214" s="6"/>
      <c r="V214" s="6"/>
      <c r="W214" s="6"/>
      <c r="X214" s="6"/>
      <c r="Y214" s="6"/>
      <c r="Z214" s="6"/>
    </row>
    <row r="215" spans="1:26">
      <c r="A215" s="432">
        <v>44228</v>
      </c>
      <c r="B215" s="433">
        <v>14522.79</v>
      </c>
      <c r="C215" s="433">
        <v>1075.53</v>
      </c>
      <c r="D215" s="434">
        <f t="shared" ref="D215:E215" si="213">LN(B215/B216)</f>
        <v>1.2738831564572282E-2</v>
      </c>
      <c r="E215" s="435">
        <f t="shared" si="213"/>
        <v>3.7919504362086E-2</v>
      </c>
      <c r="F215" s="221"/>
      <c r="G215" s="222"/>
      <c r="H215" s="222"/>
      <c r="I215" s="6"/>
      <c r="J215" s="6"/>
      <c r="K215" s="6"/>
      <c r="L215" s="6"/>
      <c r="M215" s="6"/>
      <c r="N215" s="6"/>
      <c r="O215" s="6"/>
      <c r="P215" s="6"/>
      <c r="Q215" s="6"/>
      <c r="R215" s="6"/>
      <c r="S215" s="6"/>
      <c r="T215" s="6"/>
      <c r="U215" s="6"/>
      <c r="V215" s="6"/>
      <c r="W215" s="6"/>
      <c r="X215" s="6"/>
      <c r="Y215" s="6"/>
      <c r="Z215" s="6"/>
    </row>
    <row r="216" spans="1:26">
      <c r="A216" s="432">
        <v>44227</v>
      </c>
      <c r="B216" s="433">
        <v>14338.96</v>
      </c>
      <c r="C216" s="433">
        <v>1035.51</v>
      </c>
      <c r="D216" s="434">
        <f t="shared" ref="D216:E216" si="214">LN(B216/B217)</f>
        <v>-5.6089618811173393E-2</v>
      </c>
      <c r="E216" s="435">
        <f t="shared" si="214"/>
        <v>-2.0171611045486714E-2</v>
      </c>
      <c r="F216" s="221"/>
      <c r="G216" s="222"/>
      <c r="H216" s="222"/>
      <c r="I216" s="6"/>
      <c r="J216" s="6"/>
      <c r="K216" s="6"/>
      <c r="L216" s="6"/>
      <c r="M216" s="6"/>
      <c r="N216" s="6"/>
      <c r="O216" s="6"/>
      <c r="P216" s="6"/>
      <c r="Q216" s="6"/>
      <c r="R216" s="6"/>
      <c r="S216" s="6"/>
      <c r="T216" s="6"/>
      <c r="U216" s="6"/>
      <c r="V216" s="6"/>
      <c r="W216" s="6"/>
      <c r="X216" s="6"/>
      <c r="Y216" s="6"/>
      <c r="Z216" s="6"/>
    </row>
    <row r="217" spans="1:26">
      <c r="A217" s="432">
        <v>44224</v>
      </c>
      <c r="B217" s="433">
        <v>15166.21</v>
      </c>
      <c r="C217" s="433">
        <v>1056.6099999999999</v>
      </c>
      <c r="D217" s="434">
        <f t="shared" ref="D217:E217" si="215">LN(B217/B218)</f>
        <v>1.8349187509717233E-2</v>
      </c>
      <c r="E217" s="435">
        <f t="shared" si="215"/>
        <v>3.1407738872172082E-2</v>
      </c>
      <c r="F217" s="221"/>
      <c r="G217" s="222"/>
      <c r="H217" s="222"/>
      <c r="I217" s="6"/>
      <c r="J217" s="6"/>
      <c r="K217" s="6"/>
      <c r="L217" s="6"/>
      <c r="M217" s="6"/>
      <c r="N217" s="6"/>
      <c r="O217" s="6"/>
      <c r="P217" s="6"/>
      <c r="Q217" s="6"/>
      <c r="R217" s="6"/>
      <c r="S217" s="6"/>
      <c r="T217" s="6"/>
      <c r="U217" s="6"/>
      <c r="V217" s="6"/>
      <c r="W217" s="6"/>
      <c r="X217" s="6"/>
      <c r="Y217" s="6"/>
      <c r="Z217" s="6"/>
    </row>
    <row r="218" spans="1:26">
      <c r="A218" s="432">
        <v>44223</v>
      </c>
      <c r="B218" s="433">
        <v>14890.46</v>
      </c>
      <c r="C218" s="433">
        <v>1023.94</v>
      </c>
      <c r="D218" s="434">
        <f t="shared" ref="D218:E218" si="216">LN(B218/B219)</f>
        <v>-7.1458523987304096E-2</v>
      </c>
      <c r="E218" s="435">
        <f t="shared" si="216"/>
        <v>-6.9076206230947138E-2</v>
      </c>
      <c r="F218" s="221"/>
      <c r="G218" s="222"/>
      <c r="H218" s="222"/>
      <c r="I218" s="6"/>
      <c r="J218" s="6"/>
      <c r="K218" s="6"/>
      <c r="L218" s="6"/>
      <c r="M218" s="6"/>
      <c r="N218" s="6"/>
      <c r="O218" s="6"/>
      <c r="P218" s="6"/>
      <c r="Q218" s="6"/>
      <c r="R218" s="6"/>
      <c r="S218" s="6"/>
      <c r="T218" s="6"/>
      <c r="U218" s="6"/>
      <c r="V218" s="6"/>
      <c r="W218" s="6"/>
      <c r="X218" s="6"/>
      <c r="Y218" s="6"/>
      <c r="Z218" s="6"/>
    </row>
    <row r="219" spans="1:26">
      <c r="A219" s="432">
        <v>44222</v>
      </c>
      <c r="B219" s="433">
        <v>15993.45</v>
      </c>
      <c r="C219" s="433">
        <v>1097.17</v>
      </c>
      <c r="D219" s="434">
        <f t="shared" ref="D219:E219" si="217">LN(B219/B220)</f>
        <v>-7.2053728904591025E-2</v>
      </c>
      <c r="E219" s="435">
        <f t="shared" si="217"/>
        <v>-3.4884811141336673E-2</v>
      </c>
      <c r="F219" s="221"/>
      <c r="G219" s="222"/>
      <c r="H219" s="222"/>
      <c r="I219" s="6"/>
      <c r="J219" s="6"/>
      <c r="K219" s="6"/>
      <c r="L219" s="6"/>
      <c r="M219" s="6"/>
      <c r="N219" s="6"/>
      <c r="O219" s="6"/>
      <c r="P219" s="6"/>
      <c r="Q219" s="6"/>
      <c r="R219" s="6"/>
      <c r="S219" s="6"/>
      <c r="T219" s="6"/>
      <c r="U219" s="6"/>
      <c r="V219" s="6"/>
      <c r="W219" s="6"/>
      <c r="X219" s="6"/>
      <c r="Y219" s="6"/>
      <c r="Z219" s="6"/>
    </row>
    <row r="220" spans="1:26">
      <c r="A220" s="432">
        <v>44221</v>
      </c>
      <c r="B220" s="433">
        <v>17188.37</v>
      </c>
      <c r="C220" s="433">
        <v>1136.1199999999999</v>
      </c>
      <c r="D220" s="434">
        <f t="shared" ref="D220:E220" si="218">LN(B220/B221)</f>
        <v>-3.6749266308892074E-2</v>
      </c>
      <c r="E220" s="435">
        <f t="shared" si="218"/>
        <v>-2.6003020132645133E-2</v>
      </c>
      <c r="F220" s="221"/>
      <c r="G220" s="222"/>
      <c r="H220" s="222"/>
      <c r="I220" s="6"/>
      <c r="J220" s="6"/>
      <c r="K220" s="6"/>
      <c r="L220" s="6"/>
      <c r="M220" s="6"/>
      <c r="N220" s="6"/>
      <c r="O220" s="6"/>
      <c r="P220" s="6"/>
      <c r="Q220" s="6"/>
      <c r="R220" s="6"/>
      <c r="S220" s="6"/>
      <c r="T220" s="6"/>
      <c r="U220" s="6"/>
      <c r="V220" s="6"/>
      <c r="W220" s="6"/>
      <c r="X220" s="6"/>
      <c r="Y220" s="6"/>
      <c r="Z220" s="6"/>
    </row>
    <row r="221" spans="1:26">
      <c r="A221" s="432">
        <v>44220</v>
      </c>
      <c r="B221" s="433">
        <v>17831.78</v>
      </c>
      <c r="C221" s="433">
        <v>1166.05</v>
      </c>
      <c r="D221" s="434">
        <f t="shared" ref="D221:E221" si="219">LN(B221/B222)</f>
        <v>-1.7880570091114194E-2</v>
      </c>
      <c r="E221" s="435">
        <f t="shared" si="219"/>
        <v>-6.2584931077504745E-4</v>
      </c>
      <c r="F221" s="221"/>
      <c r="G221" s="222"/>
      <c r="H221" s="222"/>
      <c r="I221" s="6"/>
      <c r="J221" s="6"/>
      <c r="K221" s="6"/>
      <c r="L221" s="6"/>
      <c r="M221" s="6"/>
      <c r="N221" s="6"/>
      <c r="O221" s="6"/>
      <c r="P221" s="6"/>
      <c r="Q221" s="6"/>
      <c r="R221" s="6"/>
      <c r="S221" s="6"/>
      <c r="T221" s="6"/>
      <c r="U221" s="6"/>
      <c r="V221" s="6"/>
      <c r="W221" s="6"/>
      <c r="X221" s="6"/>
      <c r="Y221" s="6"/>
      <c r="Z221" s="6"/>
    </row>
    <row r="222" spans="1:26">
      <c r="A222" s="432">
        <v>44217</v>
      </c>
      <c r="B222" s="433">
        <v>18153.490000000002</v>
      </c>
      <c r="C222" s="433">
        <v>1166.78</v>
      </c>
      <c r="D222" s="434">
        <f t="shared" ref="D222:E222" si="220">LN(B222/B223)</f>
        <v>-1.00754987424456E-2</v>
      </c>
      <c r="E222" s="435">
        <f t="shared" si="220"/>
        <v>2.2050725583139755E-3</v>
      </c>
      <c r="F222" s="221"/>
      <c r="G222" s="222"/>
      <c r="H222" s="222"/>
      <c r="I222" s="6"/>
      <c r="J222" s="6"/>
      <c r="K222" s="6"/>
      <c r="L222" s="6"/>
      <c r="M222" s="6"/>
      <c r="N222" s="6"/>
      <c r="O222" s="6"/>
      <c r="P222" s="6"/>
      <c r="Q222" s="6"/>
      <c r="R222" s="6"/>
      <c r="S222" s="6"/>
      <c r="T222" s="6"/>
      <c r="U222" s="6"/>
      <c r="V222" s="6"/>
      <c r="W222" s="6"/>
      <c r="X222" s="6"/>
      <c r="Y222" s="6"/>
      <c r="Z222" s="6"/>
    </row>
    <row r="223" spans="1:26">
      <c r="A223" s="432">
        <v>44216</v>
      </c>
      <c r="B223" s="433">
        <v>18337.32</v>
      </c>
      <c r="C223" s="433">
        <v>1164.21</v>
      </c>
      <c r="D223" s="434">
        <f t="shared" ref="D223:E223" si="221">LN(B223/B224)</f>
        <v>5.025334007171642E-3</v>
      </c>
      <c r="E223" s="435">
        <f t="shared" si="221"/>
        <v>2.5692072552732332E-2</v>
      </c>
      <c r="F223" s="221"/>
      <c r="G223" s="222"/>
      <c r="H223" s="222"/>
      <c r="I223" s="6"/>
      <c r="J223" s="6"/>
      <c r="K223" s="6"/>
      <c r="L223" s="6"/>
      <c r="M223" s="6"/>
      <c r="N223" s="6"/>
      <c r="O223" s="6"/>
      <c r="P223" s="6"/>
      <c r="Q223" s="6"/>
      <c r="R223" s="6"/>
      <c r="S223" s="6"/>
      <c r="T223" s="6"/>
      <c r="U223" s="6"/>
      <c r="V223" s="6"/>
      <c r="W223" s="6"/>
      <c r="X223" s="6"/>
      <c r="Y223" s="6"/>
      <c r="Z223" s="6"/>
    </row>
    <row r="224" spans="1:26">
      <c r="A224" s="432">
        <v>44215</v>
      </c>
      <c r="B224" s="433">
        <v>18245.400000000001</v>
      </c>
      <c r="C224" s="433">
        <v>1134.68</v>
      </c>
      <c r="D224" s="434">
        <f t="shared" ref="D224:E224" si="222">LN(B224/B225)</f>
        <v>-5.0253340071715578E-3</v>
      </c>
      <c r="E224" s="435">
        <f t="shared" si="222"/>
        <v>3.2484757213096563E-3</v>
      </c>
      <c r="F224" s="221"/>
      <c r="G224" s="222"/>
      <c r="H224" s="222"/>
      <c r="I224" s="6"/>
      <c r="J224" s="6"/>
      <c r="K224" s="6"/>
      <c r="L224" s="6"/>
      <c r="M224" s="6"/>
      <c r="N224" s="6"/>
      <c r="O224" s="6"/>
      <c r="P224" s="6"/>
      <c r="Q224" s="6"/>
      <c r="R224" s="6"/>
      <c r="S224" s="6"/>
      <c r="T224" s="6"/>
      <c r="U224" s="6"/>
      <c r="V224" s="6"/>
      <c r="W224" s="6"/>
      <c r="X224" s="6"/>
      <c r="Y224" s="6"/>
      <c r="Z224" s="6"/>
    </row>
    <row r="225" spans="1:26">
      <c r="A225" s="432">
        <v>44214</v>
      </c>
      <c r="B225" s="433">
        <v>18337.32</v>
      </c>
      <c r="C225" s="433">
        <v>1131</v>
      </c>
      <c r="D225" s="434">
        <f t="shared" ref="D225:E225" si="223">LN(B225/B226)</f>
        <v>-7.4904234791749163E-3</v>
      </c>
      <c r="E225" s="435">
        <f t="shared" si="223"/>
        <v>-5.2480034671827477E-2</v>
      </c>
      <c r="F225" s="221"/>
      <c r="G225" s="222"/>
      <c r="H225" s="222"/>
      <c r="I225" s="6"/>
      <c r="J225" s="6"/>
      <c r="K225" s="6"/>
      <c r="L225" s="6"/>
      <c r="M225" s="6"/>
      <c r="N225" s="6"/>
      <c r="O225" s="6"/>
      <c r="P225" s="6"/>
      <c r="Q225" s="6"/>
      <c r="R225" s="6"/>
      <c r="S225" s="6"/>
      <c r="T225" s="6"/>
      <c r="U225" s="6"/>
      <c r="V225" s="6"/>
      <c r="W225" s="6"/>
      <c r="X225" s="6"/>
      <c r="Y225" s="6"/>
      <c r="Z225" s="6"/>
    </row>
    <row r="226" spans="1:26">
      <c r="A226" s="432">
        <v>44213</v>
      </c>
      <c r="B226" s="433">
        <v>18475.189999999999</v>
      </c>
      <c r="C226" s="433">
        <v>1191.94</v>
      </c>
      <c r="D226" s="434">
        <f t="shared" ref="D226:E226" si="224">LN(B226/B227)</f>
        <v>2.4902172311211225E-3</v>
      </c>
      <c r="E226" s="435">
        <f t="shared" si="224"/>
        <v>-1.8942733249441414E-3</v>
      </c>
      <c r="F226" s="221"/>
      <c r="G226" s="222"/>
      <c r="H226" s="222"/>
      <c r="I226" s="6"/>
      <c r="J226" s="6"/>
      <c r="K226" s="6"/>
      <c r="L226" s="6"/>
      <c r="M226" s="6"/>
      <c r="N226" s="6"/>
      <c r="O226" s="6"/>
      <c r="P226" s="6"/>
      <c r="Q226" s="6"/>
      <c r="R226" s="6"/>
      <c r="S226" s="6"/>
      <c r="T226" s="6"/>
      <c r="U226" s="6"/>
      <c r="V226" s="6"/>
      <c r="W226" s="6"/>
      <c r="X226" s="6"/>
      <c r="Y226" s="6"/>
      <c r="Z226" s="6"/>
    </row>
    <row r="227" spans="1:26">
      <c r="A227" s="432">
        <v>44210</v>
      </c>
      <c r="B227" s="433">
        <v>18429.240000000002</v>
      </c>
      <c r="C227" s="433">
        <v>1194.2</v>
      </c>
      <c r="D227" s="434">
        <f t="shared" ref="D227:E227" si="225">LN(B227/B228)</f>
        <v>2.4969778694672222E-3</v>
      </c>
      <c r="E227" s="435">
        <f t="shared" si="225"/>
        <v>5.7104622763170321E-3</v>
      </c>
      <c r="F227" s="221"/>
      <c r="G227" s="222"/>
      <c r="H227" s="222"/>
      <c r="I227" s="6"/>
      <c r="J227" s="6"/>
      <c r="K227" s="6"/>
      <c r="L227" s="6"/>
      <c r="M227" s="6"/>
      <c r="N227" s="6"/>
      <c r="O227" s="6"/>
      <c r="P227" s="6"/>
      <c r="Q227" s="6"/>
      <c r="R227" s="6"/>
      <c r="S227" s="6"/>
      <c r="T227" s="6"/>
      <c r="U227" s="6"/>
      <c r="V227" s="6"/>
      <c r="W227" s="6"/>
      <c r="X227" s="6"/>
      <c r="Y227" s="6"/>
      <c r="Z227" s="6"/>
    </row>
    <row r="228" spans="1:26">
      <c r="A228" s="432">
        <v>44209</v>
      </c>
      <c r="B228" s="433">
        <v>18383.28</v>
      </c>
      <c r="C228" s="433">
        <v>1187.4000000000001</v>
      </c>
      <c r="D228" s="434">
        <f t="shared" ref="D228:E228" si="226">LN(B228/B229)</f>
        <v>-1.9802328644530045E-2</v>
      </c>
      <c r="E228" s="435">
        <f t="shared" si="226"/>
        <v>1.1375846515293115E-3</v>
      </c>
      <c r="F228" s="221"/>
      <c r="G228" s="222"/>
      <c r="H228" s="222"/>
      <c r="I228" s="6"/>
      <c r="J228" s="6"/>
      <c r="K228" s="6"/>
      <c r="L228" s="6"/>
      <c r="M228" s="6"/>
      <c r="N228" s="6"/>
      <c r="O228" s="6"/>
      <c r="P228" s="6"/>
      <c r="Q228" s="6"/>
      <c r="R228" s="6"/>
      <c r="S228" s="6"/>
      <c r="T228" s="6"/>
      <c r="U228" s="6"/>
      <c r="V228" s="6"/>
      <c r="W228" s="6"/>
      <c r="X228" s="6"/>
      <c r="Y228" s="6"/>
      <c r="Z228" s="6"/>
    </row>
    <row r="229" spans="1:26">
      <c r="A229" s="432">
        <v>44208</v>
      </c>
      <c r="B229" s="433">
        <v>18750.939999999999</v>
      </c>
      <c r="C229" s="433">
        <v>1186.05</v>
      </c>
      <c r="D229" s="434">
        <f t="shared" ref="D229:E229" si="227">LN(B229/B230)</f>
        <v>-1.9418321742684059E-2</v>
      </c>
      <c r="E229" s="435">
        <f t="shared" si="227"/>
        <v>-5.2389821845807497E-3</v>
      </c>
      <c r="F229" s="221"/>
      <c r="G229" s="222"/>
      <c r="H229" s="222"/>
      <c r="I229" s="6"/>
      <c r="J229" s="6"/>
      <c r="K229" s="6"/>
      <c r="L229" s="6"/>
      <c r="M229" s="6"/>
      <c r="N229" s="6"/>
      <c r="O229" s="6"/>
      <c r="P229" s="6"/>
      <c r="Q229" s="6"/>
      <c r="R229" s="6"/>
      <c r="S229" s="6"/>
      <c r="T229" s="6"/>
      <c r="U229" s="6"/>
      <c r="V229" s="6"/>
      <c r="W229" s="6"/>
      <c r="X229" s="6"/>
      <c r="Y229" s="6"/>
      <c r="Z229" s="6"/>
    </row>
    <row r="230" spans="1:26">
      <c r="A230" s="432">
        <v>44207</v>
      </c>
      <c r="B230" s="433">
        <v>19118.61</v>
      </c>
      <c r="C230" s="433">
        <v>1192.28</v>
      </c>
      <c r="D230" s="434">
        <f t="shared" ref="D230:E230" si="228">LN(B230/B231)</f>
        <v>1.4528143937836614E-2</v>
      </c>
      <c r="E230" s="435">
        <f t="shared" si="228"/>
        <v>6.2174971133070892E-3</v>
      </c>
      <c r="F230" s="221"/>
      <c r="G230" s="222"/>
      <c r="H230" s="222"/>
      <c r="I230" s="6"/>
      <c r="J230" s="6"/>
      <c r="K230" s="6"/>
      <c r="L230" s="6"/>
      <c r="M230" s="6"/>
      <c r="N230" s="6"/>
      <c r="O230" s="6"/>
      <c r="P230" s="6"/>
      <c r="Q230" s="6"/>
      <c r="R230" s="6"/>
      <c r="S230" s="6"/>
      <c r="T230" s="6"/>
      <c r="U230" s="6"/>
      <c r="V230" s="6"/>
      <c r="W230" s="6"/>
      <c r="X230" s="6"/>
      <c r="Y230" s="6"/>
      <c r="Z230" s="6"/>
    </row>
    <row r="231" spans="1:26">
      <c r="A231" s="432">
        <v>44206</v>
      </c>
      <c r="B231" s="433">
        <v>18842.86</v>
      </c>
      <c r="C231" s="433">
        <v>1184.8900000000001</v>
      </c>
      <c r="D231" s="434">
        <f t="shared" ref="D231:E231" si="229">LN(B231/B232)</f>
        <v>-1.4528143937836658E-2</v>
      </c>
      <c r="E231" s="435">
        <f t="shared" si="229"/>
        <v>1.4622505054772878E-2</v>
      </c>
      <c r="F231" s="221"/>
      <c r="G231" s="222"/>
      <c r="H231" s="222"/>
      <c r="I231" s="6"/>
      <c r="J231" s="6"/>
      <c r="K231" s="6"/>
      <c r="L231" s="6"/>
      <c r="M231" s="6"/>
      <c r="N231" s="6"/>
      <c r="O231" s="6"/>
      <c r="P231" s="6"/>
      <c r="Q231" s="6"/>
      <c r="R231" s="6"/>
      <c r="S231" s="6"/>
      <c r="T231" s="6"/>
      <c r="U231" s="6"/>
      <c r="V231" s="6"/>
      <c r="W231" s="6"/>
      <c r="X231" s="6"/>
      <c r="Y231" s="6"/>
      <c r="Z231" s="6"/>
    </row>
    <row r="232" spans="1:26">
      <c r="A232" s="432">
        <v>44203</v>
      </c>
      <c r="B232" s="433">
        <v>19118.61</v>
      </c>
      <c r="C232" s="433">
        <v>1167.69</v>
      </c>
      <c r="D232" s="434">
        <f t="shared" ref="D232:E232" si="230">LN(B232/B233)</f>
        <v>-9.5693065545521504E-3</v>
      </c>
      <c r="E232" s="435">
        <f t="shared" si="230"/>
        <v>9.6378823465108898E-3</v>
      </c>
      <c r="F232" s="221"/>
      <c r="G232" s="222"/>
      <c r="H232" s="222"/>
      <c r="I232" s="6"/>
      <c r="J232" s="6"/>
      <c r="K232" s="6"/>
      <c r="L232" s="6"/>
      <c r="M232" s="6"/>
      <c r="N232" s="6"/>
      <c r="O232" s="6"/>
      <c r="P232" s="6"/>
      <c r="Q232" s="6"/>
      <c r="R232" s="6"/>
      <c r="S232" s="6"/>
      <c r="T232" s="6"/>
      <c r="U232" s="6"/>
      <c r="V232" s="6"/>
      <c r="W232" s="6"/>
      <c r="X232" s="6"/>
      <c r="Y232" s="6"/>
      <c r="Z232" s="6"/>
    </row>
    <row r="233" spans="1:26">
      <c r="A233" s="432">
        <v>44202</v>
      </c>
      <c r="B233" s="433">
        <v>19302.439999999999</v>
      </c>
      <c r="C233" s="433">
        <v>1156.49</v>
      </c>
      <c r="D233" s="434">
        <f t="shared" ref="D233:E233" si="231">LN(B233/B234)</f>
        <v>1.9231070199632612E-2</v>
      </c>
      <c r="E233" s="435">
        <f t="shared" si="231"/>
        <v>1.1549460901848507E-2</v>
      </c>
      <c r="F233" s="221"/>
      <c r="G233" s="222"/>
      <c r="H233" s="222"/>
      <c r="I233" s="6"/>
      <c r="J233" s="6"/>
      <c r="K233" s="6"/>
      <c r="L233" s="6"/>
      <c r="M233" s="6"/>
      <c r="N233" s="6"/>
      <c r="O233" s="6"/>
      <c r="P233" s="6"/>
      <c r="Q233" s="6"/>
      <c r="R233" s="6"/>
      <c r="S233" s="6"/>
      <c r="T233" s="6"/>
      <c r="U233" s="6"/>
      <c r="V233" s="6"/>
      <c r="W233" s="6"/>
      <c r="X233" s="6"/>
      <c r="Y233" s="6"/>
      <c r="Z233" s="6"/>
    </row>
    <row r="234" spans="1:26">
      <c r="A234" s="432">
        <v>44201</v>
      </c>
      <c r="B234" s="433">
        <v>18934.78</v>
      </c>
      <c r="C234" s="433">
        <v>1143.21</v>
      </c>
      <c r="D234" s="434">
        <f t="shared" ref="D234:E234" si="232">LN(B234/B235)</f>
        <v>2.2087120268109096E-2</v>
      </c>
      <c r="E234" s="435">
        <f t="shared" si="232"/>
        <v>9.3683674602099108E-3</v>
      </c>
      <c r="F234" s="221"/>
      <c r="G234" s="222"/>
      <c r="H234" s="222"/>
      <c r="I234" s="6"/>
      <c r="J234" s="6"/>
      <c r="K234" s="6"/>
      <c r="L234" s="6"/>
      <c r="M234" s="6"/>
      <c r="N234" s="6"/>
      <c r="O234" s="6"/>
      <c r="P234" s="6"/>
      <c r="Q234" s="6"/>
      <c r="R234" s="6"/>
      <c r="S234" s="6"/>
      <c r="T234" s="6"/>
      <c r="U234" s="6"/>
      <c r="V234" s="6"/>
      <c r="W234" s="6"/>
      <c r="X234" s="6"/>
      <c r="Y234" s="6"/>
      <c r="Z234" s="6"/>
    </row>
    <row r="235" spans="1:26">
      <c r="A235" s="432">
        <v>44200</v>
      </c>
      <c r="B235" s="433">
        <v>18521.150000000001</v>
      </c>
      <c r="C235" s="433">
        <v>1132.55</v>
      </c>
      <c r="D235" s="434">
        <f t="shared" ref="D235:E235" si="233">LN(B235/B236)</f>
        <v>4.974788604557398E-3</v>
      </c>
      <c r="E235" s="435">
        <f t="shared" si="233"/>
        <v>1.0723487372132211E-2</v>
      </c>
      <c r="F235" s="221"/>
      <c r="G235" s="222"/>
      <c r="H235" s="222"/>
      <c r="I235" s="6"/>
      <c r="J235" s="6"/>
      <c r="K235" s="6"/>
      <c r="L235" s="6"/>
      <c r="M235" s="6"/>
      <c r="N235" s="6"/>
      <c r="O235" s="6"/>
      <c r="P235" s="6"/>
      <c r="Q235" s="6"/>
      <c r="R235" s="6"/>
      <c r="S235" s="6"/>
      <c r="T235" s="6"/>
      <c r="U235" s="6"/>
      <c r="V235" s="6"/>
      <c r="W235" s="6"/>
      <c r="X235" s="6"/>
      <c r="Y235" s="6"/>
      <c r="Z235" s="6"/>
    </row>
    <row r="236" spans="1:26">
      <c r="A236" s="432">
        <v>44199</v>
      </c>
      <c r="B236" s="433">
        <v>18429.240000000002</v>
      </c>
      <c r="C236" s="433">
        <v>1120.47</v>
      </c>
      <c r="D236" s="434">
        <f t="shared" ref="D236:E236" si="234">LN(B236/B237)</f>
        <v>1.2547159872153614E-2</v>
      </c>
      <c r="E236" s="435">
        <f t="shared" si="234"/>
        <v>1.4926052840494685E-2</v>
      </c>
      <c r="F236" s="221"/>
      <c r="G236" s="222"/>
      <c r="H236" s="222"/>
      <c r="I236" s="6"/>
      <c r="J236" s="6"/>
      <c r="K236" s="6"/>
      <c r="L236" s="6"/>
      <c r="M236" s="6"/>
      <c r="N236" s="6"/>
      <c r="O236" s="6"/>
      <c r="P236" s="6"/>
      <c r="Q236" s="6"/>
      <c r="R236" s="6"/>
      <c r="S236" s="6"/>
      <c r="T236" s="6"/>
      <c r="U236" s="6"/>
      <c r="V236" s="6"/>
      <c r="W236" s="6"/>
      <c r="X236" s="6"/>
      <c r="Y236" s="6"/>
      <c r="Z236" s="6"/>
    </row>
    <row r="237" spans="1:26">
      <c r="A237" s="440">
        <v>44195</v>
      </c>
      <c r="B237" s="433">
        <v>18199.45</v>
      </c>
      <c r="C237" s="433">
        <v>1103.8699999999999</v>
      </c>
      <c r="D237" s="434">
        <f t="shared" ref="D237:E237" si="235">LN(B237/B238)</f>
        <v>1.7835010299752898E-2</v>
      </c>
      <c r="E237" s="435">
        <f t="shared" si="235"/>
        <v>5.7508755259316827E-3</v>
      </c>
      <c r="F237" s="221"/>
      <c r="G237" s="222"/>
      <c r="H237" s="222"/>
      <c r="I237" s="6"/>
      <c r="J237" s="6"/>
      <c r="K237" s="6"/>
      <c r="L237" s="6"/>
      <c r="M237" s="6"/>
      <c r="N237" s="6"/>
      <c r="O237" s="6"/>
      <c r="P237" s="6"/>
      <c r="Q237" s="6"/>
      <c r="R237" s="6"/>
      <c r="S237" s="6"/>
      <c r="T237" s="6"/>
      <c r="U237" s="6"/>
      <c r="V237" s="6"/>
      <c r="W237" s="6"/>
      <c r="X237" s="6"/>
      <c r="Y237" s="6"/>
      <c r="Z237" s="6"/>
    </row>
    <row r="238" spans="1:26">
      <c r="A238" s="440">
        <v>44194</v>
      </c>
      <c r="B238" s="433">
        <v>17877.740000000002</v>
      </c>
      <c r="C238" s="433">
        <v>1097.54</v>
      </c>
      <c r="D238" s="434">
        <f t="shared" ref="D238:E238" si="236">LN(B238/B239)</f>
        <v>-1.2771510311876934E-2</v>
      </c>
      <c r="E238" s="435">
        <f t="shared" si="236"/>
        <v>-1.7751241558359783E-3</v>
      </c>
      <c r="F238" s="221"/>
      <c r="G238" s="222"/>
      <c r="H238" s="222"/>
      <c r="I238" s="6"/>
      <c r="J238" s="6"/>
      <c r="K238" s="6"/>
      <c r="L238" s="6"/>
      <c r="M238" s="6"/>
      <c r="N238" s="6"/>
      <c r="O238" s="6"/>
      <c r="P238" s="6"/>
      <c r="Q238" s="6"/>
      <c r="R238" s="6"/>
      <c r="S238" s="6"/>
      <c r="T238" s="6"/>
      <c r="U238" s="6"/>
      <c r="V238" s="6"/>
      <c r="W238" s="6"/>
      <c r="X238" s="6"/>
      <c r="Y238" s="6"/>
      <c r="Z238" s="6"/>
    </row>
    <row r="239" spans="1:26">
      <c r="A239" s="440">
        <v>44193</v>
      </c>
      <c r="B239" s="433">
        <v>18107.53</v>
      </c>
      <c r="C239" s="433">
        <v>1099.49</v>
      </c>
      <c r="D239" s="434">
        <f t="shared" ref="D239:E239" si="237">LN(B239/B240)</f>
        <v>-2.5349548695301287E-3</v>
      </c>
      <c r="E239" s="435">
        <f t="shared" si="237"/>
        <v>7.4493000196943788E-3</v>
      </c>
      <c r="F239" s="221"/>
      <c r="G239" s="222"/>
      <c r="H239" s="222"/>
      <c r="I239" s="6"/>
      <c r="J239" s="6"/>
      <c r="K239" s="6"/>
      <c r="L239" s="6"/>
      <c r="M239" s="6"/>
      <c r="N239" s="6"/>
      <c r="O239" s="6"/>
      <c r="P239" s="6"/>
      <c r="Q239" s="6"/>
      <c r="R239" s="6"/>
      <c r="S239" s="6"/>
      <c r="T239" s="6"/>
      <c r="U239" s="6"/>
      <c r="V239" s="6"/>
      <c r="W239" s="6"/>
      <c r="X239" s="6"/>
      <c r="Y239" s="6"/>
      <c r="Z239" s="6"/>
    </row>
    <row r="240" spans="1:26">
      <c r="A240" s="440">
        <v>44192</v>
      </c>
      <c r="B240" s="433">
        <v>18153.490000000002</v>
      </c>
      <c r="C240" s="433">
        <v>1091.33</v>
      </c>
      <c r="D240" s="434">
        <f t="shared" ref="D240:E240" si="238">LN(B240/B241)</f>
        <v>-1.5075704990499279E-2</v>
      </c>
      <c r="E240" s="435">
        <f t="shared" si="238"/>
        <v>6.3518540572993802E-3</v>
      </c>
      <c r="F240" s="221"/>
      <c r="G240" s="222"/>
      <c r="H240" s="222"/>
      <c r="I240" s="6"/>
      <c r="J240" s="6"/>
      <c r="K240" s="6"/>
      <c r="L240" s="6"/>
      <c r="M240" s="6"/>
      <c r="N240" s="6"/>
      <c r="O240" s="6"/>
      <c r="P240" s="6"/>
      <c r="Q240" s="6"/>
      <c r="R240" s="6"/>
      <c r="S240" s="6"/>
      <c r="T240" s="6"/>
      <c r="U240" s="6"/>
      <c r="V240" s="6"/>
      <c r="W240" s="6"/>
      <c r="X240" s="6"/>
      <c r="Y240" s="6"/>
      <c r="Z240" s="6"/>
    </row>
    <row r="241" spans="1:26">
      <c r="A241" s="440">
        <v>44189</v>
      </c>
      <c r="B241" s="433">
        <v>18429.240000000002</v>
      </c>
      <c r="C241" s="433">
        <v>1084.42</v>
      </c>
      <c r="D241" s="434">
        <f t="shared" ref="D241:E241" si="239">LN(B241/B242)</f>
        <v>1.2547159872153614E-2</v>
      </c>
      <c r="E241" s="435">
        <f t="shared" si="239"/>
        <v>1.5707080542987972E-2</v>
      </c>
      <c r="F241" s="221"/>
      <c r="G241" s="222"/>
      <c r="H241" s="222"/>
      <c r="I241" s="6"/>
      <c r="J241" s="6"/>
      <c r="K241" s="6"/>
      <c r="L241" s="6"/>
      <c r="M241" s="6"/>
      <c r="N241" s="6"/>
      <c r="O241" s="6"/>
      <c r="P241" s="6"/>
      <c r="Q241" s="6"/>
      <c r="R241" s="6"/>
      <c r="S241" s="6"/>
      <c r="T241" s="6"/>
      <c r="U241" s="6"/>
      <c r="V241" s="6"/>
      <c r="W241" s="6"/>
      <c r="X241" s="6"/>
      <c r="Y241" s="6"/>
      <c r="Z241" s="6"/>
    </row>
    <row r="242" spans="1:26">
      <c r="A242" s="440">
        <v>44188</v>
      </c>
      <c r="B242" s="433">
        <v>18199.45</v>
      </c>
      <c r="C242" s="433">
        <v>1067.52</v>
      </c>
      <c r="D242" s="434">
        <f t="shared" ref="D242:E242" si="240">LN(B242/B243)</f>
        <v>1.5267514397493565E-2</v>
      </c>
      <c r="E242" s="435">
        <f t="shared" si="240"/>
        <v>-1.0603802267021933E-2</v>
      </c>
      <c r="F242" s="221"/>
      <c r="G242" s="222"/>
      <c r="H242" s="222"/>
      <c r="I242" s="6"/>
      <c r="J242" s="6"/>
      <c r="K242" s="6"/>
      <c r="L242" s="6"/>
      <c r="M242" s="6"/>
      <c r="N242" s="6"/>
      <c r="O242" s="6"/>
      <c r="P242" s="6"/>
      <c r="Q242" s="6"/>
      <c r="R242" s="6"/>
      <c r="S242" s="6"/>
      <c r="T242" s="6"/>
      <c r="U242" s="6"/>
      <c r="V242" s="6"/>
      <c r="W242" s="6"/>
      <c r="X242" s="6"/>
      <c r="Y242" s="6"/>
      <c r="Z242" s="6"/>
    </row>
    <row r="243" spans="1:26">
      <c r="A243" s="440">
        <v>44187</v>
      </c>
      <c r="B243" s="433">
        <v>17923.7</v>
      </c>
      <c r="C243" s="433">
        <v>1078.9000000000001</v>
      </c>
      <c r="D243" s="434">
        <f t="shared" ref="D243:E243" si="241">LN(B243/B244)</f>
        <v>5.1416008119663566E-3</v>
      </c>
      <c r="E243" s="435">
        <f t="shared" si="241"/>
        <v>-4.208390607671089E-3</v>
      </c>
      <c r="F243" s="221"/>
      <c r="G243" s="222"/>
      <c r="H243" s="222"/>
      <c r="I243" s="6"/>
      <c r="J243" s="6"/>
      <c r="K243" s="6"/>
      <c r="L243" s="6"/>
      <c r="M243" s="6"/>
      <c r="N243" s="6"/>
      <c r="O243" s="6"/>
      <c r="P243" s="6"/>
      <c r="Q243" s="6"/>
      <c r="R243" s="6"/>
      <c r="S243" s="6"/>
      <c r="T243" s="6"/>
      <c r="U243" s="6"/>
      <c r="V243" s="6"/>
      <c r="W243" s="6"/>
      <c r="X243" s="6"/>
      <c r="Y243" s="6"/>
      <c r="Z243" s="6"/>
    </row>
    <row r="244" spans="1:26">
      <c r="A244" s="440">
        <v>44186</v>
      </c>
      <c r="B244" s="433">
        <v>17831.78</v>
      </c>
      <c r="C244" s="433">
        <v>1083.45</v>
      </c>
      <c r="D244" s="434">
        <f t="shared" ref="D244:E244" si="242">LN(B244/B245)</f>
        <v>-7.7019650633926495E-3</v>
      </c>
      <c r="E244" s="435">
        <f t="shared" si="242"/>
        <v>2.1898527136167928E-3</v>
      </c>
      <c r="F244" s="221"/>
      <c r="G244" s="222"/>
      <c r="H244" s="222"/>
      <c r="I244" s="6"/>
      <c r="J244" s="6"/>
      <c r="K244" s="6"/>
      <c r="L244" s="6"/>
      <c r="M244" s="6"/>
      <c r="N244" s="6"/>
      <c r="O244" s="6"/>
      <c r="P244" s="6"/>
      <c r="Q244" s="6"/>
      <c r="R244" s="6"/>
      <c r="S244" s="6"/>
      <c r="T244" s="6"/>
      <c r="U244" s="6"/>
      <c r="V244" s="6"/>
      <c r="W244" s="6"/>
      <c r="X244" s="6"/>
      <c r="Y244" s="6"/>
      <c r="Z244" s="6"/>
    </row>
    <row r="245" spans="1:26">
      <c r="A245" s="440">
        <v>44185</v>
      </c>
      <c r="B245" s="433">
        <v>17969.650000000001</v>
      </c>
      <c r="C245" s="433">
        <v>1081.08</v>
      </c>
      <c r="D245" s="434">
        <f t="shared" ref="D245:E245" si="243">LN(B245/B246)</f>
        <v>6.0624134884420804E-2</v>
      </c>
      <c r="E245" s="435">
        <f t="shared" si="243"/>
        <v>1.2678546776609657E-2</v>
      </c>
      <c r="F245" s="221"/>
      <c r="G245" s="222"/>
      <c r="H245" s="222"/>
      <c r="I245" s="6"/>
      <c r="J245" s="6"/>
      <c r="K245" s="6"/>
      <c r="L245" s="6"/>
      <c r="M245" s="6"/>
      <c r="N245" s="6"/>
      <c r="O245" s="6"/>
      <c r="P245" s="6"/>
      <c r="Q245" s="6"/>
      <c r="R245" s="6"/>
      <c r="S245" s="6"/>
      <c r="T245" s="6"/>
      <c r="U245" s="6"/>
      <c r="V245" s="6"/>
      <c r="W245" s="6"/>
      <c r="X245" s="6"/>
      <c r="Y245" s="6"/>
      <c r="Z245" s="6"/>
    </row>
    <row r="246" spans="1:26">
      <c r="A246" s="440">
        <v>44182</v>
      </c>
      <c r="B246" s="433">
        <v>16912.62</v>
      </c>
      <c r="C246" s="433">
        <v>1067.46</v>
      </c>
      <c r="D246" s="434">
        <f t="shared" ref="D246:E246" si="244">LN(B246/B247)</f>
        <v>6.7441473303509789E-2</v>
      </c>
      <c r="E246" s="435">
        <f t="shared" si="244"/>
        <v>1.4807535459071354E-2</v>
      </c>
      <c r="F246" s="221"/>
      <c r="G246" s="222"/>
      <c r="H246" s="222"/>
      <c r="I246" s="6"/>
      <c r="J246" s="6"/>
      <c r="K246" s="6"/>
      <c r="L246" s="6"/>
      <c r="M246" s="6"/>
      <c r="N246" s="6"/>
      <c r="O246" s="6"/>
      <c r="P246" s="6"/>
      <c r="Q246" s="6"/>
      <c r="R246" s="6"/>
      <c r="S246" s="6"/>
      <c r="T246" s="6"/>
      <c r="U246" s="6"/>
      <c r="V246" s="6"/>
      <c r="W246" s="6"/>
      <c r="X246" s="6"/>
      <c r="Y246" s="6"/>
      <c r="Z246" s="6"/>
    </row>
    <row r="247" spans="1:26">
      <c r="A247" s="440">
        <v>44181</v>
      </c>
      <c r="B247" s="433">
        <v>15809.62</v>
      </c>
      <c r="C247" s="433">
        <v>1051.77</v>
      </c>
      <c r="D247" s="434">
        <f t="shared" ref="D247:E247" si="245">LN(B247/B248)</f>
        <v>-2.2989791361006168E-2</v>
      </c>
      <c r="E247" s="435">
        <f t="shared" si="245"/>
        <v>-1.4367140970939841E-2</v>
      </c>
      <c r="F247" s="221"/>
      <c r="G247" s="222"/>
      <c r="H247" s="222"/>
      <c r="I247" s="6"/>
      <c r="J247" s="6"/>
      <c r="K247" s="6"/>
      <c r="L247" s="6"/>
      <c r="M247" s="6"/>
      <c r="N247" s="6"/>
      <c r="O247" s="6"/>
      <c r="P247" s="6"/>
      <c r="Q247" s="6"/>
      <c r="R247" s="6"/>
      <c r="S247" s="6"/>
      <c r="T247" s="6"/>
      <c r="U247" s="6"/>
      <c r="V247" s="6"/>
      <c r="W247" s="6"/>
      <c r="X247" s="6"/>
      <c r="Y247" s="6"/>
      <c r="Z247" s="6"/>
    </row>
    <row r="248" spans="1:26">
      <c r="A248" s="440">
        <v>44180</v>
      </c>
      <c r="B248" s="433">
        <v>16177.29</v>
      </c>
      <c r="C248" s="433">
        <v>1066.99</v>
      </c>
      <c r="D248" s="434">
        <f t="shared" ref="D248:E248" si="246">LN(B248/B249)</f>
        <v>2.8450630823282832E-3</v>
      </c>
      <c r="E248" s="435">
        <f t="shared" si="246"/>
        <v>1.1044941848828739E-2</v>
      </c>
      <c r="F248" s="221"/>
      <c r="G248" s="222"/>
      <c r="H248" s="222"/>
      <c r="I248" s="6"/>
      <c r="J248" s="6"/>
      <c r="K248" s="6"/>
      <c r="L248" s="6"/>
      <c r="M248" s="6"/>
      <c r="N248" s="6"/>
      <c r="O248" s="6"/>
      <c r="P248" s="6"/>
      <c r="Q248" s="6"/>
      <c r="R248" s="6"/>
      <c r="S248" s="6"/>
      <c r="T248" s="6"/>
      <c r="U248" s="6"/>
      <c r="V248" s="6"/>
      <c r="W248" s="6"/>
      <c r="X248" s="6"/>
      <c r="Y248" s="6"/>
      <c r="Z248" s="6"/>
    </row>
    <row r="249" spans="1:26">
      <c r="A249" s="440">
        <v>44179</v>
      </c>
      <c r="B249" s="433">
        <v>16131.33</v>
      </c>
      <c r="C249" s="433">
        <v>1055.27</v>
      </c>
      <c r="D249" s="434">
        <f t="shared" ref="D249:E249" si="247">LN(B249/B250)</f>
        <v>-8.5104059794691572E-3</v>
      </c>
      <c r="E249" s="435">
        <f t="shared" si="247"/>
        <v>-8.3233154527428879E-3</v>
      </c>
      <c r="F249" s="221"/>
      <c r="G249" s="222"/>
      <c r="H249" s="222"/>
      <c r="I249" s="6"/>
      <c r="J249" s="6"/>
      <c r="K249" s="6"/>
      <c r="L249" s="6"/>
      <c r="M249" s="6"/>
      <c r="N249" s="6"/>
      <c r="O249" s="6"/>
      <c r="P249" s="6"/>
      <c r="Q249" s="6"/>
      <c r="R249" s="6"/>
      <c r="S249" s="6"/>
      <c r="T249" s="6"/>
      <c r="U249" s="6"/>
      <c r="V249" s="6"/>
      <c r="W249" s="6"/>
      <c r="X249" s="6"/>
      <c r="Y249" s="6"/>
      <c r="Z249" s="6"/>
    </row>
    <row r="250" spans="1:26">
      <c r="A250" s="440">
        <v>44178</v>
      </c>
      <c r="B250" s="433">
        <v>16269.2</v>
      </c>
      <c r="C250" s="433">
        <v>1064.0899999999999</v>
      </c>
      <c r="D250" s="434">
        <f t="shared" ref="D250:E250" si="248">LN(B250/B251)</f>
        <v>3.4486283905977473E-2</v>
      </c>
      <c r="E250" s="435">
        <f t="shared" si="248"/>
        <v>1.718484981463796E-2</v>
      </c>
      <c r="F250" s="221"/>
      <c r="G250" s="222"/>
      <c r="H250" s="222"/>
      <c r="I250" s="6"/>
      <c r="J250" s="6"/>
      <c r="K250" s="6"/>
      <c r="L250" s="6"/>
      <c r="M250" s="6"/>
      <c r="N250" s="6"/>
      <c r="O250" s="6"/>
      <c r="P250" s="6"/>
      <c r="Q250" s="6"/>
      <c r="R250" s="6"/>
      <c r="S250" s="6"/>
      <c r="T250" s="6"/>
      <c r="U250" s="6"/>
      <c r="V250" s="6"/>
      <c r="W250" s="6"/>
      <c r="X250" s="6"/>
      <c r="Y250" s="6"/>
      <c r="Z250" s="6"/>
    </row>
    <row r="251" spans="1:26">
      <c r="A251" s="440">
        <v>44175</v>
      </c>
      <c r="B251" s="433">
        <v>15717.7</v>
      </c>
      <c r="C251" s="433">
        <v>1045.96</v>
      </c>
      <c r="D251" s="434">
        <f t="shared" ref="D251:E251" si="249">LN(B251/B252)</f>
        <v>8.81033690590673E-3</v>
      </c>
      <c r="E251" s="435">
        <f t="shared" si="249"/>
        <v>1.4493216658684761E-2</v>
      </c>
      <c r="F251" s="221"/>
      <c r="G251" s="222"/>
      <c r="H251" s="222"/>
      <c r="I251" s="6"/>
      <c r="J251" s="6"/>
      <c r="K251" s="6"/>
      <c r="L251" s="6"/>
      <c r="M251" s="6"/>
      <c r="N251" s="6"/>
      <c r="O251" s="6"/>
      <c r="P251" s="6"/>
      <c r="Q251" s="6"/>
      <c r="R251" s="6"/>
      <c r="S251" s="6"/>
      <c r="T251" s="6"/>
      <c r="U251" s="6"/>
      <c r="V251" s="6"/>
      <c r="W251" s="6"/>
      <c r="X251" s="6"/>
      <c r="Y251" s="6"/>
      <c r="Z251" s="6"/>
    </row>
    <row r="252" spans="1:26">
      <c r="A252" s="432">
        <v>44174</v>
      </c>
      <c r="B252" s="433">
        <v>15579.83</v>
      </c>
      <c r="C252" s="433">
        <v>1030.9100000000001</v>
      </c>
      <c r="D252" s="434">
        <f t="shared" ref="D252:E252" si="250">LN(B252/B253)</f>
        <v>-2.945625386183114E-3</v>
      </c>
      <c r="E252" s="435">
        <f t="shared" si="250"/>
        <v>-7.9419172631241281E-3</v>
      </c>
      <c r="F252" s="221"/>
      <c r="G252" s="222"/>
      <c r="H252" s="222"/>
      <c r="I252" s="6"/>
      <c r="J252" s="6"/>
      <c r="K252" s="6"/>
      <c r="L252" s="6"/>
      <c r="M252" s="6"/>
      <c r="N252" s="6"/>
      <c r="O252" s="6"/>
      <c r="P252" s="6"/>
      <c r="Q252" s="6"/>
      <c r="R252" s="6"/>
      <c r="S252" s="6"/>
      <c r="T252" s="6"/>
      <c r="U252" s="6"/>
      <c r="V252" s="6"/>
      <c r="W252" s="6"/>
      <c r="X252" s="6"/>
      <c r="Y252" s="6"/>
      <c r="Z252" s="6"/>
    </row>
    <row r="253" spans="1:26">
      <c r="A253" s="432">
        <v>44173</v>
      </c>
      <c r="B253" s="433">
        <v>15625.79</v>
      </c>
      <c r="C253" s="433">
        <v>1039.1300000000001</v>
      </c>
      <c r="D253" s="434">
        <f t="shared" ref="D253:E253" si="251">LN(B253/B254)</f>
        <v>-2.9369741543184636E-3</v>
      </c>
      <c r="E253" s="435">
        <f t="shared" si="251"/>
        <v>9.5437271650223414E-3</v>
      </c>
      <c r="F253" s="221"/>
      <c r="G253" s="222"/>
      <c r="H253" s="222"/>
      <c r="I253" s="6"/>
      <c r="J253" s="6"/>
      <c r="K253" s="6"/>
      <c r="L253" s="6"/>
      <c r="M253" s="6"/>
      <c r="N253" s="6"/>
      <c r="O253" s="6"/>
      <c r="P253" s="6"/>
      <c r="Q253" s="6"/>
      <c r="R253" s="6"/>
      <c r="S253" s="6"/>
      <c r="T253" s="6"/>
      <c r="U253" s="6"/>
      <c r="V253" s="6"/>
      <c r="W253" s="6"/>
      <c r="X253" s="6"/>
      <c r="Y253" s="6"/>
      <c r="Z253" s="6"/>
    </row>
    <row r="254" spans="1:26">
      <c r="A254" s="432">
        <v>44172</v>
      </c>
      <c r="B254" s="433">
        <v>15671.75</v>
      </c>
      <c r="C254" s="433">
        <v>1029.26</v>
      </c>
      <c r="D254" s="434">
        <f t="shared" ref="D254:E254" si="252">LN(B254/B255)</f>
        <v>-2.9277373654051282E-3</v>
      </c>
      <c r="E254" s="435">
        <f t="shared" si="252"/>
        <v>-6.9928714413106184E-4</v>
      </c>
      <c r="F254" s="221"/>
      <c r="G254" s="222"/>
      <c r="H254" s="222"/>
      <c r="I254" s="6"/>
      <c r="J254" s="6"/>
      <c r="K254" s="6"/>
      <c r="L254" s="6"/>
      <c r="M254" s="6"/>
      <c r="N254" s="6"/>
      <c r="O254" s="6"/>
      <c r="P254" s="6"/>
      <c r="Q254" s="6"/>
      <c r="R254" s="6"/>
      <c r="S254" s="6"/>
      <c r="T254" s="6"/>
      <c r="U254" s="6"/>
      <c r="V254" s="6"/>
      <c r="W254" s="6"/>
      <c r="X254" s="6"/>
      <c r="Y254" s="6"/>
      <c r="Z254" s="6"/>
    </row>
    <row r="255" spans="1:26">
      <c r="A255" s="432">
        <v>44171</v>
      </c>
      <c r="B255" s="433">
        <v>15717.7</v>
      </c>
      <c r="C255" s="433">
        <v>1029.98</v>
      </c>
      <c r="D255" s="434">
        <f t="shared" ref="D255:E255" si="253">LN(B255/B256)</f>
        <v>1.7699633905242016E-2</v>
      </c>
      <c r="E255" s="435">
        <f t="shared" si="253"/>
        <v>8.2770388748807447E-3</v>
      </c>
      <c r="F255" s="221"/>
      <c r="G255" s="222"/>
      <c r="H255" s="222"/>
      <c r="I255" s="6"/>
      <c r="J255" s="6"/>
      <c r="K255" s="6"/>
      <c r="L255" s="6"/>
      <c r="M255" s="6"/>
      <c r="N255" s="6"/>
      <c r="O255" s="6"/>
      <c r="P255" s="6"/>
      <c r="Q255" s="6"/>
      <c r="R255" s="6"/>
      <c r="S255" s="6"/>
      <c r="T255" s="6"/>
      <c r="U255" s="6"/>
      <c r="V255" s="6"/>
      <c r="W255" s="6"/>
      <c r="X255" s="6"/>
      <c r="Y255" s="6"/>
      <c r="Z255" s="6"/>
    </row>
    <row r="256" spans="1:26">
      <c r="A256" s="432">
        <v>44168</v>
      </c>
      <c r="B256" s="433">
        <v>15441.95</v>
      </c>
      <c r="C256" s="433">
        <v>1021.49</v>
      </c>
      <c r="D256" s="434">
        <f t="shared" ref="D256:E256" si="254">LN(B256/B257)</f>
        <v>3.02136554358612E-2</v>
      </c>
      <c r="E256" s="435">
        <f t="shared" si="254"/>
        <v>1.6558160634956485E-3</v>
      </c>
      <c r="F256" s="221"/>
      <c r="G256" s="222"/>
      <c r="H256" s="222"/>
      <c r="I256" s="6"/>
      <c r="J256" s="6"/>
      <c r="K256" s="6"/>
      <c r="L256" s="6"/>
      <c r="M256" s="6"/>
      <c r="N256" s="6"/>
      <c r="O256" s="6"/>
      <c r="P256" s="6"/>
      <c r="Q256" s="6"/>
      <c r="R256" s="6"/>
      <c r="S256" s="6"/>
      <c r="T256" s="6"/>
      <c r="U256" s="6"/>
      <c r="V256" s="6"/>
      <c r="W256" s="6"/>
      <c r="X256" s="6"/>
      <c r="Y256" s="6"/>
      <c r="Z256" s="6"/>
    </row>
    <row r="257" spans="1:26">
      <c r="A257" s="432">
        <v>44167</v>
      </c>
      <c r="B257" s="433">
        <v>14982.37</v>
      </c>
      <c r="C257" s="433">
        <v>1019.8</v>
      </c>
      <c r="D257" s="434">
        <f t="shared" ref="D257:E257" si="255">LN(B257/B258)</f>
        <v>2.4845620784067754E-2</v>
      </c>
      <c r="E257" s="435">
        <f t="shared" si="255"/>
        <v>5.3880924013627682E-3</v>
      </c>
      <c r="F257" s="221"/>
      <c r="G257" s="222"/>
      <c r="H257" s="222"/>
      <c r="I257" s="6"/>
      <c r="J257" s="6"/>
      <c r="K257" s="6"/>
      <c r="L257" s="6"/>
      <c r="M257" s="6"/>
      <c r="N257" s="6"/>
      <c r="O257" s="6"/>
      <c r="P257" s="6"/>
      <c r="Q257" s="6"/>
      <c r="R257" s="6"/>
      <c r="S257" s="6"/>
      <c r="T257" s="6"/>
      <c r="U257" s="6"/>
      <c r="V257" s="6"/>
      <c r="W257" s="6"/>
      <c r="X257" s="6"/>
      <c r="Y257" s="6"/>
      <c r="Z257" s="6"/>
    </row>
    <row r="258" spans="1:26">
      <c r="A258" s="432">
        <v>44166</v>
      </c>
      <c r="B258" s="433">
        <v>14614.71</v>
      </c>
      <c r="C258" s="433">
        <v>1014.32</v>
      </c>
      <c r="D258" s="434">
        <f t="shared" ref="D258:E258" si="256">LN(B258/B259)</f>
        <v>-6.2691768091555442E-3</v>
      </c>
      <c r="E258" s="435">
        <f t="shared" si="256"/>
        <v>5.3875446028008589E-3</v>
      </c>
      <c r="F258" s="221"/>
      <c r="G258" s="222"/>
      <c r="H258" s="222"/>
      <c r="I258" s="6"/>
      <c r="J258" s="6"/>
      <c r="K258" s="6"/>
      <c r="L258" s="6"/>
      <c r="M258" s="6"/>
      <c r="N258" s="6"/>
      <c r="O258" s="6"/>
      <c r="P258" s="6"/>
      <c r="Q258" s="6"/>
      <c r="R258" s="6"/>
      <c r="S258" s="6"/>
      <c r="T258" s="6"/>
      <c r="U258" s="6"/>
      <c r="V258" s="6"/>
      <c r="W258" s="6"/>
      <c r="X258" s="6"/>
      <c r="Y258" s="6"/>
      <c r="Z258" s="6"/>
    </row>
    <row r="259" spans="1:26">
      <c r="A259" s="440">
        <v>44165</v>
      </c>
      <c r="B259" s="433">
        <v>14706.62</v>
      </c>
      <c r="C259" s="433">
        <v>1008.87</v>
      </c>
      <c r="D259" s="434">
        <f t="shared" ref="D259:E259" si="257">LN(B259/B260)</f>
        <v>-2.1639353932415582E-2</v>
      </c>
      <c r="E259" s="435">
        <f t="shared" si="257"/>
        <v>5.7556261178266181E-3</v>
      </c>
      <c r="F259" s="221"/>
      <c r="G259" s="222"/>
      <c r="H259" s="222"/>
      <c r="I259" s="6"/>
      <c r="J259" s="6"/>
      <c r="K259" s="6"/>
      <c r="L259" s="6"/>
      <c r="M259" s="6"/>
      <c r="N259" s="6"/>
      <c r="O259" s="6"/>
      <c r="P259" s="6"/>
      <c r="Q259" s="6"/>
      <c r="R259" s="6"/>
      <c r="S259" s="6"/>
      <c r="T259" s="6"/>
      <c r="U259" s="6"/>
      <c r="V259" s="6"/>
      <c r="W259" s="6"/>
      <c r="X259" s="6"/>
      <c r="Y259" s="6"/>
      <c r="Z259" s="6"/>
    </row>
    <row r="260" spans="1:26">
      <c r="A260" s="440">
        <v>44164</v>
      </c>
      <c r="B260" s="433">
        <v>15028.33</v>
      </c>
      <c r="C260" s="433">
        <v>1003.08</v>
      </c>
      <c r="D260" s="434">
        <f t="shared" ref="D260:E260" si="258">LN(B260/B261)</f>
        <v>-3.0535571795229834E-3</v>
      </c>
      <c r="E260" s="435">
        <f t="shared" si="258"/>
        <v>-7.0928623986982152E-3</v>
      </c>
      <c r="F260" s="221"/>
      <c r="G260" s="222"/>
      <c r="H260" s="222"/>
      <c r="I260" s="6"/>
      <c r="J260" s="6"/>
      <c r="K260" s="6"/>
      <c r="L260" s="6"/>
      <c r="M260" s="6"/>
      <c r="N260" s="6"/>
      <c r="O260" s="6"/>
      <c r="P260" s="6"/>
      <c r="Q260" s="6"/>
      <c r="R260" s="6"/>
      <c r="S260" s="6"/>
      <c r="T260" s="6"/>
      <c r="U260" s="6"/>
      <c r="V260" s="6"/>
      <c r="W260" s="6"/>
      <c r="X260" s="6"/>
      <c r="Y260" s="6"/>
      <c r="Z260" s="6"/>
    </row>
    <row r="261" spans="1:26">
      <c r="A261" s="440">
        <v>44161</v>
      </c>
      <c r="B261" s="433">
        <v>15074.29</v>
      </c>
      <c r="C261" s="433">
        <v>1010.22</v>
      </c>
      <c r="D261" s="434">
        <f t="shared" ref="D261:E261" si="259">LN(B261/B262)</f>
        <v>-6.0792832853751285E-3</v>
      </c>
      <c r="E261" s="435">
        <f t="shared" si="259"/>
        <v>4.2158787562946044E-3</v>
      </c>
      <c r="F261" s="221"/>
      <c r="G261" s="222"/>
      <c r="H261" s="222"/>
      <c r="I261" s="6"/>
      <c r="J261" s="6"/>
      <c r="K261" s="6"/>
      <c r="L261" s="6"/>
      <c r="M261" s="6"/>
      <c r="N261" s="6"/>
      <c r="O261" s="6"/>
      <c r="P261" s="6"/>
      <c r="Q261" s="6"/>
      <c r="R261" s="6"/>
      <c r="S261" s="6"/>
      <c r="T261" s="6"/>
      <c r="U261" s="6"/>
      <c r="V261" s="6"/>
      <c r="W261" s="6"/>
      <c r="X261" s="6"/>
      <c r="Y261" s="6"/>
      <c r="Z261" s="6"/>
    </row>
    <row r="262" spans="1:26">
      <c r="A262" s="440">
        <v>44160</v>
      </c>
      <c r="B262" s="433">
        <v>15166.21</v>
      </c>
      <c r="C262" s="433">
        <v>1005.97</v>
      </c>
      <c r="D262" s="434">
        <f t="shared" ref="D262:E262" si="260">LN(B262/B263)</f>
        <v>2.1440500671080446E-2</v>
      </c>
      <c r="E262" s="435">
        <f t="shared" si="260"/>
        <v>6.0122519594037029E-3</v>
      </c>
      <c r="F262" s="221"/>
      <c r="G262" s="222"/>
      <c r="H262" s="222"/>
      <c r="I262" s="6"/>
      <c r="J262" s="6"/>
      <c r="K262" s="6"/>
      <c r="L262" s="6"/>
      <c r="M262" s="6"/>
      <c r="N262" s="6"/>
      <c r="O262" s="6"/>
      <c r="P262" s="6"/>
      <c r="Q262" s="6"/>
      <c r="R262" s="6"/>
      <c r="S262" s="6"/>
      <c r="T262" s="6"/>
      <c r="U262" s="6"/>
      <c r="V262" s="6"/>
      <c r="W262" s="6"/>
      <c r="X262" s="6"/>
      <c r="Y262" s="6"/>
      <c r="Z262" s="6"/>
    </row>
    <row r="263" spans="1:26">
      <c r="A263" s="440">
        <v>44159</v>
      </c>
      <c r="B263" s="433">
        <v>14844.5</v>
      </c>
      <c r="C263" s="433">
        <v>999.94</v>
      </c>
      <c r="D263" s="434">
        <f t="shared" ref="D263:E263" si="261">LN(B263/B264)</f>
        <v>3.7859519347314664E-2</v>
      </c>
      <c r="E263" s="435">
        <f t="shared" si="261"/>
        <v>4.1890124893428794E-3</v>
      </c>
      <c r="F263" s="221"/>
      <c r="G263" s="222"/>
      <c r="H263" s="222"/>
      <c r="I263" s="6"/>
      <c r="J263" s="6"/>
      <c r="K263" s="6"/>
      <c r="L263" s="6"/>
      <c r="M263" s="6"/>
      <c r="N263" s="6"/>
      <c r="O263" s="6"/>
      <c r="P263" s="6"/>
      <c r="Q263" s="6"/>
      <c r="R263" s="6"/>
      <c r="S263" s="6"/>
      <c r="T263" s="6"/>
      <c r="U263" s="6"/>
      <c r="V263" s="6"/>
      <c r="W263" s="6"/>
      <c r="X263" s="6"/>
      <c r="Y263" s="6"/>
      <c r="Z263" s="6"/>
    </row>
    <row r="264" spans="1:26">
      <c r="A264" s="440">
        <v>44158</v>
      </c>
      <c r="B264" s="433">
        <v>14293</v>
      </c>
      <c r="C264" s="433">
        <v>995.76</v>
      </c>
      <c r="D264" s="434">
        <f t="shared" ref="D264:E264" si="262">LN(B264/B265)</f>
        <v>-1.9108916874952024E-2</v>
      </c>
      <c r="E264" s="435">
        <f t="shared" si="262"/>
        <v>1.5779294210976843E-3</v>
      </c>
      <c r="F264" s="221"/>
      <c r="G264" s="222"/>
      <c r="H264" s="222"/>
      <c r="I264" s="6"/>
      <c r="J264" s="6"/>
      <c r="K264" s="6"/>
      <c r="L264" s="6"/>
      <c r="M264" s="6"/>
      <c r="N264" s="6"/>
      <c r="O264" s="6"/>
      <c r="P264" s="6"/>
      <c r="Q264" s="6"/>
      <c r="R264" s="6"/>
      <c r="S264" s="6"/>
      <c r="T264" s="6"/>
      <c r="U264" s="6"/>
      <c r="V264" s="6"/>
      <c r="W264" s="6"/>
      <c r="X264" s="6"/>
      <c r="Y264" s="6"/>
      <c r="Z264" s="6"/>
    </row>
    <row r="265" spans="1:26">
      <c r="A265" s="440">
        <v>44157</v>
      </c>
      <c r="B265" s="433">
        <v>14568.75</v>
      </c>
      <c r="C265" s="433">
        <v>994.19</v>
      </c>
      <c r="D265" s="434">
        <f t="shared" ref="D265:E265" si="263">LN(B265/B266)</f>
        <v>6.3293834633554886E-3</v>
      </c>
      <c r="E265" s="435">
        <f t="shared" si="263"/>
        <v>4.2233921429888233E-3</v>
      </c>
      <c r="F265" s="221"/>
      <c r="G265" s="222"/>
      <c r="H265" s="222"/>
      <c r="I265" s="6"/>
      <c r="J265" s="6"/>
      <c r="K265" s="6"/>
      <c r="L265" s="6"/>
      <c r="M265" s="6"/>
      <c r="N265" s="6"/>
      <c r="O265" s="6"/>
      <c r="P265" s="6"/>
      <c r="Q265" s="6"/>
      <c r="R265" s="6"/>
      <c r="S265" s="6"/>
      <c r="T265" s="6"/>
      <c r="U265" s="6"/>
      <c r="V265" s="6"/>
      <c r="W265" s="6"/>
      <c r="X265" s="6"/>
      <c r="Y265" s="6"/>
      <c r="Z265" s="6"/>
    </row>
    <row r="266" spans="1:26">
      <c r="A266" s="440">
        <v>44154</v>
      </c>
      <c r="B266" s="433">
        <v>14476.83</v>
      </c>
      <c r="C266" s="433">
        <v>990</v>
      </c>
      <c r="D266" s="434">
        <f t="shared" ref="D266:E266" si="264">LN(B266/B267)</f>
        <v>-9.4791154003293319E-3</v>
      </c>
      <c r="E266" s="435">
        <f t="shared" si="264"/>
        <v>6.8313615150146301E-3</v>
      </c>
      <c r="F266" s="221"/>
      <c r="G266" s="222"/>
      <c r="H266" s="222"/>
      <c r="I266" s="6"/>
      <c r="J266" s="6"/>
      <c r="K266" s="6"/>
      <c r="L266" s="6"/>
      <c r="M266" s="6"/>
      <c r="N266" s="6"/>
      <c r="O266" s="6"/>
      <c r="P266" s="6"/>
      <c r="Q266" s="6"/>
      <c r="R266" s="6"/>
      <c r="S266" s="6"/>
      <c r="T266" s="6"/>
      <c r="U266" s="6"/>
      <c r="V266" s="6"/>
      <c r="W266" s="6"/>
      <c r="X266" s="6"/>
      <c r="Y266" s="6"/>
      <c r="Z266" s="6"/>
    </row>
    <row r="267" spans="1:26">
      <c r="A267" s="440">
        <v>44153</v>
      </c>
      <c r="B267" s="433">
        <v>14614.71</v>
      </c>
      <c r="C267" s="433">
        <v>983.26</v>
      </c>
      <c r="D267" s="434">
        <f t="shared" ref="D267:E267" si="265">LN(B267/B268)</f>
        <v>-6.2691768091555442E-3</v>
      </c>
      <c r="E267" s="435">
        <f t="shared" si="265"/>
        <v>9.9449406352035037E-3</v>
      </c>
      <c r="F267" s="221"/>
      <c r="G267" s="222"/>
      <c r="H267" s="222"/>
      <c r="I267" s="6"/>
      <c r="J267" s="6"/>
      <c r="K267" s="6"/>
      <c r="L267" s="6"/>
      <c r="M267" s="6"/>
      <c r="N267" s="6"/>
      <c r="O267" s="6"/>
      <c r="P267" s="6"/>
      <c r="Q267" s="6"/>
      <c r="R267" s="6"/>
      <c r="S267" s="6"/>
      <c r="T267" s="6"/>
      <c r="U267" s="6"/>
      <c r="V267" s="6"/>
      <c r="W267" s="6"/>
      <c r="X267" s="6"/>
      <c r="Y267" s="6"/>
      <c r="Z267" s="6"/>
    </row>
    <row r="268" spans="1:26">
      <c r="A268" s="440">
        <v>44152</v>
      </c>
      <c r="B268" s="433">
        <v>14706.62</v>
      </c>
      <c r="C268" s="433">
        <v>973.53</v>
      </c>
      <c r="D268" s="434">
        <f t="shared" ref="D268:E268" si="266">LN(B268/B269)</f>
        <v>0</v>
      </c>
      <c r="E268" s="435">
        <f t="shared" si="266"/>
        <v>4.7672335874590329E-3</v>
      </c>
      <c r="F268" s="221"/>
      <c r="G268" s="222"/>
      <c r="H268" s="222"/>
      <c r="I268" s="6"/>
      <c r="J268" s="6"/>
      <c r="K268" s="6"/>
      <c r="L268" s="6"/>
      <c r="M268" s="6"/>
      <c r="N268" s="6"/>
      <c r="O268" s="6"/>
      <c r="P268" s="6"/>
      <c r="Q268" s="6"/>
      <c r="R268" s="6"/>
      <c r="S268" s="6"/>
      <c r="T268" s="6"/>
      <c r="U268" s="6"/>
      <c r="V268" s="6"/>
      <c r="W268" s="6"/>
      <c r="X268" s="6"/>
      <c r="Y268" s="6"/>
      <c r="Z268" s="6"/>
    </row>
    <row r="269" spans="1:26">
      <c r="A269" s="440">
        <v>44151</v>
      </c>
      <c r="B269" s="433">
        <v>14706.62</v>
      </c>
      <c r="C269" s="433">
        <v>968.9</v>
      </c>
      <c r="D269" s="434">
        <f t="shared" ref="D269:E269" si="267">LN(B269/B270)</f>
        <v>6.2691768091556752E-3</v>
      </c>
      <c r="E269" s="435">
        <f t="shared" si="267"/>
        <v>1.8868189419210448E-2</v>
      </c>
      <c r="F269" s="221"/>
      <c r="G269" s="222"/>
      <c r="H269" s="222"/>
      <c r="I269" s="6"/>
      <c r="J269" s="6"/>
      <c r="K269" s="6"/>
      <c r="L269" s="6"/>
      <c r="M269" s="6"/>
      <c r="N269" s="6"/>
      <c r="O269" s="6"/>
      <c r="P269" s="6"/>
      <c r="Q269" s="6"/>
      <c r="R269" s="6"/>
      <c r="S269" s="6"/>
      <c r="T269" s="6"/>
      <c r="U269" s="6"/>
      <c r="V269" s="6"/>
      <c r="W269" s="6"/>
      <c r="X269" s="6"/>
      <c r="Y269" s="6"/>
      <c r="Z269" s="6"/>
    </row>
    <row r="270" spans="1:26">
      <c r="A270" s="440">
        <v>44150</v>
      </c>
      <c r="B270" s="433">
        <v>14614.71</v>
      </c>
      <c r="C270" s="433">
        <v>950.79</v>
      </c>
      <c r="D270" s="434">
        <f t="shared" ref="D270:E270" si="268">LN(B270/B271)</f>
        <v>-1.2499971516418686E-2</v>
      </c>
      <c r="E270" s="435">
        <f t="shared" si="268"/>
        <v>-1.6170778226990798E-2</v>
      </c>
      <c r="F270" s="221"/>
      <c r="G270" s="222"/>
      <c r="H270" s="222"/>
      <c r="I270" s="6"/>
      <c r="J270" s="6"/>
      <c r="K270" s="6"/>
      <c r="L270" s="6"/>
      <c r="M270" s="6"/>
      <c r="N270" s="6"/>
      <c r="O270" s="6"/>
      <c r="P270" s="6"/>
      <c r="Q270" s="6"/>
      <c r="R270" s="6"/>
      <c r="S270" s="6"/>
      <c r="T270" s="6"/>
      <c r="U270" s="6"/>
      <c r="V270" s="6"/>
      <c r="W270" s="6"/>
      <c r="X270" s="6"/>
      <c r="Y270" s="6"/>
      <c r="Z270" s="6"/>
    </row>
    <row r="271" spans="1:26">
      <c r="A271" s="440">
        <v>44147</v>
      </c>
      <c r="B271" s="433">
        <v>14798.54</v>
      </c>
      <c r="C271" s="433">
        <v>966.29</v>
      </c>
      <c r="D271" s="434">
        <f t="shared" ref="D271:E271" si="269">LN(B271/B272)</f>
        <v>1.8809387556550705E-2</v>
      </c>
      <c r="E271" s="435">
        <f t="shared" si="269"/>
        <v>7.2809931275610229E-3</v>
      </c>
      <c r="F271" s="221"/>
      <c r="G271" s="222"/>
      <c r="H271" s="222"/>
      <c r="I271" s="6"/>
      <c r="J271" s="6"/>
      <c r="K271" s="6"/>
      <c r="L271" s="6"/>
      <c r="M271" s="6"/>
      <c r="N271" s="6"/>
      <c r="O271" s="6"/>
      <c r="P271" s="6"/>
      <c r="Q271" s="6"/>
      <c r="R271" s="6"/>
      <c r="S271" s="6"/>
      <c r="T271" s="6"/>
      <c r="U271" s="6"/>
      <c r="V271" s="6"/>
      <c r="W271" s="6"/>
      <c r="X271" s="6"/>
      <c r="Y271" s="6"/>
      <c r="Z271" s="6"/>
    </row>
    <row r="272" spans="1:26">
      <c r="A272" s="440">
        <v>44146</v>
      </c>
      <c r="B272" s="433">
        <v>14522.79</v>
      </c>
      <c r="C272" s="433">
        <v>959.28</v>
      </c>
      <c r="D272" s="434">
        <f t="shared" ref="D272:E272" si="270">LN(B272/B273)</f>
        <v>9.5387040593521797E-3</v>
      </c>
      <c r="E272" s="435">
        <f t="shared" si="270"/>
        <v>7.3869025405818049E-3</v>
      </c>
      <c r="F272" s="221"/>
      <c r="G272" s="222"/>
      <c r="H272" s="222"/>
      <c r="I272" s="6"/>
      <c r="J272" s="6"/>
      <c r="K272" s="6"/>
      <c r="L272" s="6"/>
      <c r="M272" s="6"/>
      <c r="N272" s="6"/>
      <c r="O272" s="6"/>
      <c r="P272" s="6"/>
      <c r="Q272" s="6"/>
      <c r="R272" s="6"/>
      <c r="S272" s="6"/>
      <c r="T272" s="6"/>
      <c r="U272" s="6"/>
      <c r="V272" s="6"/>
      <c r="W272" s="6"/>
      <c r="X272" s="6"/>
      <c r="Y272" s="6"/>
      <c r="Z272" s="6"/>
    </row>
    <row r="273" spans="1:26">
      <c r="A273" s="440">
        <v>44145</v>
      </c>
      <c r="B273" s="433">
        <v>14384.92</v>
      </c>
      <c r="C273" s="433">
        <v>952.22</v>
      </c>
      <c r="D273" s="434">
        <f t="shared" ref="D273:E273" si="271">LN(B273/B274)</f>
        <v>0</v>
      </c>
      <c r="E273" s="435">
        <f t="shared" si="271"/>
        <v>3.3611327333644807E-4</v>
      </c>
      <c r="F273" s="221"/>
      <c r="G273" s="222"/>
      <c r="H273" s="222"/>
      <c r="I273" s="6"/>
      <c r="J273" s="6"/>
      <c r="K273" s="6"/>
      <c r="L273" s="6"/>
      <c r="M273" s="6"/>
      <c r="N273" s="6"/>
      <c r="O273" s="6"/>
      <c r="P273" s="6"/>
      <c r="Q273" s="6"/>
      <c r="R273" s="6"/>
      <c r="S273" s="6"/>
      <c r="T273" s="6"/>
      <c r="U273" s="6"/>
      <c r="V273" s="6"/>
      <c r="W273" s="6"/>
      <c r="X273" s="6"/>
      <c r="Y273" s="6"/>
      <c r="Z273" s="6"/>
    </row>
    <row r="274" spans="1:26">
      <c r="A274" s="432">
        <v>44144</v>
      </c>
      <c r="B274" s="433">
        <v>14384.92</v>
      </c>
      <c r="C274" s="433">
        <v>951.9</v>
      </c>
      <c r="D274" s="434">
        <f t="shared" ref="D274:E274" si="272">LN(B274/B275)</f>
        <v>0</v>
      </c>
      <c r="E274" s="435">
        <f t="shared" si="272"/>
        <v>-9.4543277255573093E-5</v>
      </c>
      <c r="F274" s="221"/>
      <c r="G274" s="222"/>
      <c r="H274" s="222"/>
      <c r="I274" s="6"/>
      <c r="J274" s="6"/>
      <c r="K274" s="6"/>
      <c r="L274" s="6"/>
      <c r="M274" s="6"/>
      <c r="N274" s="6"/>
      <c r="O274" s="6"/>
      <c r="P274" s="6"/>
      <c r="Q274" s="6"/>
      <c r="R274" s="6"/>
      <c r="S274" s="6"/>
      <c r="T274" s="6"/>
      <c r="U274" s="6"/>
      <c r="V274" s="6"/>
      <c r="W274" s="6"/>
      <c r="X274" s="6"/>
      <c r="Y274" s="6"/>
      <c r="Z274" s="6"/>
    </row>
    <row r="275" spans="1:26">
      <c r="A275" s="432">
        <v>44143</v>
      </c>
      <c r="B275" s="433">
        <v>14384.92</v>
      </c>
      <c r="C275" s="433">
        <v>951.99</v>
      </c>
      <c r="D275" s="434">
        <f t="shared" ref="D275:E275" si="273">LN(B275/B276)</f>
        <v>6.6031010964176198E-2</v>
      </c>
      <c r="E275" s="435">
        <f t="shared" si="273"/>
        <v>1.4495460867508664E-2</v>
      </c>
      <c r="F275" s="221"/>
      <c r="G275" s="222"/>
      <c r="H275" s="222"/>
      <c r="I275" s="6"/>
      <c r="J275" s="6"/>
      <c r="K275" s="6"/>
      <c r="L275" s="6"/>
      <c r="M275" s="6"/>
      <c r="N275" s="6"/>
      <c r="O275" s="6"/>
      <c r="P275" s="6"/>
      <c r="Q275" s="6"/>
      <c r="R275" s="6"/>
      <c r="S275" s="6"/>
      <c r="T275" s="6"/>
      <c r="U275" s="6"/>
      <c r="V275" s="6"/>
      <c r="W275" s="6"/>
      <c r="X275" s="6"/>
      <c r="Y275" s="6"/>
      <c r="Z275" s="6"/>
    </row>
    <row r="276" spans="1:26">
      <c r="A276" s="432">
        <v>44140</v>
      </c>
      <c r="B276" s="433">
        <v>13465.75</v>
      </c>
      <c r="C276" s="433">
        <v>938.29</v>
      </c>
      <c r="D276" s="434">
        <f t="shared" ref="D276:E276" si="274">LN(B276/B277)</f>
        <v>-2.0271026465992405E-2</v>
      </c>
      <c r="E276" s="435">
        <f t="shared" si="274"/>
        <v>5.7568070500990621E-4</v>
      </c>
      <c r="F276" s="221"/>
      <c r="G276" s="222"/>
      <c r="H276" s="222"/>
      <c r="I276" s="6"/>
      <c r="J276" s="6"/>
      <c r="K276" s="6"/>
      <c r="L276" s="6"/>
      <c r="M276" s="6"/>
      <c r="N276" s="6"/>
      <c r="O276" s="6"/>
      <c r="P276" s="6"/>
      <c r="Q276" s="6"/>
      <c r="R276" s="6"/>
      <c r="S276" s="6"/>
      <c r="T276" s="6"/>
      <c r="U276" s="6"/>
      <c r="V276" s="6"/>
      <c r="W276" s="6"/>
      <c r="X276" s="6"/>
      <c r="Y276" s="6"/>
      <c r="Z276" s="6"/>
    </row>
    <row r="277" spans="1:26">
      <c r="A277" s="432">
        <v>44139</v>
      </c>
      <c r="B277" s="433">
        <v>13741.5</v>
      </c>
      <c r="C277" s="433">
        <v>937.75</v>
      </c>
      <c r="D277" s="434">
        <f t="shared" ref="D277:E277" si="275">LN(B277/B278)</f>
        <v>-5.5298688557536037E-2</v>
      </c>
      <c r="E277" s="435">
        <f t="shared" si="275"/>
        <v>-2.1411345536338452E-3</v>
      </c>
      <c r="F277" s="221"/>
      <c r="G277" s="222"/>
      <c r="H277" s="222"/>
      <c r="I277" s="6"/>
      <c r="J277" s="6"/>
      <c r="K277" s="6"/>
      <c r="L277" s="6"/>
      <c r="M277" s="6"/>
      <c r="N277" s="6"/>
      <c r="O277" s="6"/>
      <c r="P277" s="6"/>
      <c r="Q277" s="6"/>
      <c r="R277" s="6"/>
      <c r="S277" s="6"/>
      <c r="T277" s="6"/>
      <c r="U277" s="6"/>
      <c r="V277" s="6"/>
      <c r="W277" s="6"/>
      <c r="X277" s="6"/>
      <c r="Y277" s="6"/>
      <c r="Z277" s="6"/>
    </row>
    <row r="278" spans="1:26">
      <c r="A278" s="432">
        <v>44138</v>
      </c>
      <c r="B278" s="433">
        <v>14522.79</v>
      </c>
      <c r="C278" s="433">
        <v>939.76</v>
      </c>
      <c r="D278" s="434">
        <f t="shared" ref="D278:E278" si="276">LN(B278/B279)</f>
        <v>3.2156972119765453E-2</v>
      </c>
      <c r="E278" s="435">
        <f t="shared" si="276"/>
        <v>4.6395876673477592E-3</v>
      </c>
      <c r="F278" s="221"/>
      <c r="G278" s="222"/>
      <c r="H278" s="222"/>
      <c r="I278" s="6"/>
      <c r="J278" s="6"/>
      <c r="K278" s="6"/>
      <c r="L278" s="6"/>
      <c r="M278" s="6"/>
      <c r="N278" s="6"/>
      <c r="O278" s="6"/>
      <c r="P278" s="6"/>
      <c r="Q278" s="6"/>
      <c r="R278" s="6"/>
      <c r="S278" s="6"/>
      <c r="T278" s="6"/>
      <c r="U278" s="6"/>
      <c r="V278" s="6"/>
      <c r="W278" s="6"/>
      <c r="X278" s="6"/>
      <c r="Y278" s="6"/>
      <c r="Z278" s="6"/>
    </row>
    <row r="279" spans="1:26">
      <c r="A279" s="432">
        <v>44137</v>
      </c>
      <c r="B279" s="433">
        <v>14063.21</v>
      </c>
      <c r="C279" s="433">
        <v>935.41</v>
      </c>
      <c r="D279" s="434">
        <f t="shared" ref="D279:E279" si="277">LN(B279/B280)</f>
        <v>6.7593743635036715E-2</v>
      </c>
      <c r="E279" s="435">
        <f t="shared" si="277"/>
        <v>1.8511687441846105E-3</v>
      </c>
      <c r="F279" s="221"/>
      <c r="G279" s="222"/>
      <c r="H279" s="222"/>
      <c r="I279" s="6"/>
      <c r="J279" s="6"/>
      <c r="K279" s="6"/>
      <c r="L279" s="6"/>
      <c r="M279" s="6"/>
      <c r="N279" s="6"/>
      <c r="O279" s="6"/>
      <c r="P279" s="6"/>
      <c r="Q279" s="6"/>
      <c r="R279" s="6"/>
      <c r="S279" s="6"/>
      <c r="T279" s="6"/>
      <c r="U279" s="6"/>
      <c r="V279" s="6"/>
      <c r="W279" s="6"/>
      <c r="X279" s="6"/>
      <c r="Y279" s="6"/>
      <c r="Z279" s="6"/>
    </row>
    <row r="280" spans="1:26">
      <c r="A280" s="432">
        <v>44136</v>
      </c>
      <c r="B280" s="433">
        <v>13144.04</v>
      </c>
      <c r="C280" s="433">
        <v>933.68</v>
      </c>
      <c r="D280" s="434">
        <f t="shared" ref="D280:E280" si="278">LN(B280/B281)</f>
        <v>2.1202278296421198E-2</v>
      </c>
      <c r="E280" s="435">
        <f t="shared" si="278"/>
        <v>8.8320505267794908E-3</v>
      </c>
      <c r="F280" s="221"/>
      <c r="G280" s="222"/>
      <c r="H280" s="222"/>
      <c r="I280" s="6"/>
      <c r="J280" s="6"/>
      <c r="K280" s="6"/>
      <c r="L280" s="6"/>
      <c r="M280" s="6"/>
      <c r="N280" s="6"/>
      <c r="O280" s="6"/>
      <c r="P280" s="6"/>
      <c r="Q280" s="6"/>
      <c r="R280" s="6"/>
      <c r="S280" s="6"/>
      <c r="T280" s="6"/>
      <c r="U280" s="6"/>
      <c r="V280" s="6"/>
      <c r="W280" s="6"/>
      <c r="X280" s="6"/>
      <c r="Y280" s="6"/>
      <c r="Z280" s="6"/>
    </row>
    <row r="281" spans="1:26">
      <c r="A281" s="440">
        <v>44133</v>
      </c>
      <c r="B281" s="433">
        <v>12868.29</v>
      </c>
      <c r="C281" s="433">
        <v>925.47</v>
      </c>
      <c r="D281" s="434">
        <f t="shared" ref="D281:E281" si="279">LN(B281/B282)</f>
        <v>1.4388523466955306E-2</v>
      </c>
      <c r="E281" s="435">
        <f t="shared" si="279"/>
        <v>6.9285468678160697E-3</v>
      </c>
      <c r="F281" s="221"/>
      <c r="G281" s="222"/>
      <c r="H281" s="222"/>
      <c r="I281" s="6"/>
      <c r="J281" s="6"/>
      <c r="K281" s="6"/>
      <c r="L281" s="6"/>
      <c r="M281" s="6"/>
      <c r="N281" s="6"/>
      <c r="O281" s="6"/>
      <c r="P281" s="6"/>
      <c r="Q281" s="6"/>
      <c r="R281" s="6"/>
      <c r="S281" s="6"/>
      <c r="T281" s="6"/>
      <c r="U281" s="6"/>
      <c r="V281" s="6"/>
      <c r="W281" s="6"/>
      <c r="X281" s="6"/>
      <c r="Y281" s="6"/>
      <c r="Z281" s="6"/>
    </row>
    <row r="282" spans="1:26">
      <c r="A282" s="440">
        <v>44132</v>
      </c>
      <c r="B282" s="433">
        <v>12684.46</v>
      </c>
      <c r="C282" s="433">
        <v>919.08</v>
      </c>
      <c r="D282" s="434">
        <f t="shared" ref="D282:E282" si="280">LN(B282/B283)</f>
        <v>-1.7953730671674405E-2</v>
      </c>
      <c r="E282" s="435">
        <f t="shared" si="280"/>
        <v>-2.1411538887236036E-3</v>
      </c>
      <c r="F282" s="221"/>
      <c r="G282" s="222"/>
      <c r="H282" s="222"/>
      <c r="I282" s="6"/>
      <c r="J282" s="6"/>
      <c r="K282" s="6"/>
      <c r="L282" s="6"/>
      <c r="M282" s="6"/>
      <c r="N282" s="6"/>
      <c r="O282" s="6"/>
      <c r="P282" s="6"/>
      <c r="Q282" s="6"/>
      <c r="R282" s="6"/>
      <c r="S282" s="6"/>
      <c r="T282" s="6"/>
      <c r="U282" s="6"/>
      <c r="V282" s="6"/>
      <c r="W282" s="6"/>
      <c r="X282" s="6"/>
      <c r="Y282" s="6"/>
      <c r="Z282" s="6"/>
    </row>
    <row r="283" spans="1:26">
      <c r="A283" s="440">
        <v>44131</v>
      </c>
      <c r="B283" s="433">
        <v>12914.25</v>
      </c>
      <c r="C283" s="433">
        <v>921.05</v>
      </c>
      <c r="D283" s="434">
        <f t="shared" ref="D283:E283" si="281">LN(B283/B284)</f>
        <v>-4.862108598714885E-2</v>
      </c>
      <c r="E283" s="435">
        <f t="shared" si="281"/>
        <v>-2.7224950827753835E-2</v>
      </c>
      <c r="F283" s="221"/>
      <c r="G283" s="222"/>
      <c r="H283" s="222"/>
      <c r="I283" s="6"/>
      <c r="J283" s="6"/>
      <c r="K283" s="6"/>
      <c r="L283" s="6"/>
      <c r="M283" s="6"/>
      <c r="N283" s="6"/>
      <c r="O283" s="6"/>
      <c r="P283" s="6"/>
      <c r="Q283" s="6"/>
      <c r="R283" s="6"/>
      <c r="S283" s="6"/>
      <c r="T283" s="6"/>
      <c r="U283" s="6"/>
      <c r="V283" s="6"/>
      <c r="W283" s="6"/>
      <c r="X283" s="6"/>
      <c r="Y283" s="6"/>
      <c r="Z283" s="6"/>
    </row>
    <row r="284" spans="1:26">
      <c r="A284" s="440">
        <v>44130</v>
      </c>
      <c r="B284" s="433">
        <v>13557.67</v>
      </c>
      <c r="C284" s="433">
        <v>946.47</v>
      </c>
      <c r="D284" s="434">
        <f t="shared" ref="D284:E284" si="282">LN(B284/B285)</f>
        <v>-1.346801230181926E-2</v>
      </c>
      <c r="E284" s="435">
        <f t="shared" si="282"/>
        <v>-4.5644610600588309E-3</v>
      </c>
      <c r="F284" s="221"/>
      <c r="G284" s="222"/>
      <c r="H284" s="222"/>
      <c r="I284" s="6"/>
      <c r="J284" s="6"/>
      <c r="K284" s="6"/>
      <c r="L284" s="6"/>
      <c r="M284" s="6"/>
      <c r="N284" s="6"/>
      <c r="O284" s="6"/>
      <c r="P284" s="6"/>
      <c r="Q284" s="6"/>
      <c r="R284" s="6"/>
      <c r="S284" s="6"/>
      <c r="T284" s="6"/>
      <c r="U284" s="6"/>
      <c r="V284" s="6"/>
      <c r="W284" s="6"/>
      <c r="X284" s="6"/>
      <c r="Y284" s="6"/>
      <c r="Z284" s="6"/>
    </row>
    <row r="285" spans="1:26">
      <c r="A285" s="440">
        <v>44129</v>
      </c>
      <c r="B285" s="433">
        <v>13741.5</v>
      </c>
      <c r="C285" s="433">
        <v>950.8</v>
      </c>
      <c r="D285" s="434">
        <f t="shared" ref="D285:E285" si="283">LN(B285/B286)</f>
        <v>-1.3289032775510551E-2</v>
      </c>
      <c r="E285" s="435">
        <f t="shared" si="283"/>
        <v>-1.0941188400639146E-2</v>
      </c>
      <c r="F285" s="221"/>
      <c r="G285" s="222"/>
      <c r="H285" s="222"/>
      <c r="I285" s="6"/>
      <c r="J285" s="6"/>
      <c r="K285" s="6"/>
      <c r="L285" s="6"/>
      <c r="M285" s="6"/>
      <c r="N285" s="6"/>
      <c r="O285" s="6"/>
      <c r="P285" s="6"/>
      <c r="Q285" s="6"/>
      <c r="R285" s="6"/>
      <c r="S285" s="6"/>
      <c r="T285" s="6"/>
      <c r="U285" s="6"/>
      <c r="V285" s="6"/>
      <c r="W285" s="6"/>
      <c r="X285" s="6"/>
      <c r="Y285" s="6"/>
      <c r="Z285" s="6"/>
    </row>
    <row r="286" spans="1:26">
      <c r="A286" s="440">
        <v>44126</v>
      </c>
      <c r="B286" s="433">
        <v>13925.33</v>
      </c>
      <c r="C286" s="433">
        <v>961.26</v>
      </c>
      <c r="D286" s="434">
        <f t="shared" ref="D286:E286" si="284">LN(B286/B287)</f>
        <v>-6.5792300906056499E-3</v>
      </c>
      <c r="E286" s="435">
        <f t="shared" si="284"/>
        <v>1.1888207990541232E-2</v>
      </c>
      <c r="F286" s="221"/>
      <c r="G286" s="222"/>
      <c r="H286" s="222"/>
      <c r="I286" s="6"/>
      <c r="J286" s="6"/>
      <c r="K286" s="6"/>
      <c r="L286" s="6"/>
      <c r="M286" s="6"/>
      <c r="N286" s="6"/>
      <c r="O286" s="6"/>
      <c r="P286" s="6"/>
      <c r="Q286" s="6"/>
      <c r="R286" s="6"/>
      <c r="S286" s="6"/>
      <c r="T286" s="6"/>
      <c r="U286" s="6"/>
      <c r="V286" s="6"/>
      <c r="W286" s="6"/>
      <c r="X286" s="6"/>
      <c r="Y286" s="6"/>
      <c r="Z286" s="6"/>
    </row>
    <row r="287" spans="1:26">
      <c r="A287" s="440">
        <v>44125</v>
      </c>
      <c r="B287" s="433">
        <v>14017.25</v>
      </c>
      <c r="C287" s="433">
        <v>949.9</v>
      </c>
      <c r="D287" s="434">
        <f t="shared" ref="D287:E287" si="285">LN(B287/B288)</f>
        <v>-1.6260451832420385E-2</v>
      </c>
      <c r="E287" s="435">
        <f t="shared" si="285"/>
        <v>1.1509288316439431E-2</v>
      </c>
      <c r="F287" s="221"/>
      <c r="G287" s="222"/>
      <c r="H287" s="222"/>
      <c r="I287" s="6"/>
      <c r="J287" s="6"/>
      <c r="K287" s="6"/>
      <c r="L287" s="6"/>
      <c r="M287" s="6"/>
      <c r="N287" s="6"/>
      <c r="O287" s="6"/>
      <c r="P287" s="6"/>
      <c r="Q287" s="6"/>
      <c r="R287" s="6"/>
      <c r="S287" s="6"/>
      <c r="T287" s="6"/>
      <c r="U287" s="6"/>
      <c r="V287" s="6"/>
      <c r="W287" s="6"/>
      <c r="X287" s="6"/>
      <c r="Y287" s="6"/>
      <c r="Z287" s="6"/>
    </row>
    <row r="288" spans="1:26">
      <c r="A288" s="440">
        <v>44124</v>
      </c>
      <c r="B288" s="433">
        <v>14247.04</v>
      </c>
      <c r="C288" s="433">
        <v>939.03</v>
      </c>
      <c r="D288" s="434">
        <f t="shared" ref="D288:E288" si="286">LN(B288/B289)</f>
        <v>-1.9169973858999434E-2</v>
      </c>
      <c r="E288" s="435">
        <f t="shared" si="286"/>
        <v>-5.7235548745959482E-3</v>
      </c>
      <c r="F288" s="221"/>
      <c r="G288" s="222"/>
      <c r="H288" s="222"/>
      <c r="I288" s="6"/>
      <c r="J288" s="6"/>
      <c r="K288" s="6"/>
      <c r="L288" s="6"/>
      <c r="M288" s="6"/>
      <c r="N288" s="6"/>
      <c r="O288" s="6"/>
      <c r="P288" s="6"/>
      <c r="Q288" s="6"/>
      <c r="R288" s="6"/>
      <c r="S288" s="6"/>
      <c r="T288" s="6"/>
      <c r="U288" s="6"/>
      <c r="V288" s="6"/>
      <c r="W288" s="6"/>
      <c r="X288" s="6"/>
      <c r="Y288" s="6"/>
      <c r="Z288" s="6"/>
    </row>
    <row r="289" spans="1:26">
      <c r="A289" s="440">
        <v>44123</v>
      </c>
      <c r="B289" s="433">
        <v>14522.79</v>
      </c>
      <c r="C289" s="433">
        <v>944.42</v>
      </c>
      <c r="D289" s="434">
        <f t="shared" ref="D289:E289" si="287">LN(B289/B290)</f>
        <v>0</v>
      </c>
      <c r="E289" s="435">
        <f t="shared" si="287"/>
        <v>7.7326007104890667E-4</v>
      </c>
      <c r="F289" s="221"/>
      <c r="G289" s="222"/>
      <c r="H289" s="222"/>
      <c r="I289" s="6"/>
      <c r="J289" s="6"/>
      <c r="K289" s="6"/>
      <c r="L289" s="6"/>
      <c r="M289" s="6"/>
      <c r="N289" s="6"/>
      <c r="O289" s="6"/>
      <c r="P289" s="6"/>
      <c r="Q289" s="6"/>
      <c r="R289" s="6"/>
      <c r="S289" s="6"/>
      <c r="T289" s="6"/>
      <c r="U289" s="6"/>
      <c r="V289" s="6"/>
      <c r="W289" s="6"/>
      <c r="X289" s="6"/>
      <c r="Y289" s="6"/>
      <c r="Z289" s="6"/>
    </row>
    <row r="290" spans="1:26">
      <c r="A290" s="440">
        <v>44122</v>
      </c>
      <c r="B290" s="433">
        <v>14522.79</v>
      </c>
      <c r="C290" s="433">
        <v>943.69</v>
      </c>
      <c r="D290" s="434">
        <f t="shared" ref="D290:E290" si="288">LN(B290/B291)</f>
        <v>0</v>
      </c>
      <c r="E290" s="435">
        <f t="shared" si="288"/>
        <v>4.1335672743695028E-4</v>
      </c>
      <c r="F290" s="221"/>
      <c r="G290" s="222"/>
      <c r="H290" s="222"/>
      <c r="I290" s="6"/>
      <c r="J290" s="6"/>
      <c r="K290" s="6"/>
      <c r="L290" s="6"/>
      <c r="M290" s="6"/>
      <c r="N290" s="6"/>
      <c r="O290" s="6"/>
      <c r="P290" s="6"/>
      <c r="Q290" s="6"/>
      <c r="R290" s="6"/>
      <c r="S290" s="6"/>
      <c r="T290" s="6"/>
      <c r="U290" s="6"/>
      <c r="V290" s="6"/>
      <c r="W290" s="6"/>
      <c r="X290" s="6"/>
      <c r="Y290" s="6"/>
      <c r="Z290" s="6"/>
    </row>
    <row r="291" spans="1:26">
      <c r="A291" s="440">
        <v>44119</v>
      </c>
      <c r="B291" s="433">
        <v>14522.79</v>
      </c>
      <c r="C291" s="433">
        <v>943.3</v>
      </c>
      <c r="D291" s="434">
        <f t="shared" ref="D291:E291" si="289">LN(B291/B292)</f>
        <v>-1.8809387556550719E-2</v>
      </c>
      <c r="E291" s="435">
        <f t="shared" si="289"/>
        <v>5.7262230762038431E-4</v>
      </c>
      <c r="F291" s="221"/>
      <c r="G291" s="222"/>
      <c r="H291" s="222"/>
      <c r="I291" s="6"/>
      <c r="J291" s="6"/>
      <c r="K291" s="6"/>
      <c r="L291" s="6"/>
      <c r="M291" s="6"/>
      <c r="N291" s="6"/>
      <c r="O291" s="6"/>
      <c r="P291" s="6"/>
      <c r="Q291" s="6"/>
      <c r="R291" s="6"/>
      <c r="S291" s="6"/>
      <c r="T291" s="6"/>
      <c r="U291" s="6"/>
      <c r="V291" s="6"/>
      <c r="W291" s="6"/>
      <c r="X291" s="6"/>
      <c r="Y291" s="6"/>
      <c r="Z291" s="6"/>
    </row>
    <row r="292" spans="1:26">
      <c r="A292" s="440">
        <v>44118</v>
      </c>
      <c r="B292" s="433">
        <v>14798.54</v>
      </c>
      <c r="C292" s="433">
        <v>942.76</v>
      </c>
      <c r="D292" s="434">
        <f t="shared" ref="D292:E292" si="290">LN(B292/B293)</f>
        <v>-1.2345649267649049E-2</v>
      </c>
      <c r="E292" s="435">
        <f t="shared" si="290"/>
        <v>2.740397054183114E-3</v>
      </c>
      <c r="F292" s="221"/>
      <c r="G292" s="222"/>
      <c r="H292" s="222"/>
      <c r="I292" s="6"/>
      <c r="J292" s="6"/>
      <c r="K292" s="6"/>
      <c r="L292" s="6"/>
      <c r="M292" s="6"/>
      <c r="N292" s="6"/>
      <c r="O292" s="6"/>
      <c r="P292" s="6"/>
      <c r="Q292" s="6"/>
      <c r="R292" s="6"/>
      <c r="S292" s="6"/>
      <c r="T292" s="6"/>
      <c r="U292" s="6"/>
      <c r="V292" s="6"/>
      <c r="W292" s="6"/>
      <c r="X292" s="6"/>
      <c r="Y292" s="6"/>
      <c r="Z292" s="6"/>
    </row>
    <row r="293" spans="1:26">
      <c r="A293" s="440">
        <v>44117</v>
      </c>
      <c r="B293" s="433">
        <v>14982.37</v>
      </c>
      <c r="C293" s="433">
        <v>940.18</v>
      </c>
      <c r="D293" s="434">
        <f t="shared" ref="D293:E293" si="291">LN(B293/B294)</f>
        <v>0</v>
      </c>
      <c r="E293" s="435">
        <f t="shared" si="291"/>
        <v>1.1037309113038029E-2</v>
      </c>
      <c r="F293" s="221"/>
      <c r="G293" s="222"/>
      <c r="H293" s="222"/>
      <c r="I293" s="6"/>
      <c r="J293" s="6"/>
      <c r="K293" s="6"/>
      <c r="L293" s="6"/>
      <c r="M293" s="6"/>
      <c r="N293" s="6"/>
      <c r="O293" s="6"/>
      <c r="P293" s="6"/>
      <c r="Q293" s="6"/>
      <c r="R293" s="6"/>
      <c r="S293" s="6"/>
      <c r="T293" s="6"/>
      <c r="U293" s="6"/>
      <c r="V293" s="6"/>
      <c r="W293" s="6"/>
      <c r="X293" s="6"/>
      <c r="Y293" s="6"/>
      <c r="Z293" s="6"/>
    </row>
    <row r="294" spans="1:26">
      <c r="A294" s="440">
        <v>44116</v>
      </c>
      <c r="B294" s="433">
        <v>14982.37</v>
      </c>
      <c r="C294" s="433">
        <v>929.86</v>
      </c>
      <c r="D294" s="434">
        <f t="shared" ref="D294:E294" si="292">LN(B294/B295)</f>
        <v>-1.5220931499823113E-2</v>
      </c>
      <c r="E294" s="435">
        <f t="shared" si="292"/>
        <v>4.3434047018080131E-3</v>
      </c>
      <c r="F294" s="221"/>
      <c r="G294" s="222"/>
      <c r="H294" s="222"/>
      <c r="I294" s="6"/>
      <c r="J294" s="6"/>
      <c r="K294" s="6"/>
      <c r="L294" s="6"/>
      <c r="M294" s="6"/>
      <c r="N294" s="6"/>
      <c r="O294" s="6"/>
      <c r="P294" s="6"/>
      <c r="Q294" s="6"/>
      <c r="R294" s="6"/>
      <c r="S294" s="6"/>
      <c r="T294" s="6"/>
      <c r="U294" s="6"/>
      <c r="V294" s="6"/>
      <c r="W294" s="6"/>
      <c r="X294" s="6"/>
      <c r="Y294" s="6"/>
      <c r="Z294" s="6"/>
    </row>
    <row r="295" spans="1:26">
      <c r="A295" s="440">
        <v>44115</v>
      </c>
      <c r="B295" s="433">
        <v>15212.16</v>
      </c>
      <c r="C295" s="433">
        <v>925.83</v>
      </c>
      <c r="D295" s="434">
        <f t="shared" ref="D295:E295" si="293">LN(B295/B296)</f>
        <v>-1.2012627398704654E-2</v>
      </c>
      <c r="E295" s="435">
        <f t="shared" si="293"/>
        <v>1.9785608374739958E-3</v>
      </c>
      <c r="F295" s="221"/>
      <c r="G295" s="222"/>
      <c r="H295" s="222"/>
      <c r="I295" s="6"/>
      <c r="J295" s="6"/>
      <c r="K295" s="6"/>
      <c r="L295" s="6"/>
      <c r="M295" s="6"/>
      <c r="N295" s="6"/>
      <c r="O295" s="6"/>
      <c r="P295" s="6"/>
      <c r="Q295" s="6"/>
      <c r="R295" s="6"/>
      <c r="S295" s="6"/>
      <c r="T295" s="6"/>
      <c r="U295" s="6"/>
      <c r="V295" s="6"/>
      <c r="W295" s="6"/>
      <c r="X295" s="6"/>
      <c r="Y295" s="6"/>
      <c r="Z295" s="6"/>
    </row>
    <row r="296" spans="1:26">
      <c r="A296" s="432">
        <v>44112</v>
      </c>
      <c r="B296" s="433">
        <v>15396</v>
      </c>
      <c r="C296" s="433">
        <v>924</v>
      </c>
      <c r="D296" s="434">
        <f t="shared" ref="D296:E296" si="294">LN(B296/B297)</f>
        <v>5.9882759056790399E-3</v>
      </c>
      <c r="E296" s="435">
        <f t="shared" si="294"/>
        <v>5.6000667286517179E-3</v>
      </c>
      <c r="F296" s="221"/>
      <c r="G296" s="222"/>
      <c r="H296" s="222"/>
      <c r="I296" s="6"/>
      <c r="J296" s="6"/>
      <c r="K296" s="6"/>
      <c r="L296" s="6"/>
      <c r="M296" s="6"/>
      <c r="N296" s="6"/>
      <c r="O296" s="6"/>
      <c r="P296" s="6"/>
      <c r="Q296" s="6"/>
      <c r="R296" s="6"/>
      <c r="S296" s="6"/>
      <c r="T296" s="6"/>
      <c r="U296" s="6"/>
      <c r="V296" s="6"/>
      <c r="W296" s="6"/>
      <c r="X296" s="6"/>
      <c r="Y296" s="6"/>
      <c r="Z296" s="6"/>
    </row>
    <row r="297" spans="1:26">
      <c r="A297" s="432">
        <v>44111</v>
      </c>
      <c r="B297" s="433">
        <v>15304.08</v>
      </c>
      <c r="C297" s="433">
        <v>918.84</v>
      </c>
      <c r="D297" s="434">
        <f t="shared" ref="D297:E297" si="295">LN(B297/B298)</f>
        <v>-2.0803294828530963E-2</v>
      </c>
      <c r="E297" s="435">
        <f t="shared" si="295"/>
        <v>-9.5727098076784875E-4</v>
      </c>
      <c r="F297" s="221"/>
      <c r="G297" s="222"/>
      <c r="H297" s="222"/>
      <c r="I297" s="6"/>
      <c r="J297" s="6"/>
      <c r="K297" s="6"/>
      <c r="L297" s="6"/>
      <c r="M297" s="6"/>
      <c r="N297" s="6"/>
      <c r="O297" s="6"/>
      <c r="P297" s="6"/>
      <c r="Q297" s="6"/>
      <c r="R297" s="6"/>
      <c r="S297" s="6"/>
      <c r="T297" s="6"/>
      <c r="U297" s="6"/>
      <c r="V297" s="6"/>
      <c r="W297" s="6"/>
      <c r="X297" s="6"/>
      <c r="Y297" s="6"/>
      <c r="Z297" s="6"/>
    </row>
    <row r="298" spans="1:26">
      <c r="A298" s="432">
        <v>44110</v>
      </c>
      <c r="B298" s="433">
        <v>15625.79</v>
      </c>
      <c r="C298" s="433">
        <v>919.72</v>
      </c>
      <c r="D298" s="434">
        <f t="shared" ref="D298:E298" si="296">LN(B298/B299)</f>
        <v>-1.1695861167553933E-2</v>
      </c>
      <c r="E298" s="435">
        <f t="shared" si="296"/>
        <v>4.4132381383513173E-3</v>
      </c>
      <c r="F298" s="221"/>
      <c r="G298" s="222"/>
      <c r="H298" s="222"/>
      <c r="I298" s="6"/>
      <c r="J298" s="6"/>
      <c r="K298" s="6"/>
      <c r="L298" s="6"/>
      <c r="M298" s="6"/>
      <c r="N298" s="6"/>
      <c r="O298" s="6"/>
      <c r="P298" s="6"/>
      <c r="Q298" s="6"/>
      <c r="R298" s="6"/>
      <c r="S298" s="6"/>
      <c r="T298" s="6"/>
      <c r="U298" s="6"/>
      <c r="V298" s="6"/>
      <c r="W298" s="6"/>
      <c r="X298" s="6"/>
      <c r="Y298" s="6"/>
      <c r="Z298" s="6"/>
    </row>
    <row r="299" spans="1:26">
      <c r="A299" s="432">
        <v>44109</v>
      </c>
      <c r="B299" s="433">
        <v>15809.62</v>
      </c>
      <c r="C299" s="433">
        <v>915.67</v>
      </c>
      <c r="D299" s="434">
        <f t="shared" ref="D299:E299" si="297">LN(B299/B300)</f>
        <v>2.3530783553072469E-2</v>
      </c>
      <c r="E299" s="435">
        <f t="shared" si="297"/>
        <v>1.0817604245548903E-3</v>
      </c>
      <c r="F299" s="221"/>
      <c r="G299" s="222"/>
      <c r="H299" s="222"/>
      <c r="I299" s="6"/>
      <c r="J299" s="6"/>
      <c r="K299" s="6"/>
      <c r="L299" s="6"/>
      <c r="M299" s="6"/>
      <c r="N299" s="6"/>
      <c r="O299" s="6"/>
      <c r="P299" s="6"/>
      <c r="Q299" s="6"/>
      <c r="R299" s="6"/>
      <c r="S299" s="6"/>
      <c r="T299" s="6"/>
      <c r="U299" s="6"/>
      <c r="V299" s="6"/>
      <c r="W299" s="6"/>
      <c r="X299" s="6"/>
      <c r="Y299" s="6"/>
      <c r="Z299" s="6"/>
    </row>
    <row r="300" spans="1:26">
      <c r="A300" s="432">
        <v>44108</v>
      </c>
      <c r="B300" s="433">
        <v>15441.95</v>
      </c>
      <c r="C300" s="433">
        <v>914.68</v>
      </c>
      <c r="D300" s="434">
        <f t="shared" ref="D300:E300" si="298">LN(B300/B301)</f>
        <v>6.1368692260061114E-2</v>
      </c>
      <c r="E300" s="435">
        <f t="shared" si="298"/>
        <v>5.2285838099357159E-3</v>
      </c>
      <c r="F300" s="221"/>
      <c r="G300" s="222"/>
      <c r="H300" s="222"/>
      <c r="I300" s="6"/>
      <c r="J300" s="6"/>
      <c r="K300" s="6"/>
      <c r="L300" s="6"/>
      <c r="M300" s="6"/>
      <c r="N300" s="6"/>
      <c r="O300" s="6"/>
      <c r="P300" s="6"/>
      <c r="Q300" s="6"/>
      <c r="R300" s="6"/>
      <c r="S300" s="6"/>
      <c r="T300" s="6"/>
      <c r="U300" s="6"/>
      <c r="V300" s="6"/>
      <c r="W300" s="6"/>
      <c r="X300" s="6"/>
      <c r="Y300" s="6"/>
      <c r="Z300" s="6"/>
    </row>
    <row r="301" spans="1:26">
      <c r="A301" s="432">
        <v>44105</v>
      </c>
      <c r="B301" s="433">
        <v>14522.79</v>
      </c>
      <c r="C301" s="433">
        <v>909.91</v>
      </c>
      <c r="D301" s="434">
        <f t="shared" ref="D301:E301" si="299">LN(B301/B302)</f>
        <v>-6.3094160401320782E-3</v>
      </c>
      <c r="E301" s="435">
        <f t="shared" si="299"/>
        <v>-4.5833413568444527E-3</v>
      </c>
      <c r="F301" s="221"/>
      <c r="G301" s="222"/>
      <c r="H301" s="222"/>
      <c r="I301" s="6"/>
      <c r="J301" s="6"/>
      <c r="K301" s="6"/>
      <c r="L301" s="6"/>
      <c r="M301" s="6"/>
      <c r="N301" s="6"/>
      <c r="O301" s="6"/>
      <c r="P301" s="6"/>
      <c r="Q301" s="6"/>
      <c r="R301" s="6"/>
      <c r="S301" s="6"/>
      <c r="T301" s="6"/>
      <c r="U301" s="6"/>
      <c r="V301" s="6"/>
      <c r="W301" s="6"/>
      <c r="X301" s="6"/>
      <c r="Y301" s="6"/>
      <c r="Z301" s="6"/>
    </row>
    <row r="302" spans="1:26">
      <c r="A302" s="432">
        <v>44104</v>
      </c>
      <c r="B302" s="433">
        <v>14614.71</v>
      </c>
      <c r="C302" s="433">
        <v>914.09</v>
      </c>
      <c r="D302" s="434">
        <f t="shared" ref="D302:E302" si="300">LN(B302/B303)</f>
        <v>0</v>
      </c>
      <c r="E302" s="435">
        <f t="shared" si="300"/>
        <v>9.7620738970726761E-3</v>
      </c>
      <c r="F302" s="221"/>
      <c r="G302" s="222"/>
      <c r="H302" s="222"/>
      <c r="I302" s="6"/>
      <c r="J302" s="6"/>
      <c r="K302" s="6"/>
      <c r="L302" s="6"/>
      <c r="M302" s="6"/>
      <c r="N302" s="6"/>
      <c r="O302" s="6"/>
      <c r="P302" s="6"/>
      <c r="Q302" s="6"/>
      <c r="R302" s="6"/>
      <c r="S302" s="6"/>
      <c r="T302" s="6"/>
      <c r="U302" s="6"/>
      <c r="V302" s="6"/>
      <c r="W302" s="6"/>
      <c r="X302" s="6"/>
      <c r="Y302" s="6"/>
      <c r="Z302" s="6"/>
    </row>
    <row r="303" spans="1:26">
      <c r="A303" s="432">
        <v>44103</v>
      </c>
      <c r="B303" s="433">
        <v>14614.71</v>
      </c>
      <c r="C303" s="433">
        <v>905.21</v>
      </c>
      <c r="D303" s="434">
        <f t="shared" ref="D303:E303" si="301">LN(B303/B304)</f>
        <v>-3.0962087921094016E-2</v>
      </c>
      <c r="E303" s="435">
        <f t="shared" si="301"/>
        <v>1.3597247270958413E-3</v>
      </c>
      <c r="F303" s="221"/>
      <c r="G303" s="222"/>
      <c r="H303" s="222"/>
      <c r="I303" s="6"/>
      <c r="J303" s="6"/>
      <c r="K303" s="6"/>
      <c r="L303" s="6"/>
      <c r="M303" s="6"/>
      <c r="N303" s="6"/>
      <c r="O303" s="6"/>
      <c r="P303" s="6"/>
      <c r="Q303" s="6"/>
      <c r="R303" s="6"/>
      <c r="S303" s="6"/>
      <c r="T303" s="6"/>
      <c r="U303" s="6"/>
      <c r="V303" s="6"/>
      <c r="W303" s="6"/>
      <c r="X303" s="6"/>
      <c r="Y303" s="6"/>
      <c r="Z303" s="6"/>
    </row>
    <row r="304" spans="1:26">
      <c r="A304" s="432">
        <v>44102</v>
      </c>
      <c r="B304" s="433">
        <v>15074.29</v>
      </c>
      <c r="C304" s="433">
        <v>903.98</v>
      </c>
      <c r="D304" s="434">
        <f t="shared" ref="D304:E304" si="302">LN(B304/B305)</f>
        <v>1.226990422434205E-2</v>
      </c>
      <c r="E304" s="435">
        <f t="shared" si="302"/>
        <v>-9.3808492030122755E-3</v>
      </c>
      <c r="F304" s="221"/>
      <c r="G304" s="222"/>
      <c r="H304" s="222"/>
      <c r="I304" s="6"/>
      <c r="J304" s="6"/>
      <c r="K304" s="6"/>
      <c r="L304" s="6"/>
      <c r="M304" s="6"/>
      <c r="N304" s="6"/>
      <c r="O304" s="6"/>
      <c r="P304" s="6"/>
      <c r="Q304" s="6"/>
      <c r="R304" s="6"/>
      <c r="S304" s="6"/>
      <c r="T304" s="6"/>
      <c r="U304" s="6"/>
      <c r="V304" s="6"/>
      <c r="W304" s="6"/>
      <c r="X304" s="6"/>
      <c r="Y304" s="6"/>
      <c r="Z304" s="6"/>
    </row>
    <row r="305" spans="1:26">
      <c r="A305" s="432">
        <v>44101</v>
      </c>
      <c r="B305" s="433">
        <v>14890.46</v>
      </c>
      <c r="C305" s="433">
        <v>912.5</v>
      </c>
      <c r="D305" s="434">
        <f t="shared" ref="D305:E305" si="303">LN(B305/B306)</f>
        <v>0</v>
      </c>
      <c r="E305" s="435">
        <f t="shared" si="303"/>
        <v>4.6463942289388426E-3</v>
      </c>
      <c r="F305" s="221"/>
      <c r="G305" s="222"/>
      <c r="H305" s="222"/>
      <c r="I305" s="6"/>
      <c r="J305" s="6"/>
      <c r="K305" s="6"/>
      <c r="L305" s="6"/>
      <c r="M305" s="6"/>
      <c r="N305" s="6"/>
      <c r="O305" s="6"/>
      <c r="P305" s="6"/>
      <c r="Q305" s="6"/>
      <c r="R305" s="6"/>
      <c r="S305" s="6"/>
      <c r="T305" s="6"/>
      <c r="U305" s="6"/>
      <c r="V305" s="6"/>
      <c r="W305" s="6"/>
      <c r="X305" s="6"/>
      <c r="Y305" s="6"/>
      <c r="Z305" s="6"/>
    </row>
    <row r="306" spans="1:26">
      <c r="A306" s="432">
        <v>44098</v>
      </c>
      <c r="B306" s="433">
        <v>14890.46</v>
      </c>
      <c r="C306" s="433">
        <v>908.27</v>
      </c>
      <c r="D306" s="434">
        <f t="shared" ref="D306:E306" si="304">LN(B306/B307)</f>
        <v>-6.1534370873158207E-3</v>
      </c>
      <c r="E306" s="435">
        <f t="shared" si="304"/>
        <v>-3.4124996891146171E-4</v>
      </c>
      <c r="F306" s="221"/>
      <c r="G306" s="222"/>
      <c r="H306" s="222"/>
      <c r="I306" s="6"/>
      <c r="J306" s="6"/>
      <c r="K306" s="6"/>
      <c r="L306" s="6"/>
      <c r="M306" s="6"/>
      <c r="N306" s="6"/>
      <c r="O306" s="6"/>
      <c r="P306" s="6"/>
      <c r="Q306" s="6"/>
      <c r="R306" s="6"/>
      <c r="S306" s="6"/>
      <c r="T306" s="6"/>
      <c r="U306" s="6"/>
      <c r="V306" s="6"/>
      <c r="W306" s="6"/>
      <c r="X306" s="6"/>
      <c r="Y306" s="6"/>
      <c r="Z306" s="6"/>
    </row>
    <row r="307" spans="1:26">
      <c r="A307" s="432">
        <v>44097</v>
      </c>
      <c r="B307" s="433">
        <v>14982.37</v>
      </c>
      <c r="C307" s="433">
        <v>908.58</v>
      </c>
      <c r="D307" s="434">
        <f t="shared" ref="D307:E307" si="305">LN(B307/B308)</f>
        <v>0</v>
      </c>
      <c r="E307" s="435">
        <f t="shared" si="305"/>
        <v>-4.3051442600274348E-3</v>
      </c>
      <c r="F307" s="221"/>
      <c r="G307" s="222"/>
      <c r="H307" s="222"/>
      <c r="I307" s="6"/>
      <c r="J307" s="6"/>
      <c r="K307" s="6"/>
      <c r="L307" s="6"/>
      <c r="M307" s="6"/>
      <c r="N307" s="6"/>
      <c r="O307" s="6"/>
      <c r="P307" s="6"/>
      <c r="Q307" s="6"/>
      <c r="R307" s="6"/>
      <c r="S307" s="6"/>
      <c r="T307" s="6"/>
      <c r="U307" s="6"/>
      <c r="V307" s="6"/>
      <c r="W307" s="6"/>
      <c r="X307" s="6"/>
      <c r="Y307" s="6"/>
      <c r="Z307" s="6"/>
    </row>
    <row r="308" spans="1:26">
      <c r="A308" s="432">
        <v>44096</v>
      </c>
      <c r="B308" s="433">
        <v>14982.37</v>
      </c>
      <c r="C308" s="433">
        <v>912.5</v>
      </c>
      <c r="D308" s="434">
        <f t="shared" ref="D308:E308" si="306">LN(B308/B309)</f>
        <v>-1.2195750422401369E-2</v>
      </c>
      <c r="E308" s="435">
        <f t="shared" si="306"/>
        <v>6.9390883760870594E-3</v>
      </c>
      <c r="F308" s="221"/>
      <c r="G308" s="222"/>
      <c r="H308" s="222"/>
      <c r="I308" s="6"/>
      <c r="J308" s="6"/>
      <c r="K308" s="6"/>
      <c r="L308" s="6"/>
      <c r="M308" s="6"/>
      <c r="N308" s="6"/>
      <c r="O308" s="6"/>
      <c r="P308" s="6"/>
      <c r="Q308" s="6"/>
      <c r="R308" s="6"/>
      <c r="S308" s="6"/>
      <c r="T308" s="6"/>
      <c r="U308" s="6"/>
      <c r="V308" s="6"/>
      <c r="W308" s="6"/>
      <c r="X308" s="6"/>
      <c r="Y308" s="6"/>
      <c r="Z308" s="6"/>
    </row>
    <row r="309" spans="1:26">
      <c r="A309" s="432">
        <v>44095</v>
      </c>
      <c r="B309" s="433">
        <v>15166.21</v>
      </c>
      <c r="C309" s="433">
        <v>906.19</v>
      </c>
      <c r="D309" s="434">
        <f t="shared" ref="D309:E309" si="307">LN(B309/B310)</f>
        <v>-1.8017905013459828E-2</v>
      </c>
      <c r="E309" s="435">
        <f t="shared" si="307"/>
        <v>-1.9293000422467594E-3</v>
      </c>
      <c r="F309" s="221"/>
      <c r="G309" s="222"/>
      <c r="H309" s="222"/>
      <c r="I309" s="6"/>
      <c r="J309" s="6"/>
      <c r="K309" s="6"/>
      <c r="L309" s="6"/>
      <c r="M309" s="6"/>
      <c r="N309" s="6"/>
      <c r="O309" s="6"/>
      <c r="P309" s="6"/>
      <c r="Q309" s="6"/>
      <c r="R309" s="6"/>
      <c r="S309" s="6"/>
      <c r="T309" s="6"/>
      <c r="U309" s="6"/>
      <c r="V309" s="6"/>
      <c r="W309" s="6"/>
      <c r="X309" s="6"/>
      <c r="Y309" s="6"/>
      <c r="Z309" s="6"/>
    </row>
    <row r="310" spans="1:26">
      <c r="A310" s="432">
        <v>44094</v>
      </c>
      <c r="B310" s="433">
        <v>15441.95</v>
      </c>
      <c r="C310" s="433">
        <v>907.94</v>
      </c>
      <c r="D310" s="434">
        <f t="shared" ref="D310:E310" si="308">LN(B310/B311)</f>
        <v>-8.8892969993353971E-3</v>
      </c>
      <c r="E310" s="435">
        <f t="shared" si="308"/>
        <v>7.7285349499830475E-3</v>
      </c>
      <c r="F310" s="221"/>
      <c r="G310" s="222"/>
      <c r="H310" s="222"/>
      <c r="I310" s="6"/>
      <c r="J310" s="6"/>
      <c r="K310" s="6"/>
      <c r="L310" s="6"/>
      <c r="M310" s="6"/>
      <c r="N310" s="6"/>
      <c r="O310" s="6"/>
      <c r="P310" s="6"/>
      <c r="Q310" s="6"/>
      <c r="R310" s="6"/>
      <c r="S310" s="6"/>
      <c r="T310" s="6"/>
      <c r="U310" s="6"/>
      <c r="V310" s="6"/>
      <c r="W310" s="6"/>
      <c r="X310" s="6"/>
      <c r="Y310" s="6"/>
      <c r="Z310" s="6"/>
    </row>
    <row r="311" spans="1:26">
      <c r="A311" s="432">
        <v>44091</v>
      </c>
      <c r="B311" s="433">
        <v>15579.83</v>
      </c>
      <c r="C311" s="433">
        <v>900.95</v>
      </c>
      <c r="D311" s="434">
        <f t="shared" ref="D311:E311" si="309">LN(B311/B312)</f>
        <v>6.6174150594061801E-2</v>
      </c>
      <c r="E311" s="435">
        <f t="shared" si="309"/>
        <v>7.6992452709288683E-3</v>
      </c>
      <c r="F311" s="221"/>
      <c r="G311" s="222"/>
      <c r="H311" s="222"/>
      <c r="I311" s="6"/>
      <c r="J311" s="6"/>
      <c r="K311" s="6"/>
      <c r="L311" s="6"/>
      <c r="M311" s="6"/>
      <c r="N311" s="6"/>
      <c r="O311" s="6"/>
      <c r="P311" s="6"/>
      <c r="Q311" s="6"/>
      <c r="R311" s="6"/>
      <c r="S311" s="6"/>
      <c r="T311" s="6"/>
      <c r="U311" s="6"/>
      <c r="V311" s="6"/>
      <c r="W311" s="6"/>
      <c r="X311" s="6"/>
      <c r="Y311" s="6"/>
      <c r="Z311" s="6"/>
    </row>
    <row r="312" spans="1:26">
      <c r="A312" s="432">
        <v>44090</v>
      </c>
      <c r="B312" s="433">
        <v>14582.22</v>
      </c>
      <c r="C312" s="433">
        <v>894.04</v>
      </c>
      <c r="D312" s="434">
        <f t="shared" ref="D312:E312" si="310">LN(B312/B313)</f>
        <v>-5.3620091510063273E-3</v>
      </c>
      <c r="E312" s="435">
        <f t="shared" si="310"/>
        <v>-3.829176718028059E-3</v>
      </c>
      <c r="F312" s="221"/>
      <c r="G312" s="222"/>
      <c r="H312" s="222"/>
      <c r="I312" s="6"/>
      <c r="J312" s="6"/>
      <c r="K312" s="6"/>
      <c r="L312" s="6"/>
      <c r="M312" s="6"/>
      <c r="N312" s="6"/>
      <c r="O312" s="6"/>
      <c r="P312" s="6"/>
      <c r="Q312" s="6"/>
      <c r="R312" s="6"/>
      <c r="S312" s="6"/>
      <c r="T312" s="6"/>
      <c r="U312" s="6"/>
      <c r="V312" s="6"/>
      <c r="W312" s="6"/>
      <c r="X312" s="6"/>
      <c r="Y312" s="6"/>
      <c r="Z312" s="6"/>
    </row>
    <row r="313" spans="1:26">
      <c r="A313" s="432">
        <v>44089</v>
      </c>
      <c r="B313" s="433">
        <v>14660.62</v>
      </c>
      <c r="C313" s="433">
        <v>897.47</v>
      </c>
      <c r="D313" s="434">
        <f t="shared" ref="D313:E313" si="311">LN(B313/B314)</f>
        <v>-1.5915649165708132E-2</v>
      </c>
      <c r="E313" s="435">
        <f t="shared" si="311"/>
        <v>1.3491441672222292E-3</v>
      </c>
      <c r="F313" s="221"/>
      <c r="G313" s="222"/>
      <c r="H313" s="222"/>
      <c r="I313" s="6"/>
      <c r="J313" s="6"/>
      <c r="K313" s="6"/>
      <c r="L313" s="6"/>
      <c r="M313" s="6"/>
      <c r="N313" s="6"/>
      <c r="O313" s="6"/>
      <c r="P313" s="6"/>
      <c r="Q313" s="6"/>
      <c r="R313" s="6"/>
      <c r="S313" s="6"/>
      <c r="T313" s="6"/>
      <c r="U313" s="6"/>
      <c r="V313" s="6"/>
      <c r="W313" s="6"/>
      <c r="X313" s="6"/>
      <c r="Y313" s="6"/>
      <c r="Z313" s="6"/>
    </row>
    <row r="314" spans="1:26">
      <c r="A314" s="432">
        <v>44088</v>
      </c>
      <c r="B314" s="433">
        <v>14895.82</v>
      </c>
      <c r="C314" s="433">
        <v>896.26</v>
      </c>
      <c r="D314" s="434">
        <f t="shared" ref="D314:E314" si="312">LN(B314/B315)</f>
        <v>-2.340837047469076E-2</v>
      </c>
      <c r="E314" s="435">
        <f t="shared" si="312"/>
        <v>1.8873935568245821E-3</v>
      </c>
      <c r="F314" s="221"/>
      <c r="G314" s="222"/>
      <c r="H314" s="222"/>
      <c r="I314" s="6"/>
      <c r="J314" s="6"/>
      <c r="K314" s="6"/>
      <c r="L314" s="6"/>
      <c r="M314" s="6"/>
      <c r="N314" s="6"/>
      <c r="O314" s="6"/>
      <c r="P314" s="6"/>
      <c r="Q314" s="6"/>
      <c r="R314" s="6"/>
      <c r="S314" s="6"/>
      <c r="T314" s="6"/>
      <c r="U314" s="6"/>
      <c r="V314" s="6"/>
      <c r="W314" s="6"/>
      <c r="X314" s="6"/>
      <c r="Y314" s="6"/>
      <c r="Z314" s="6"/>
    </row>
    <row r="315" spans="1:26">
      <c r="A315" s="432">
        <v>44087</v>
      </c>
      <c r="B315" s="433">
        <v>15248.62</v>
      </c>
      <c r="C315" s="433">
        <v>894.57</v>
      </c>
      <c r="D315" s="434">
        <f t="shared" ref="D315:E315" si="313">LN(B315/B316)</f>
        <v>6.6425585881766794E-2</v>
      </c>
      <c r="E315" s="435">
        <f t="shared" si="313"/>
        <v>6.2796667331501427E-3</v>
      </c>
      <c r="F315" s="221"/>
      <c r="G315" s="222"/>
      <c r="H315" s="222"/>
      <c r="I315" s="6"/>
      <c r="J315" s="6"/>
      <c r="K315" s="6"/>
      <c r="L315" s="6"/>
      <c r="M315" s="6"/>
      <c r="N315" s="6"/>
      <c r="O315" s="6"/>
      <c r="P315" s="6"/>
      <c r="Q315" s="6"/>
      <c r="R315" s="6"/>
      <c r="S315" s="6"/>
      <c r="T315" s="6"/>
      <c r="U315" s="6"/>
      <c r="V315" s="6"/>
      <c r="W315" s="6"/>
      <c r="X315" s="6"/>
      <c r="Y315" s="6"/>
      <c r="Z315" s="6"/>
    </row>
    <row r="316" spans="1:26">
      <c r="A316" s="432">
        <v>44084</v>
      </c>
      <c r="B316" s="433">
        <v>14268.63</v>
      </c>
      <c r="C316" s="433">
        <v>888.97</v>
      </c>
      <c r="D316" s="434">
        <f t="shared" ref="D316:E316" si="314">LN(B316/B317)</f>
        <v>6.5271445844807666E-2</v>
      </c>
      <c r="E316" s="435">
        <f t="shared" si="314"/>
        <v>1.6874884025224797E-4</v>
      </c>
      <c r="F316" s="221"/>
      <c r="G316" s="222"/>
      <c r="H316" s="222"/>
      <c r="I316" s="6"/>
      <c r="J316" s="6"/>
      <c r="K316" s="6"/>
      <c r="L316" s="6"/>
      <c r="M316" s="6"/>
      <c r="N316" s="6"/>
      <c r="O316" s="6"/>
      <c r="P316" s="6"/>
      <c r="Q316" s="6"/>
      <c r="R316" s="6"/>
      <c r="S316" s="6"/>
      <c r="T316" s="6"/>
      <c r="U316" s="6"/>
      <c r="V316" s="6"/>
      <c r="W316" s="6"/>
      <c r="X316" s="6"/>
      <c r="Y316" s="6"/>
      <c r="Z316" s="6"/>
    </row>
    <row r="317" spans="1:26">
      <c r="A317" s="432">
        <v>44083</v>
      </c>
      <c r="B317" s="433">
        <v>13367.04</v>
      </c>
      <c r="C317" s="433">
        <v>888.82</v>
      </c>
      <c r="D317" s="434">
        <f t="shared" ref="D317:E317" si="315">LN(B317/B318)</f>
        <v>2.6747832847997935E-2</v>
      </c>
      <c r="E317" s="435">
        <f t="shared" si="315"/>
        <v>-5.6238542879443853E-4</v>
      </c>
      <c r="F317" s="221"/>
      <c r="G317" s="222"/>
      <c r="H317" s="222"/>
      <c r="I317" s="6"/>
      <c r="J317" s="6"/>
      <c r="K317" s="6"/>
      <c r="L317" s="6"/>
      <c r="M317" s="6"/>
      <c r="N317" s="6"/>
      <c r="O317" s="6"/>
      <c r="P317" s="6"/>
      <c r="Q317" s="6"/>
      <c r="R317" s="6"/>
      <c r="S317" s="6"/>
      <c r="T317" s="6"/>
      <c r="U317" s="6"/>
      <c r="V317" s="6"/>
      <c r="W317" s="6"/>
      <c r="X317" s="6"/>
      <c r="Y317" s="6"/>
      <c r="Z317" s="6"/>
    </row>
    <row r="318" spans="1:26">
      <c r="A318" s="432">
        <v>44082</v>
      </c>
      <c r="B318" s="433">
        <v>13014.24</v>
      </c>
      <c r="C318" s="433">
        <v>889.32</v>
      </c>
      <c r="D318" s="434">
        <f t="shared" ref="D318:E318" si="316">LN(B318/B319)</f>
        <v>-2.0865392326990927E-2</v>
      </c>
      <c r="E318" s="435">
        <f t="shared" si="316"/>
        <v>-9.2162797482625233E-4</v>
      </c>
      <c r="F318" s="221"/>
      <c r="G318" s="222"/>
      <c r="H318" s="222"/>
      <c r="I318" s="6"/>
      <c r="J318" s="6"/>
      <c r="K318" s="6"/>
      <c r="L318" s="6"/>
      <c r="M318" s="6"/>
      <c r="N318" s="6"/>
      <c r="O318" s="6"/>
      <c r="P318" s="6"/>
      <c r="Q318" s="6"/>
      <c r="R318" s="6"/>
      <c r="S318" s="6"/>
      <c r="T318" s="6"/>
      <c r="U318" s="6"/>
      <c r="V318" s="6"/>
      <c r="W318" s="6"/>
      <c r="X318" s="6"/>
      <c r="Y318" s="6"/>
      <c r="Z318" s="6"/>
    </row>
    <row r="319" spans="1:26">
      <c r="A319" s="432">
        <v>44081</v>
      </c>
      <c r="B319" s="433">
        <v>13288.64</v>
      </c>
      <c r="C319" s="433">
        <v>890.14</v>
      </c>
      <c r="D319" s="434">
        <f t="shared" ref="D319:E319" si="317">LN(B319/B320)</f>
        <v>5.9172484842292339E-3</v>
      </c>
      <c r="E319" s="435">
        <f t="shared" si="317"/>
        <v>2.1255188249576398E-3</v>
      </c>
      <c r="F319" s="221"/>
      <c r="G319" s="222"/>
      <c r="H319" s="222"/>
      <c r="I319" s="6"/>
      <c r="J319" s="6"/>
      <c r="K319" s="6"/>
      <c r="L319" s="6"/>
      <c r="M319" s="6"/>
      <c r="N319" s="6"/>
      <c r="O319" s="6"/>
      <c r="P319" s="6"/>
      <c r="Q319" s="6"/>
      <c r="R319" s="6"/>
      <c r="S319" s="6"/>
      <c r="T319" s="6"/>
      <c r="U319" s="6"/>
      <c r="V319" s="6"/>
      <c r="W319" s="6"/>
      <c r="X319" s="6"/>
      <c r="Y319" s="6"/>
      <c r="Z319" s="6"/>
    </row>
    <row r="320" spans="1:26">
      <c r="A320" s="432">
        <v>44080</v>
      </c>
      <c r="B320" s="433">
        <v>13210.24</v>
      </c>
      <c r="C320" s="433">
        <v>888.25</v>
      </c>
      <c r="D320" s="434">
        <f t="shared" ref="D320:E320" si="318">LN(B320/B321)</f>
        <v>0</v>
      </c>
      <c r="E320" s="435">
        <f t="shared" si="318"/>
        <v>-1.4851177251515989E-2</v>
      </c>
      <c r="F320" s="221"/>
      <c r="G320" s="222"/>
      <c r="H320" s="222"/>
      <c r="I320" s="6"/>
      <c r="J320" s="6"/>
      <c r="K320" s="6"/>
      <c r="L320" s="6"/>
      <c r="M320" s="6"/>
      <c r="N320" s="6"/>
      <c r="O320" s="6"/>
      <c r="P320" s="6"/>
      <c r="Q320" s="6"/>
      <c r="R320" s="6"/>
      <c r="S320" s="6"/>
      <c r="T320" s="6"/>
      <c r="U320" s="6"/>
      <c r="V320" s="6"/>
      <c r="W320" s="6"/>
      <c r="X320" s="6"/>
      <c r="Y320" s="6"/>
      <c r="Z320" s="6"/>
    </row>
    <row r="321" spans="1:26">
      <c r="A321" s="432">
        <v>44077</v>
      </c>
      <c r="B321" s="433">
        <v>13210.24</v>
      </c>
      <c r="C321" s="433">
        <v>901.54</v>
      </c>
      <c r="D321" s="434">
        <f t="shared" ref="D321:E321" si="319">LN(B321/B322)</f>
        <v>-5.9172484842292027E-3</v>
      </c>
      <c r="E321" s="435">
        <f t="shared" si="319"/>
        <v>-2.6917618481539268E-3</v>
      </c>
      <c r="F321" s="221"/>
      <c r="G321" s="222"/>
      <c r="H321" s="222"/>
      <c r="I321" s="6"/>
      <c r="J321" s="6"/>
      <c r="K321" s="6"/>
      <c r="L321" s="6"/>
      <c r="M321" s="6"/>
      <c r="N321" s="6"/>
      <c r="O321" s="6"/>
      <c r="P321" s="6"/>
      <c r="Q321" s="6"/>
      <c r="R321" s="6"/>
      <c r="S321" s="6"/>
      <c r="T321" s="6"/>
      <c r="U321" s="6"/>
      <c r="V321" s="6"/>
      <c r="W321" s="6"/>
      <c r="X321" s="6"/>
      <c r="Y321" s="6"/>
      <c r="Z321" s="6"/>
    </row>
    <row r="322" spans="1:26">
      <c r="A322" s="432">
        <v>44076</v>
      </c>
      <c r="B322" s="433">
        <v>13288.64</v>
      </c>
      <c r="C322" s="433">
        <v>903.97</v>
      </c>
      <c r="D322" s="434">
        <f t="shared" ref="D322:E322" si="320">LN(B322/B323)</f>
        <v>-1.1730480197833005E-2</v>
      </c>
      <c r="E322" s="435">
        <f t="shared" si="320"/>
        <v>1.3632777823797477E-2</v>
      </c>
      <c r="F322" s="221"/>
      <c r="G322" s="222"/>
      <c r="H322" s="222"/>
      <c r="I322" s="6"/>
      <c r="J322" s="6"/>
      <c r="K322" s="6"/>
      <c r="L322" s="6"/>
      <c r="M322" s="6"/>
      <c r="N322" s="6"/>
      <c r="O322" s="6"/>
      <c r="P322" s="6"/>
      <c r="Q322" s="6"/>
      <c r="R322" s="6"/>
      <c r="S322" s="6"/>
      <c r="T322" s="6"/>
      <c r="U322" s="6"/>
      <c r="V322" s="6"/>
      <c r="W322" s="6"/>
      <c r="X322" s="6"/>
      <c r="Y322" s="6"/>
      <c r="Z322" s="6"/>
    </row>
    <row r="323" spans="1:26">
      <c r="A323" s="432">
        <v>44074</v>
      </c>
      <c r="B323" s="433">
        <v>13445.44</v>
      </c>
      <c r="C323" s="433">
        <v>891.73</v>
      </c>
      <c r="D323" s="434">
        <f t="shared" ref="D323:E323" si="321">LN(B323/B324)</f>
        <v>0</v>
      </c>
      <c r="E323" s="435">
        <f t="shared" si="321"/>
        <v>1.1368244323076405E-2</v>
      </c>
      <c r="F323" s="221"/>
      <c r="G323" s="222"/>
      <c r="H323" s="222"/>
      <c r="I323" s="6"/>
      <c r="J323" s="6"/>
      <c r="K323" s="6"/>
      <c r="L323" s="6"/>
      <c r="M323" s="6"/>
      <c r="N323" s="6"/>
      <c r="O323" s="6"/>
      <c r="P323" s="6"/>
      <c r="Q323" s="6"/>
      <c r="R323" s="6"/>
      <c r="S323" s="6"/>
      <c r="T323" s="6"/>
      <c r="U323" s="6"/>
      <c r="V323" s="6"/>
      <c r="W323" s="6"/>
      <c r="X323" s="6"/>
      <c r="Y323" s="6"/>
      <c r="Z323" s="6"/>
    </row>
    <row r="324" spans="1:26">
      <c r="A324" s="432">
        <v>44073</v>
      </c>
      <c r="B324" s="433">
        <v>13445.44</v>
      </c>
      <c r="C324" s="433">
        <v>881.65</v>
      </c>
      <c r="D324" s="434">
        <f t="shared" ref="D324:E324" si="322">LN(B324/B325)</f>
        <v>0</v>
      </c>
      <c r="E324" s="435">
        <f t="shared" si="322"/>
        <v>3.0330075561669596E-3</v>
      </c>
      <c r="F324" s="221"/>
      <c r="G324" s="222"/>
      <c r="H324" s="222"/>
      <c r="I324" s="6"/>
      <c r="J324" s="6"/>
      <c r="K324" s="6"/>
      <c r="L324" s="6"/>
      <c r="M324" s="6"/>
      <c r="N324" s="6"/>
      <c r="O324" s="6"/>
      <c r="P324" s="6"/>
      <c r="Q324" s="6"/>
      <c r="R324" s="6"/>
      <c r="S324" s="6"/>
      <c r="T324" s="6"/>
      <c r="U324" s="6"/>
      <c r="V324" s="6"/>
      <c r="W324" s="6"/>
      <c r="X324" s="6"/>
      <c r="Y324" s="6"/>
      <c r="Z324" s="6"/>
    </row>
    <row r="325" spans="1:26">
      <c r="A325" s="432">
        <v>44070</v>
      </c>
      <c r="B325" s="433">
        <v>13445.44</v>
      </c>
      <c r="C325" s="433">
        <v>878.98</v>
      </c>
      <c r="D325" s="434">
        <f t="shared" ref="D325:E325" si="323">LN(B325/B326)</f>
        <v>0</v>
      </c>
      <c r="E325" s="435">
        <f t="shared" si="323"/>
        <v>4.8697414461668625E-3</v>
      </c>
      <c r="F325" s="221"/>
      <c r="G325" s="222"/>
      <c r="H325" s="222"/>
      <c r="I325" s="6"/>
      <c r="J325" s="6"/>
      <c r="K325" s="6"/>
      <c r="L325" s="6"/>
      <c r="M325" s="6"/>
      <c r="N325" s="6"/>
      <c r="O325" s="6"/>
      <c r="P325" s="6"/>
      <c r="Q325" s="6"/>
      <c r="R325" s="6"/>
      <c r="S325" s="6"/>
      <c r="T325" s="6"/>
      <c r="U325" s="6"/>
      <c r="V325" s="6"/>
      <c r="W325" s="6"/>
      <c r="X325" s="6"/>
      <c r="Y325" s="6"/>
      <c r="Z325" s="6"/>
    </row>
    <row r="326" spans="1:26">
      <c r="A326" s="432">
        <v>44069</v>
      </c>
      <c r="B326" s="433">
        <v>13445.44</v>
      </c>
      <c r="C326" s="433">
        <v>874.71</v>
      </c>
      <c r="D326" s="434">
        <f t="shared" ref="D326:E326" si="324">LN(B326/B327)</f>
        <v>0</v>
      </c>
      <c r="E326" s="435">
        <f t="shared" si="324"/>
        <v>1.418618458003321E-3</v>
      </c>
      <c r="F326" s="221"/>
      <c r="G326" s="222"/>
      <c r="H326" s="222"/>
      <c r="I326" s="6"/>
      <c r="J326" s="6"/>
      <c r="K326" s="6"/>
      <c r="L326" s="6"/>
      <c r="M326" s="6"/>
      <c r="N326" s="6"/>
      <c r="O326" s="6"/>
      <c r="P326" s="6"/>
      <c r="Q326" s="6"/>
      <c r="R326" s="6"/>
      <c r="S326" s="6"/>
      <c r="T326" s="6"/>
      <c r="U326" s="6"/>
      <c r="V326" s="6"/>
      <c r="W326" s="6"/>
      <c r="X326" s="6"/>
      <c r="Y326" s="6"/>
      <c r="Z326" s="6"/>
    </row>
    <row r="327" spans="1:26">
      <c r="A327" s="432">
        <v>44068</v>
      </c>
      <c r="B327" s="433">
        <v>13445.44</v>
      </c>
      <c r="C327" s="433">
        <v>873.47</v>
      </c>
      <c r="D327" s="434">
        <f t="shared" ref="D327:E327" si="325">LN(B327/B328)</f>
        <v>-8.7084310704952147E-3</v>
      </c>
      <c r="E327" s="435">
        <f t="shared" si="325"/>
        <v>-7.438816083562064E-4</v>
      </c>
      <c r="F327" s="221"/>
      <c r="G327" s="222"/>
      <c r="H327" s="222"/>
      <c r="I327" s="6"/>
      <c r="J327" s="6"/>
      <c r="K327" s="6"/>
      <c r="L327" s="6"/>
      <c r="M327" s="6"/>
      <c r="N327" s="6"/>
      <c r="O327" s="6"/>
      <c r="P327" s="6"/>
      <c r="Q327" s="6"/>
      <c r="R327" s="6"/>
      <c r="S327" s="6"/>
      <c r="T327" s="6"/>
      <c r="U327" s="6"/>
      <c r="V327" s="6"/>
      <c r="W327" s="6"/>
      <c r="X327" s="6"/>
      <c r="Y327" s="6"/>
      <c r="Z327" s="6"/>
    </row>
    <row r="328" spans="1:26">
      <c r="A328" s="432">
        <v>44067</v>
      </c>
      <c r="B328" s="433">
        <v>13563.04</v>
      </c>
      <c r="C328" s="433">
        <v>874.12</v>
      </c>
      <c r="D328" s="434">
        <f t="shared" ref="D328:E328" si="326">LN(B328/B329)</f>
        <v>5.7971862701733179E-3</v>
      </c>
      <c r="E328" s="435">
        <f t="shared" si="326"/>
        <v>6.2428479089012764E-3</v>
      </c>
      <c r="F328" s="221"/>
      <c r="G328" s="222"/>
      <c r="H328" s="222"/>
      <c r="I328" s="6"/>
      <c r="J328" s="6"/>
      <c r="K328" s="6"/>
      <c r="L328" s="6"/>
      <c r="M328" s="6"/>
      <c r="N328" s="6"/>
      <c r="O328" s="6"/>
      <c r="P328" s="6"/>
      <c r="Q328" s="6"/>
      <c r="R328" s="6"/>
      <c r="S328" s="6"/>
      <c r="T328" s="6"/>
      <c r="U328" s="6"/>
      <c r="V328" s="6"/>
      <c r="W328" s="6"/>
      <c r="X328" s="6"/>
      <c r="Y328" s="6"/>
      <c r="Z328" s="6"/>
    </row>
    <row r="329" spans="1:26">
      <c r="A329" s="432">
        <v>44066</v>
      </c>
      <c r="B329" s="433">
        <v>13484.64</v>
      </c>
      <c r="C329" s="433">
        <v>868.68</v>
      </c>
      <c r="D329" s="434">
        <f t="shared" ref="D329:E329" si="327">LN(B329/B330)</f>
        <v>2.9112448003217823E-3</v>
      </c>
      <c r="E329" s="435">
        <f t="shared" si="327"/>
        <v>1.6130692207693489E-2</v>
      </c>
      <c r="F329" s="221"/>
      <c r="G329" s="222"/>
      <c r="H329" s="222"/>
      <c r="I329" s="6"/>
      <c r="J329" s="6"/>
      <c r="K329" s="6"/>
      <c r="L329" s="6"/>
      <c r="M329" s="6"/>
      <c r="N329" s="6"/>
      <c r="O329" s="6"/>
      <c r="P329" s="6"/>
      <c r="Q329" s="6"/>
      <c r="R329" s="6"/>
      <c r="S329" s="6"/>
      <c r="T329" s="6"/>
      <c r="U329" s="6"/>
      <c r="V329" s="6"/>
      <c r="W329" s="6"/>
      <c r="X329" s="6"/>
      <c r="Y329" s="6"/>
      <c r="Z329" s="6"/>
    </row>
    <row r="330" spans="1:26">
      <c r="A330" s="432">
        <v>44063</v>
      </c>
      <c r="B330" s="433">
        <v>13445.44</v>
      </c>
      <c r="C330" s="433">
        <v>854.78</v>
      </c>
      <c r="D330" s="434">
        <f t="shared" ref="D330:E330" si="328">LN(B330/B331)</f>
        <v>2.0619535118292693E-2</v>
      </c>
      <c r="E330" s="435">
        <f t="shared" si="328"/>
        <v>7.7158792421170089E-3</v>
      </c>
      <c r="F330" s="221"/>
      <c r="G330" s="222"/>
      <c r="H330" s="222"/>
      <c r="I330" s="6"/>
      <c r="J330" s="6"/>
      <c r="K330" s="6"/>
      <c r="L330" s="6"/>
      <c r="M330" s="6"/>
      <c r="N330" s="6"/>
      <c r="O330" s="6"/>
      <c r="P330" s="6"/>
      <c r="Q330" s="6"/>
      <c r="R330" s="6"/>
      <c r="S330" s="6"/>
      <c r="T330" s="6"/>
      <c r="U330" s="6"/>
      <c r="V330" s="6"/>
      <c r="W330" s="6"/>
      <c r="X330" s="6"/>
      <c r="Y330" s="6"/>
      <c r="Z330" s="6"/>
    </row>
    <row r="331" spans="1:26">
      <c r="A331" s="432">
        <v>44062</v>
      </c>
      <c r="B331" s="433">
        <v>13171.04</v>
      </c>
      <c r="C331" s="433">
        <v>848.21</v>
      </c>
      <c r="D331" s="434">
        <f t="shared" ref="D331:E331" si="329">LN(B331/B332)</f>
        <v>-3.2214005074364012E-2</v>
      </c>
      <c r="E331" s="435">
        <f t="shared" si="329"/>
        <v>-3.5306199954322566E-3</v>
      </c>
      <c r="F331" s="221"/>
      <c r="G331" s="222"/>
      <c r="H331" s="222"/>
      <c r="I331" s="6"/>
      <c r="J331" s="6"/>
      <c r="K331" s="6"/>
      <c r="L331" s="6"/>
      <c r="M331" s="6"/>
      <c r="N331" s="6"/>
      <c r="O331" s="6"/>
      <c r="P331" s="6"/>
      <c r="Q331" s="6"/>
      <c r="R331" s="6"/>
      <c r="S331" s="6"/>
      <c r="T331" s="6"/>
      <c r="U331" s="6"/>
      <c r="V331" s="6"/>
      <c r="W331" s="6"/>
      <c r="X331" s="6"/>
      <c r="Y331" s="6"/>
      <c r="Z331" s="6"/>
    </row>
    <row r="332" spans="1:26">
      <c r="A332" s="432">
        <v>44061</v>
      </c>
      <c r="B332" s="433">
        <v>13602.24</v>
      </c>
      <c r="C332" s="433">
        <v>851.21</v>
      </c>
      <c r="D332" s="434">
        <f t="shared" ref="D332:E332" si="330">LN(B332/B333)</f>
        <v>0</v>
      </c>
      <c r="E332" s="435">
        <f t="shared" si="330"/>
        <v>5.6313619283646704E-3</v>
      </c>
      <c r="F332" s="221"/>
      <c r="G332" s="222"/>
      <c r="H332" s="222"/>
      <c r="I332" s="6"/>
      <c r="J332" s="6"/>
      <c r="K332" s="6"/>
      <c r="L332" s="6"/>
      <c r="M332" s="6"/>
      <c r="N332" s="6"/>
      <c r="O332" s="6"/>
      <c r="P332" s="6"/>
      <c r="Q332" s="6"/>
      <c r="R332" s="6"/>
      <c r="S332" s="6"/>
      <c r="T332" s="6"/>
      <c r="U332" s="6"/>
      <c r="V332" s="6"/>
      <c r="W332" s="6"/>
      <c r="X332" s="6"/>
      <c r="Y332" s="6"/>
      <c r="Z332" s="6"/>
    </row>
    <row r="333" spans="1:26">
      <c r="A333" s="432">
        <v>44060</v>
      </c>
      <c r="B333" s="433">
        <v>13602.24</v>
      </c>
      <c r="C333" s="433">
        <v>846.43</v>
      </c>
      <c r="D333" s="434">
        <f t="shared" ref="D333:E333" si="331">LN(B333/B334)</f>
        <v>2.886038885576171E-3</v>
      </c>
      <c r="E333" s="435">
        <f t="shared" si="331"/>
        <v>-4.3852997931874502E-3</v>
      </c>
      <c r="F333" s="221"/>
      <c r="G333" s="222"/>
      <c r="H333" s="222"/>
      <c r="I333" s="6"/>
      <c r="J333" s="6"/>
      <c r="K333" s="6"/>
      <c r="L333" s="6"/>
      <c r="M333" s="6"/>
      <c r="N333" s="6"/>
      <c r="O333" s="6"/>
      <c r="P333" s="6"/>
      <c r="Q333" s="6"/>
      <c r="R333" s="6"/>
      <c r="S333" s="6"/>
      <c r="T333" s="6"/>
      <c r="U333" s="6"/>
      <c r="V333" s="6"/>
      <c r="W333" s="6"/>
      <c r="X333" s="6"/>
      <c r="Y333" s="6"/>
      <c r="Z333" s="6"/>
    </row>
    <row r="334" spans="1:26">
      <c r="A334" s="432">
        <v>44059</v>
      </c>
      <c r="B334" s="433">
        <v>13563.04</v>
      </c>
      <c r="C334" s="433">
        <v>850.15</v>
      </c>
      <c r="D334" s="434">
        <f t="shared" ref="D334:E334" si="332">LN(B334/B335)</f>
        <v>-1.1494514245901123E-2</v>
      </c>
      <c r="E334" s="435">
        <f t="shared" si="332"/>
        <v>-6.9375447402684619E-4</v>
      </c>
      <c r="F334" s="221"/>
      <c r="G334" s="222"/>
      <c r="H334" s="222"/>
      <c r="I334" s="6"/>
      <c r="J334" s="6"/>
      <c r="K334" s="6"/>
      <c r="L334" s="6"/>
      <c r="M334" s="6"/>
      <c r="N334" s="6"/>
      <c r="O334" s="6"/>
      <c r="P334" s="6"/>
      <c r="Q334" s="6"/>
      <c r="R334" s="6"/>
      <c r="S334" s="6"/>
      <c r="T334" s="6"/>
      <c r="U334" s="6"/>
      <c r="V334" s="6"/>
      <c r="W334" s="6"/>
      <c r="X334" s="6"/>
      <c r="Y334" s="6"/>
      <c r="Z334" s="6"/>
    </row>
    <row r="335" spans="1:26">
      <c r="A335" s="432">
        <v>44056</v>
      </c>
      <c r="B335" s="433">
        <v>13719.84</v>
      </c>
      <c r="C335" s="433">
        <v>850.74</v>
      </c>
      <c r="D335" s="434">
        <f t="shared" ref="D335:E335" si="333">LN(B335/B336)</f>
        <v>2.8612656963439066E-3</v>
      </c>
      <c r="E335" s="435">
        <f t="shared" si="333"/>
        <v>-5.0533877815411325E-3</v>
      </c>
      <c r="F335" s="221"/>
      <c r="G335" s="222"/>
      <c r="H335" s="222"/>
      <c r="I335" s="6"/>
      <c r="J335" s="6"/>
      <c r="K335" s="6"/>
      <c r="L335" s="6"/>
      <c r="M335" s="6"/>
      <c r="N335" s="6"/>
      <c r="O335" s="6"/>
      <c r="P335" s="6"/>
      <c r="Q335" s="6"/>
      <c r="R335" s="6"/>
      <c r="S335" s="6"/>
      <c r="T335" s="6"/>
      <c r="U335" s="6"/>
      <c r="V335" s="6"/>
      <c r="W335" s="6"/>
      <c r="X335" s="6"/>
      <c r="Y335" s="6"/>
      <c r="Z335" s="6"/>
    </row>
    <row r="336" spans="1:26">
      <c r="A336" s="432">
        <v>44055</v>
      </c>
      <c r="B336" s="433">
        <v>13680.64</v>
      </c>
      <c r="C336" s="433">
        <v>855.05</v>
      </c>
      <c r="D336" s="434">
        <f t="shared" ref="D336:E336" si="334">LN(B336/B337)</f>
        <v>-2.8612656963438875E-3</v>
      </c>
      <c r="E336" s="435">
        <f t="shared" si="334"/>
        <v>9.5537075713271694E-3</v>
      </c>
      <c r="F336" s="221"/>
      <c r="G336" s="222"/>
      <c r="H336" s="222"/>
      <c r="I336" s="6"/>
      <c r="J336" s="6"/>
      <c r="K336" s="6"/>
      <c r="L336" s="6"/>
      <c r="M336" s="6"/>
      <c r="N336" s="6"/>
      <c r="O336" s="6"/>
      <c r="P336" s="6"/>
      <c r="Q336" s="6"/>
      <c r="R336" s="6"/>
      <c r="S336" s="6"/>
      <c r="T336" s="6"/>
      <c r="U336" s="6"/>
      <c r="V336" s="6"/>
      <c r="W336" s="6"/>
      <c r="X336" s="6"/>
      <c r="Y336" s="6"/>
      <c r="Z336" s="6"/>
    </row>
    <row r="337" spans="1:26">
      <c r="A337" s="432">
        <v>44054</v>
      </c>
      <c r="B337" s="433">
        <v>13719.84</v>
      </c>
      <c r="C337" s="433">
        <v>846.92</v>
      </c>
      <c r="D337" s="434">
        <f t="shared" ref="D337:E337" si="335">LN(B337/B338)</f>
        <v>-1.1363169787877599E-2</v>
      </c>
      <c r="E337" s="435">
        <f t="shared" si="335"/>
        <v>4.5443865188889683E-3</v>
      </c>
      <c r="F337" s="221"/>
      <c r="G337" s="222"/>
      <c r="H337" s="222"/>
      <c r="I337" s="6"/>
      <c r="J337" s="6"/>
      <c r="K337" s="6"/>
      <c r="L337" s="6"/>
      <c r="M337" s="6"/>
      <c r="N337" s="6"/>
      <c r="O337" s="6"/>
      <c r="P337" s="6"/>
      <c r="Q337" s="6"/>
      <c r="R337" s="6"/>
      <c r="S337" s="6"/>
      <c r="T337" s="6"/>
      <c r="U337" s="6"/>
      <c r="V337" s="6"/>
      <c r="W337" s="6"/>
      <c r="X337" s="6"/>
      <c r="Y337" s="6"/>
      <c r="Z337" s="6"/>
    </row>
    <row r="338" spans="1:26">
      <c r="A338" s="432">
        <v>44053</v>
      </c>
      <c r="B338" s="433">
        <v>13876.63</v>
      </c>
      <c r="C338" s="433">
        <v>843.08</v>
      </c>
      <c r="D338" s="434">
        <f t="shared" ref="D338:E338" si="336">LN(B338/B339)</f>
        <v>-2.2347569428160095E-2</v>
      </c>
      <c r="E338" s="435">
        <f t="shared" si="336"/>
        <v>-1.4232511825147527E-4</v>
      </c>
      <c r="F338" s="221"/>
      <c r="G338" s="222"/>
      <c r="H338" s="222"/>
      <c r="I338" s="6"/>
      <c r="J338" s="6"/>
      <c r="K338" s="6"/>
      <c r="L338" s="6"/>
      <c r="M338" s="6"/>
      <c r="N338" s="6"/>
      <c r="O338" s="6"/>
      <c r="P338" s="6"/>
      <c r="Q338" s="6"/>
      <c r="R338" s="6"/>
      <c r="S338" s="6"/>
      <c r="T338" s="6"/>
      <c r="U338" s="6"/>
      <c r="V338" s="6"/>
      <c r="W338" s="6"/>
      <c r="X338" s="6"/>
      <c r="Y338" s="6"/>
      <c r="Z338" s="6"/>
    </row>
    <row r="339" spans="1:26">
      <c r="A339" s="432">
        <v>44052</v>
      </c>
      <c r="B339" s="433">
        <v>14190.23</v>
      </c>
      <c r="C339" s="433">
        <v>843.2</v>
      </c>
      <c r="D339" s="434">
        <f t="shared" ref="D339:E339" si="337">LN(B339/B340)</f>
        <v>0</v>
      </c>
      <c r="E339" s="435">
        <f t="shared" si="337"/>
        <v>2.0656994512025699E-3</v>
      </c>
      <c r="F339" s="221"/>
      <c r="G339" s="222"/>
      <c r="H339" s="222"/>
      <c r="I339" s="6"/>
      <c r="J339" s="6"/>
      <c r="K339" s="6"/>
      <c r="L339" s="6"/>
      <c r="M339" s="6"/>
      <c r="N339" s="6"/>
      <c r="O339" s="6"/>
      <c r="P339" s="6"/>
      <c r="Q339" s="6"/>
      <c r="R339" s="6"/>
      <c r="S339" s="6"/>
      <c r="T339" s="6"/>
      <c r="U339" s="6"/>
      <c r="V339" s="6"/>
      <c r="W339" s="6"/>
      <c r="X339" s="6"/>
      <c r="Y339" s="6"/>
      <c r="Z339" s="6"/>
    </row>
    <row r="340" spans="1:26">
      <c r="A340" s="432">
        <v>44049</v>
      </c>
      <c r="B340" s="433">
        <v>14190.23</v>
      </c>
      <c r="C340" s="433">
        <v>841.46</v>
      </c>
      <c r="D340" s="434">
        <f t="shared" ref="D340:E340" si="338">LN(B340/B341)</f>
        <v>-1.0989252505352997E-2</v>
      </c>
      <c r="E340" s="435">
        <f t="shared" si="338"/>
        <v>1.6889685846679459E-3</v>
      </c>
      <c r="F340" s="221"/>
      <c r="G340" s="222"/>
      <c r="H340" s="222"/>
      <c r="I340" s="6"/>
      <c r="J340" s="6"/>
      <c r="K340" s="6"/>
      <c r="L340" s="6"/>
      <c r="M340" s="6"/>
      <c r="N340" s="6"/>
      <c r="O340" s="6"/>
      <c r="P340" s="6"/>
      <c r="Q340" s="6"/>
      <c r="R340" s="6"/>
      <c r="S340" s="6"/>
      <c r="T340" s="6"/>
      <c r="U340" s="6"/>
      <c r="V340" s="6"/>
      <c r="W340" s="6"/>
      <c r="X340" s="6"/>
      <c r="Y340" s="6"/>
      <c r="Z340" s="6"/>
    </row>
    <row r="341" spans="1:26">
      <c r="A341" s="432">
        <v>44048</v>
      </c>
      <c r="B341" s="433">
        <v>14347.03</v>
      </c>
      <c r="C341" s="433">
        <v>840.04</v>
      </c>
      <c r="D341" s="434">
        <f t="shared" ref="D341:E341" si="339">LN(B341/B342)</f>
        <v>-8.1634069736464549E-3</v>
      </c>
      <c r="E341" s="435">
        <f t="shared" si="339"/>
        <v>2.6701012382930574E-3</v>
      </c>
      <c r="F341" s="221"/>
      <c r="G341" s="222"/>
      <c r="H341" s="222"/>
      <c r="I341" s="6"/>
      <c r="J341" s="6"/>
      <c r="K341" s="6"/>
      <c r="L341" s="6"/>
      <c r="M341" s="6"/>
      <c r="N341" s="6"/>
      <c r="O341" s="6"/>
      <c r="P341" s="6"/>
      <c r="Q341" s="6"/>
      <c r="R341" s="6"/>
      <c r="S341" s="6"/>
      <c r="T341" s="6"/>
      <c r="U341" s="6"/>
      <c r="V341" s="6"/>
      <c r="W341" s="6"/>
      <c r="X341" s="6"/>
      <c r="Y341" s="6"/>
      <c r="Z341" s="6"/>
    </row>
    <row r="342" spans="1:26">
      <c r="A342" s="432">
        <v>44047</v>
      </c>
      <c r="B342" s="433">
        <v>14464.63</v>
      </c>
      <c r="C342" s="433">
        <v>837.8</v>
      </c>
      <c r="D342" s="434">
        <f t="shared" ref="D342:E342" si="340">LN(B342/B343)</f>
        <v>6.4357912940938206E-2</v>
      </c>
      <c r="E342" s="435">
        <f t="shared" si="340"/>
        <v>1.2285712694414939E-2</v>
      </c>
      <c r="F342" s="221"/>
      <c r="G342" s="222"/>
      <c r="H342" s="222"/>
      <c r="I342" s="6"/>
      <c r="J342" s="6"/>
      <c r="K342" s="6"/>
      <c r="L342" s="6"/>
      <c r="M342" s="6"/>
      <c r="N342" s="6"/>
      <c r="O342" s="6"/>
      <c r="P342" s="6"/>
      <c r="Q342" s="6"/>
      <c r="R342" s="6"/>
      <c r="S342" s="6"/>
      <c r="T342" s="6"/>
      <c r="U342" s="6"/>
      <c r="V342" s="6"/>
      <c r="W342" s="6"/>
      <c r="X342" s="6"/>
      <c r="Y342" s="6"/>
      <c r="Z342" s="6"/>
    </row>
    <row r="343" spans="1:26">
      <c r="A343" s="432">
        <v>44046</v>
      </c>
      <c r="B343" s="433">
        <v>13563.04</v>
      </c>
      <c r="C343" s="433">
        <v>827.57</v>
      </c>
      <c r="D343" s="434">
        <f t="shared" ref="D343:E343" si="341">LN(B343/B344)</f>
        <v>5.7971862701733179E-3</v>
      </c>
      <c r="E343" s="435">
        <f t="shared" si="341"/>
        <v>1.5735122669555505E-2</v>
      </c>
      <c r="F343" s="221"/>
      <c r="G343" s="222"/>
      <c r="H343" s="222"/>
      <c r="I343" s="6"/>
      <c r="J343" s="6"/>
      <c r="K343" s="6"/>
      <c r="L343" s="6"/>
      <c r="M343" s="6"/>
      <c r="N343" s="6"/>
      <c r="O343" s="6"/>
      <c r="P343" s="6"/>
      <c r="Q343" s="6"/>
      <c r="R343" s="6"/>
      <c r="S343" s="6"/>
      <c r="T343" s="6"/>
      <c r="U343" s="6"/>
      <c r="V343" s="6"/>
      <c r="W343" s="6"/>
      <c r="X343" s="6"/>
      <c r="Y343" s="6"/>
      <c r="Z343" s="6"/>
    </row>
    <row r="344" spans="1:26">
      <c r="A344" s="432">
        <v>44045</v>
      </c>
      <c r="B344" s="433">
        <v>13484.64</v>
      </c>
      <c r="C344" s="433">
        <v>814.65</v>
      </c>
      <c r="D344" s="434">
        <f t="shared" ref="D344:E344" si="342">LN(B344/B345)</f>
        <v>4.4583672186206284E-2</v>
      </c>
      <c r="E344" s="435">
        <f t="shared" si="342"/>
        <v>2.0161373280249105E-2</v>
      </c>
      <c r="F344" s="221"/>
      <c r="G344" s="222"/>
      <c r="H344" s="222"/>
      <c r="I344" s="6"/>
      <c r="J344" s="6"/>
      <c r="K344" s="6"/>
      <c r="L344" s="6"/>
      <c r="M344" s="6"/>
      <c r="N344" s="6"/>
      <c r="O344" s="6"/>
      <c r="P344" s="6"/>
      <c r="Q344" s="6"/>
      <c r="R344" s="6"/>
      <c r="S344" s="6"/>
      <c r="T344" s="6"/>
      <c r="U344" s="6"/>
      <c r="V344" s="6"/>
      <c r="W344" s="6"/>
      <c r="X344" s="6"/>
      <c r="Y344" s="6"/>
      <c r="Z344" s="6"/>
    </row>
    <row r="345" spans="1:26">
      <c r="A345" s="432">
        <v>44042</v>
      </c>
      <c r="B345" s="433">
        <v>12896.65</v>
      </c>
      <c r="C345" s="433">
        <v>798.39</v>
      </c>
      <c r="D345" s="434">
        <f t="shared" ref="D345:E345" si="343">LN(B345/B346)</f>
        <v>-3.2887492830628882E-2</v>
      </c>
      <c r="E345" s="435">
        <f t="shared" si="343"/>
        <v>-3.4260311594794461E-3</v>
      </c>
      <c r="F345" s="221"/>
      <c r="G345" s="222"/>
      <c r="H345" s="222"/>
      <c r="I345" s="6"/>
      <c r="J345" s="6"/>
      <c r="K345" s="6"/>
      <c r="L345" s="6"/>
      <c r="M345" s="6"/>
      <c r="N345" s="6"/>
      <c r="O345" s="6"/>
      <c r="P345" s="6"/>
      <c r="Q345" s="6"/>
      <c r="R345" s="6"/>
      <c r="S345" s="6"/>
      <c r="T345" s="6"/>
      <c r="U345" s="6"/>
      <c r="V345" s="6"/>
      <c r="W345" s="6"/>
      <c r="X345" s="6"/>
      <c r="Y345" s="6"/>
      <c r="Z345" s="6"/>
    </row>
    <row r="346" spans="1:26">
      <c r="A346" s="432">
        <v>44041</v>
      </c>
      <c r="B346" s="433">
        <v>13327.84</v>
      </c>
      <c r="C346" s="433">
        <v>801.13</v>
      </c>
      <c r="D346" s="434">
        <f t="shared" ref="D346:E346" si="344">LN(B346/B347)</f>
        <v>-2.9368948784294449E-3</v>
      </c>
      <c r="E346" s="435">
        <f t="shared" si="344"/>
        <v>1.2927559321514542E-2</v>
      </c>
      <c r="F346" s="221"/>
      <c r="G346" s="222"/>
      <c r="H346" s="222"/>
      <c r="I346" s="6"/>
      <c r="J346" s="6"/>
      <c r="K346" s="6"/>
      <c r="L346" s="6"/>
      <c r="M346" s="6"/>
      <c r="N346" s="6"/>
      <c r="O346" s="6"/>
      <c r="P346" s="6"/>
      <c r="Q346" s="6"/>
      <c r="R346" s="6"/>
      <c r="S346" s="6"/>
      <c r="T346" s="6"/>
      <c r="U346" s="6"/>
      <c r="V346" s="6"/>
      <c r="W346" s="6"/>
      <c r="X346" s="6"/>
      <c r="Y346" s="6"/>
      <c r="Z346" s="6"/>
    </row>
    <row r="347" spans="1:26">
      <c r="A347" s="432">
        <v>44040</v>
      </c>
      <c r="B347" s="433">
        <v>13367.04</v>
      </c>
      <c r="C347" s="433">
        <v>790.84</v>
      </c>
      <c r="D347" s="434">
        <f t="shared" ref="D347:E347" si="345">LN(B347/B348)</f>
        <v>-5.9761724209259862E-2</v>
      </c>
      <c r="E347" s="435">
        <f t="shared" si="345"/>
        <v>-2.8078144260225833E-2</v>
      </c>
      <c r="F347" s="221"/>
      <c r="G347" s="222"/>
      <c r="H347" s="222"/>
      <c r="I347" s="6"/>
      <c r="J347" s="6"/>
      <c r="K347" s="6"/>
      <c r="L347" s="6"/>
      <c r="M347" s="6"/>
      <c r="N347" s="6"/>
      <c r="O347" s="6"/>
      <c r="P347" s="6"/>
      <c r="Q347" s="6"/>
      <c r="R347" s="6"/>
      <c r="S347" s="6"/>
      <c r="T347" s="6"/>
      <c r="U347" s="6"/>
      <c r="V347" s="6"/>
      <c r="W347" s="6"/>
      <c r="X347" s="6"/>
      <c r="Y347" s="6"/>
      <c r="Z347" s="6"/>
    </row>
    <row r="348" spans="1:26">
      <c r="A348" s="432">
        <v>44039</v>
      </c>
      <c r="B348" s="433">
        <v>14190.23</v>
      </c>
      <c r="C348" s="433">
        <v>813.36</v>
      </c>
      <c r="D348" s="434">
        <f t="shared" ref="D348:E348" si="346">LN(B348/B349)</f>
        <v>2.2347569428160172E-2</v>
      </c>
      <c r="E348" s="435">
        <f t="shared" si="346"/>
        <v>3.5273561120785432E-2</v>
      </c>
      <c r="F348" s="221"/>
      <c r="G348" s="222"/>
      <c r="H348" s="222"/>
      <c r="I348" s="6"/>
      <c r="J348" s="6"/>
      <c r="K348" s="6"/>
      <c r="L348" s="6"/>
      <c r="M348" s="6"/>
      <c r="N348" s="6"/>
      <c r="O348" s="6"/>
      <c r="P348" s="6"/>
      <c r="Q348" s="6"/>
      <c r="R348" s="6"/>
      <c r="S348" s="6"/>
      <c r="T348" s="6"/>
      <c r="U348" s="6"/>
      <c r="V348" s="6"/>
      <c r="W348" s="6"/>
      <c r="X348" s="6"/>
      <c r="Y348" s="6"/>
      <c r="Z348" s="6"/>
    </row>
    <row r="349" spans="1:26">
      <c r="A349" s="432">
        <v>44038</v>
      </c>
      <c r="B349" s="433">
        <v>13876.63</v>
      </c>
      <c r="C349" s="433">
        <v>785.17</v>
      </c>
      <c r="D349" s="434">
        <f t="shared" ref="D349:E349" si="347">LN(B349/B350)</f>
        <v>-7.0874506470783888E-2</v>
      </c>
      <c r="E349" s="435">
        <f t="shared" si="347"/>
        <v>-5.4512885285190167E-2</v>
      </c>
      <c r="F349" s="221"/>
      <c r="G349" s="222"/>
      <c r="H349" s="222"/>
      <c r="I349" s="6"/>
      <c r="J349" s="6"/>
      <c r="K349" s="6"/>
      <c r="L349" s="6"/>
      <c r="M349" s="6"/>
      <c r="N349" s="6"/>
      <c r="O349" s="6"/>
      <c r="P349" s="6"/>
      <c r="Q349" s="6"/>
      <c r="R349" s="6"/>
      <c r="S349" s="6"/>
      <c r="T349" s="6"/>
      <c r="U349" s="6"/>
      <c r="V349" s="6"/>
      <c r="W349" s="6"/>
      <c r="X349" s="6"/>
      <c r="Y349" s="6"/>
      <c r="Z349" s="6"/>
    </row>
    <row r="350" spans="1:26">
      <c r="A350" s="432">
        <v>44035</v>
      </c>
      <c r="B350" s="433">
        <v>14895.82</v>
      </c>
      <c r="C350" s="433">
        <v>829.16</v>
      </c>
      <c r="D350" s="434">
        <f t="shared" ref="D350:E350" si="348">LN(B350/B351)</f>
        <v>-3.8714325228217404E-2</v>
      </c>
      <c r="E350" s="435">
        <f t="shared" si="348"/>
        <v>-3.2733020623407702E-2</v>
      </c>
      <c r="F350" s="221"/>
      <c r="G350" s="222"/>
      <c r="H350" s="222"/>
      <c r="I350" s="6"/>
      <c r="J350" s="6"/>
      <c r="K350" s="6"/>
      <c r="L350" s="6"/>
      <c r="M350" s="6"/>
      <c r="N350" s="6"/>
      <c r="O350" s="6"/>
      <c r="P350" s="6"/>
      <c r="Q350" s="6"/>
      <c r="R350" s="6"/>
      <c r="S350" s="6"/>
      <c r="T350" s="6"/>
      <c r="U350" s="6"/>
      <c r="V350" s="6"/>
      <c r="W350" s="6"/>
      <c r="X350" s="6"/>
      <c r="Y350" s="6"/>
      <c r="Z350" s="6"/>
    </row>
    <row r="351" spans="1:26">
      <c r="A351" s="432">
        <v>44034</v>
      </c>
      <c r="B351" s="433">
        <v>15483.81</v>
      </c>
      <c r="C351" s="433">
        <v>856.75</v>
      </c>
      <c r="D351" s="434">
        <f t="shared" ref="D351:E351" si="349">LN(B351/B352)</f>
        <v>2.5348867475581899E-3</v>
      </c>
      <c r="E351" s="435">
        <f t="shared" si="349"/>
        <v>1.9511289436380883E-3</v>
      </c>
      <c r="F351" s="221"/>
      <c r="G351" s="222"/>
      <c r="H351" s="222"/>
      <c r="I351" s="6"/>
      <c r="J351" s="6"/>
      <c r="K351" s="6"/>
      <c r="L351" s="6"/>
      <c r="M351" s="6"/>
      <c r="N351" s="6"/>
      <c r="O351" s="6"/>
      <c r="P351" s="6"/>
      <c r="Q351" s="6"/>
      <c r="R351" s="6"/>
      <c r="S351" s="6"/>
      <c r="T351" s="6"/>
      <c r="U351" s="6"/>
      <c r="V351" s="6"/>
      <c r="W351" s="6"/>
      <c r="X351" s="6"/>
      <c r="Y351" s="6"/>
      <c r="Z351" s="6"/>
    </row>
    <row r="352" spans="1:26">
      <c r="A352" s="432">
        <v>44033</v>
      </c>
      <c r="B352" s="433">
        <v>15444.61</v>
      </c>
      <c r="C352" s="433">
        <v>855.08</v>
      </c>
      <c r="D352" s="434">
        <f t="shared" ref="D352:E352" si="350">LN(B352/B353)</f>
        <v>2.541328731539358E-3</v>
      </c>
      <c r="E352" s="435">
        <f t="shared" si="350"/>
        <v>-7.7005454003772145E-3</v>
      </c>
      <c r="F352" s="221"/>
      <c r="G352" s="222"/>
      <c r="H352" s="222"/>
      <c r="I352" s="6"/>
      <c r="J352" s="6"/>
      <c r="K352" s="6"/>
      <c r="L352" s="6"/>
      <c r="M352" s="6"/>
      <c r="N352" s="6"/>
      <c r="O352" s="6"/>
      <c r="P352" s="6"/>
      <c r="Q352" s="6"/>
      <c r="R352" s="6"/>
      <c r="S352" s="6"/>
      <c r="T352" s="6"/>
      <c r="U352" s="6"/>
      <c r="V352" s="6"/>
      <c r="W352" s="6"/>
      <c r="X352" s="6"/>
      <c r="Y352" s="6"/>
      <c r="Z352" s="6"/>
    </row>
    <row r="353" spans="1:26">
      <c r="A353" s="432">
        <v>44032</v>
      </c>
      <c r="B353" s="433">
        <v>15405.41</v>
      </c>
      <c r="C353" s="433">
        <v>861.69</v>
      </c>
      <c r="D353" s="434">
        <f t="shared" ref="D353:E353" si="351">LN(B353/B354)</f>
        <v>-5.0762154790974486E-3</v>
      </c>
      <c r="E353" s="435">
        <f t="shared" si="351"/>
        <v>3.3660459144695218E-4</v>
      </c>
      <c r="F353" s="221"/>
      <c r="G353" s="222"/>
      <c r="H353" s="222"/>
      <c r="I353" s="6"/>
      <c r="J353" s="6"/>
      <c r="K353" s="6"/>
      <c r="L353" s="6"/>
      <c r="M353" s="6"/>
      <c r="N353" s="6"/>
      <c r="O353" s="6"/>
      <c r="P353" s="6"/>
      <c r="Q353" s="6"/>
      <c r="R353" s="6"/>
      <c r="S353" s="6"/>
      <c r="T353" s="6"/>
      <c r="U353" s="6"/>
      <c r="V353" s="6"/>
      <c r="W353" s="6"/>
      <c r="X353" s="6"/>
      <c r="Y353" s="6"/>
      <c r="Z353" s="6"/>
    </row>
    <row r="354" spans="1:26">
      <c r="A354" s="432">
        <v>44031</v>
      </c>
      <c r="B354" s="433">
        <v>15483.81</v>
      </c>
      <c r="C354" s="433">
        <v>861.4</v>
      </c>
      <c r="D354" s="434">
        <f t="shared" ref="D354:E354" si="352">LN(B354/B355)</f>
        <v>-1.2578935592868962E-2</v>
      </c>
      <c r="E354" s="435">
        <f t="shared" si="352"/>
        <v>-1.2253386805765001E-2</v>
      </c>
      <c r="F354" s="221"/>
      <c r="G354" s="222"/>
      <c r="H354" s="222"/>
      <c r="I354" s="6"/>
      <c r="J354" s="6"/>
      <c r="K354" s="6"/>
      <c r="L354" s="6"/>
      <c r="M354" s="6"/>
      <c r="N354" s="6"/>
      <c r="O354" s="6"/>
      <c r="P354" s="6"/>
      <c r="Q354" s="6"/>
      <c r="R354" s="6"/>
      <c r="S354" s="6"/>
      <c r="T354" s="6"/>
      <c r="U354" s="6"/>
      <c r="V354" s="6"/>
      <c r="W354" s="6"/>
      <c r="X354" s="6"/>
      <c r="Y354" s="6"/>
      <c r="Z354" s="6"/>
    </row>
    <row r="355" spans="1:26">
      <c r="A355" s="432">
        <v>44028</v>
      </c>
      <c r="B355" s="433">
        <v>15679.81</v>
      </c>
      <c r="C355" s="433">
        <v>872.02</v>
      </c>
      <c r="D355" s="434">
        <f t="shared" ref="D355:E355" si="353">LN(B355/B356)</f>
        <v>0</v>
      </c>
      <c r="E355" s="435">
        <f t="shared" si="353"/>
        <v>-5.5007715111120899E-3</v>
      </c>
      <c r="F355" s="221"/>
      <c r="G355" s="222"/>
      <c r="H355" s="222"/>
      <c r="I355" s="6"/>
      <c r="J355" s="6"/>
      <c r="K355" s="6"/>
      <c r="L355" s="6"/>
      <c r="M355" s="6"/>
      <c r="N355" s="6"/>
      <c r="O355" s="6"/>
      <c r="P355" s="6"/>
      <c r="Q355" s="6"/>
      <c r="R355" s="6"/>
      <c r="S355" s="6"/>
      <c r="T355" s="6"/>
      <c r="U355" s="6"/>
      <c r="V355" s="6"/>
      <c r="W355" s="6"/>
      <c r="X355" s="6"/>
      <c r="Y355" s="6"/>
      <c r="Z355" s="6"/>
    </row>
    <row r="356" spans="1:26">
      <c r="A356" s="432">
        <v>44027</v>
      </c>
      <c r="B356" s="433">
        <v>15679.81</v>
      </c>
      <c r="C356" s="433">
        <v>876.83</v>
      </c>
      <c r="D356" s="434">
        <f t="shared" ref="D356:E356" si="354">LN(B356/B357)</f>
        <v>0</v>
      </c>
      <c r="E356" s="435">
        <f t="shared" si="354"/>
        <v>7.9233729152620256E-3</v>
      </c>
      <c r="F356" s="221"/>
      <c r="G356" s="222"/>
      <c r="H356" s="222"/>
      <c r="I356" s="6"/>
      <c r="J356" s="6"/>
      <c r="K356" s="6"/>
      <c r="L356" s="6"/>
      <c r="M356" s="6"/>
      <c r="N356" s="6"/>
      <c r="O356" s="6"/>
      <c r="P356" s="6"/>
      <c r="Q356" s="6"/>
      <c r="R356" s="6"/>
      <c r="S356" s="6"/>
      <c r="T356" s="6"/>
      <c r="U356" s="6"/>
      <c r="V356" s="6"/>
      <c r="W356" s="6"/>
      <c r="X356" s="6"/>
      <c r="Y356" s="6"/>
      <c r="Z356" s="6"/>
    </row>
    <row r="357" spans="1:26">
      <c r="A357" s="432">
        <v>44026</v>
      </c>
      <c r="B357" s="433">
        <v>15679.81</v>
      </c>
      <c r="C357" s="433">
        <v>869.91</v>
      </c>
      <c r="D357" s="434">
        <f t="shared" ref="D357:E357" si="355">LN(B357/B358)</f>
        <v>1.2578935592868884E-2</v>
      </c>
      <c r="E357" s="435">
        <f t="shared" si="355"/>
        <v>2.0713232800048578E-3</v>
      </c>
      <c r="F357" s="221"/>
      <c r="G357" s="222"/>
      <c r="H357" s="222"/>
      <c r="I357" s="6"/>
      <c r="J357" s="6"/>
      <c r="K357" s="6"/>
      <c r="L357" s="6"/>
      <c r="M357" s="6"/>
      <c r="N357" s="6"/>
      <c r="O357" s="6"/>
      <c r="P357" s="6"/>
      <c r="Q357" s="6"/>
      <c r="R357" s="6"/>
      <c r="S357" s="6"/>
      <c r="T357" s="6"/>
      <c r="U357" s="6"/>
      <c r="V357" s="6"/>
      <c r="W357" s="6"/>
      <c r="X357" s="6"/>
      <c r="Y357" s="6"/>
      <c r="Z357" s="6"/>
    </row>
    <row r="358" spans="1:26">
      <c r="A358" s="432">
        <v>44025</v>
      </c>
      <c r="B358" s="433">
        <v>15483.81</v>
      </c>
      <c r="C358" s="433">
        <v>868.11</v>
      </c>
      <c r="D358" s="434">
        <f t="shared" ref="D358:E358" si="356">LN(B358/B359)</f>
        <v>-1.2578935592868962E-2</v>
      </c>
      <c r="E358" s="435">
        <f t="shared" si="356"/>
        <v>-7.0242916702445998E-4</v>
      </c>
      <c r="F358" s="221"/>
      <c r="G358" s="222"/>
      <c r="H358" s="222"/>
      <c r="I358" s="6"/>
      <c r="J358" s="6"/>
      <c r="K358" s="6"/>
      <c r="L358" s="6"/>
      <c r="M358" s="6"/>
      <c r="N358" s="6"/>
      <c r="O358" s="6"/>
      <c r="P358" s="6"/>
      <c r="Q358" s="6"/>
      <c r="R358" s="6"/>
      <c r="S358" s="6"/>
      <c r="T358" s="6"/>
      <c r="U358" s="6"/>
      <c r="V358" s="6"/>
      <c r="W358" s="6"/>
      <c r="X358" s="6"/>
      <c r="Y358" s="6"/>
      <c r="Z358" s="6"/>
    </row>
    <row r="359" spans="1:26">
      <c r="A359" s="432">
        <v>44024</v>
      </c>
      <c r="B359" s="433">
        <v>15679.81</v>
      </c>
      <c r="C359" s="433">
        <v>868.72</v>
      </c>
      <c r="D359" s="434">
        <f t="shared" ref="D359:E359" si="357">LN(B359/B360)</f>
        <v>-1.4888791569997322E-2</v>
      </c>
      <c r="E359" s="435">
        <f t="shared" si="357"/>
        <v>-2.8621860647984427E-3</v>
      </c>
      <c r="F359" s="221"/>
      <c r="G359" s="222"/>
      <c r="H359" s="222"/>
      <c r="I359" s="6"/>
      <c r="J359" s="6"/>
      <c r="K359" s="6"/>
      <c r="L359" s="6"/>
      <c r="M359" s="6"/>
      <c r="N359" s="6"/>
      <c r="O359" s="6"/>
      <c r="P359" s="6"/>
      <c r="Q359" s="6"/>
      <c r="R359" s="6"/>
      <c r="S359" s="6"/>
      <c r="T359" s="6"/>
      <c r="U359" s="6"/>
      <c r="V359" s="6"/>
      <c r="W359" s="6"/>
      <c r="X359" s="6"/>
      <c r="Y359" s="6"/>
      <c r="Z359" s="6"/>
    </row>
    <row r="360" spans="1:26">
      <c r="A360" s="432">
        <v>44021</v>
      </c>
      <c r="B360" s="433">
        <v>15915.01</v>
      </c>
      <c r="C360" s="433">
        <v>871.21</v>
      </c>
      <c r="D360" s="434">
        <f t="shared" ref="D360:E360" si="358">LN(B360/B361)</f>
        <v>-4.9140733240713242E-3</v>
      </c>
      <c r="E360" s="435">
        <f t="shared" si="358"/>
        <v>-6.0080172940079274E-3</v>
      </c>
      <c r="F360" s="221"/>
      <c r="G360" s="222"/>
      <c r="H360" s="222"/>
      <c r="I360" s="6"/>
      <c r="J360" s="6"/>
      <c r="K360" s="6"/>
      <c r="L360" s="6"/>
      <c r="M360" s="6"/>
      <c r="N360" s="6"/>
      <c r="O360" s="6"/>
      <c r="P360" s="6"/>
      <c r="Q360" s="6"/>
      <c r="R360" s="6"/>
      <c r="S360" s="6"/>
      <c r="T360" s="6"/>
      <c r="U360" s="6"/>
      <c r="V360" s="6"/>
      <c r="W360" s="6"/>
      <c r="X360" s="6"/>
      <c r="Y360" s="6"/>
      <c r="Z360" s="6"/>
    </row>
    <row r="361" spans="1:26">
      <c r="A361" s="432">
        <v>44020</v>
      </c>
      <c r="B361" s="433">
        <v>15993.41</v>
      </c>
      <c r="C361" s="433">
        <v>876.46</v>
      </c>
      <c r="D361" s="434">
        <f t="shared" ref="D361:E361" si="359">LN(B361/B362)</f>
        <v>2.4540181504934476E-3</v>
      </c>
      <c r="E361" s="435">
        <f t="shared" si="359"/>
        <v>1.3739762144106328E-2</v>
      </c>
      <c r="F361" s="221"/>
      <c r="G361" s="222"/>
      <c r="H361" s="222"/>
      <c r="I361" s="6"/>
      <c r="J361" s="6"/>
      <c r="K361" s="6"/>
      <c r="L361" s="6"/>
      <c r="M361" s="6"/>
      <c r="N361" s="6"/>
      <c r="O361" s="6"/>
      <c r="P361" s="6"/>
      <c r="Q361" s="6"/>
      <c r="R361" s="6"/>
      <c r="S361" s="6"/>
      <c r="T361" s="6"/>
      <c r="U361" s="6"/>
      <c r="V361" s="6"/>
      <c r="W361" s="6"/>
      <c r="X361" s="6"/>
      <c r="Y361" s="6"/>
      <c r="Z361" s="6"/>
    </row>
    <row r="362" spans="1:26">
      <c r="A362" s="432">
        <v>44019</v>
      </c>
      <c r="B362" s="433">
        <v>15954.21</v>
      </c>
      <c r="C362" s="433">
        <v>864.5</v>
      </c>
      <c r="D362" s="434">
        <f t="shared" ref="D362:E362" si="360">LN(B362/B363)</f>
        <v>-9.7801449571103833E-3</v>
      </c>
      <c r="E362" s="435">
        <f t="shared" si="360"/>
        <v>1.2500580358327353E-3</v>
      </c>
      <c r="F362" s="221"/>
      <c r="G362" s="222"/>
      <c r="H362" s="222"/>
      <c r="I362" s="6"/>
      <c r="J362" s="6"/>
      <c r="K362" s="6"/>
      <c r="L362" s="6"/>
      <c r="M362" s="6"/>
      <c r="N362" s="6"/>
      <c r="O362" s="6"/>
      <c r="P362" s="6"/>
      <c r="Q362" s="6"/>
      <c r="R362" s="6"/>
      <c r="S362" s="6"/>
      <c r="T362" s="6"/>
      <c r="U362" s="6"/>
      <c r="V362" s="6"/>
      <c r="W362" s="6"/>
      <c r="X362" s="6"/>
      <c r="Y362" s="6"/>
      <c r="Z362" s="6"/>
    </row>
    <row r="363" spans="1:26">
      <c r="A363" s="432">
        <v>44018</v>
      </c>
      <c r="B363" s="433">
        <v>16111.01</v>
      </c>
      <c r="C363" s="433">
        <v>863.42</v>
      </c>
      <c r="D363" s="434">
        <f t="shared" ref="D363:E363" si="361">LN(B363/B364)</f>
        <v>-7.2728447868838537E-3</v>
      </c>
      <c r="E363" s="435">
        <f t="shared" si="361"/>
        <v>2.6209294943842143E-3</v>
      </c>
      <c r="F363" s="221"/>
      <c r="G363" s="222"/>
      <c r="H363" s="222"/>
      <c r="I363" s="6"/>
      <c r="J363" s="6"/>
      <c r="K363" s="6"/>
      <c r="L363" s="6"/>
      <c r="M363" s="6"/>
      <c r="N363" s="6"/>
      <c r="O363" s="6"/>
      <c r="P363" s="6"/>
      <c r="Q363" s="6"/>
      <c r="R363" s="6"/>
      <c r="S363" s="6"/>
      <c r="T363" s="6"/>
      <c r="U363" s="6"/>
      <c r="V363" s="6"/>
      <c r="W363" s="6"/>
      <c r="X363" s="6"/>
      <c r="Y363" s="6"/>
      <c r="Z363" s="6"/>
    </row>
    <row r="364" spans="1:26">
      <c r="A364" s="432">
        <v>44017</v>
      </c>
      <c r="B364" s="433">
        <v>16228.61</v>
      </c>
      <c r="C364" s="433">
        <v>861.16</v>
      </c>
      <c r="D364" s="434">
        <f t="shared" ref="D364:E364" si="362">LN(B364/B365)</f>
        <v>9.7089283486128091E-3</v>
      </c>
      <c r="E364" s="435">
        <f t="shared" si="362"/>
        <v>1.5859693250647233E-2</v>
      </c>
      <c r="F364" s="221"/>
      <c r="G364" s="222"/>
      <c r="H364" s="222"/>
      <c r="I364" s="6"/>
      <c r="J364" s="6"/>
      <c r="K364" s="6"/>
      <c r="L364" s="6"/>
      <c r="M364" s="6"/>
      <c r="N364" s="6"/>
      <c r="O364" s="6"/>
      <c r="P364" s="6"/>
      <c r="Q364" s="6"/>
      <c r="R364" s="6"/>
      <c r="S364" s="6"/>
      <c r="T364" s="6"/>
      <c r="U364" s="6"/>
      <c r="V364" s="6"/>
      <c r="W364" s="6"/>
      <c r="X364" s="6"/>
      <c r="Y364" s="6"/>
      <c r="Z364" s="6"/>
    </row>
    <row r="365" spans="1:26">
      <c r="A365" s="432">
        <v>44014</v>
      </c>
      <c r="B365" s="433">
        <v>16071.81</v>
      </c>
      <c r="C365" s="433">
        <v>847.61</v>
      </c>
      <c r="D365" s="434">
        <f t="shared" ref="D365:E365" si="363">LN(B365/B366)</f>
        <v>-1.2121502965366576E-2</v>
      </c>
      <c r="E365" s="435">
        <f t="shared" si="363"/>
        <v>6.1894054949618712E-3</v>
      </c>
      <c r="F365" s="221"/>
      <c r="G365" s="222"/>
      <c r="H365" s="222"/>
      <c r="I365" s="6"/>
      <c r="J365" s="6"/>
      <c r="K365" s="6"/>
      <c r="L365" s="6"/>
      <c r="M365" s="6"/>
      <c r="N365" s="6"/>
      <c r="O365" s="6"/>
      <c r="P365" s="6"/>
      <c r="Q365" s="6"/>
      <c r="R365" s="6"/>
      <c r="S365" s="6"/>
      <c r="T365" s="6"/>
      <c r="U365" s="6"/>
      <c r="V365" s="6"/>
      <c r="W365" s="6"/>
      <c r="X365" s="6"/>
      <c r="Y365" s="6"/>
      <c r="Z365" s="6"/>
    </row>
    <row r="366" spans="1:26">
      <c r="A366" s="432">
        <v>44013</v>
      </c>
      <c r="B366" s="433">
        <v>16267.81</v>
      </c>
      <c r="C366" s="433">
        <v>842.38</v>
      </c>
      <c r="D366" s="434">
        <f t="shared" ref="D366:E366" si="364">LN(B366/B367)</f>
        <v>-2.3810323258487337E-2</v>
      </c>
      <c r="E366" s="435">
        <f t="shared" si="364"/>
        <v>-1.3168277036761157E-3</v>
      </c>
      <c r="F366" s="221"/>
      <c r="G366" s="222"/>
      <c r="H366" s="222"/>
      <c r="I366" s="6"/>
      <c r="J366" s="6"/>
      <c r="K366" s="6"/>
      <c r="L366" s="6"/>
      <c r="M366" s="6"/>
      <c r="N366" s="6"/>
      <c r="O366" s="6"/>
      <c r="P366" s="6"/>
      <c r="Q366" s="6"/>
      <c r="R366" s="6"/>
      <c r="S366" s="6"/>
      <c r="T366" s="6"/>
      <c r="U366" s="6"/>
      <c r="V366" s="6"/>
      <c r="W366" s="6"/>
      <c r="X366" s="6"/>
      <c r="Y366" s="6"/>
      <c r="Z366" s="6"/>
    </row>
    <row r="367" spans="1:26">
      <c r="A367" s="432">
        <v>44012</v>
      </c>
      <c r="B367" s="433">
        <v>16659.8</v>
      </c>
      <c r="C367" s="433">
        <v>843.49</v>
      </c>
      <c r="D367" s="434">
        <f t="shared" ref="D367:E367" si="365">LN(B367/B368)</f>
        <v>-3.4685387463073911E-2</v>
      </c>
      <c r="E367" s="435">
        <f t="shared" si="365"/>
        <v>2.2031335771279716E-2</v>
      </c>
      <c r="F367" s="221"/>
      <c r="G367" s="222"/>
      <c r="H367" s="222"/>
      <c r="I367" s="6"/>
      <c r="J367" s="6"/>
      <c r="K367" s="6"/>
      <c r="L367" s="6"/>
      <c r="M367" s="6"/>
      <c r="N367" s="6"/>
      <c r="O367" s="6"/>
      <c r="P367" s="6"/>
      <c r="Q367" s="6"/>
      <c r="R367" s="6"/>
      <c r="S367" s="6"/>
      <c r="T367" s="6"/>
      <c r="U367" s="6"/>
      <c r="V367" s="6"/>
      <c r="W367" s="6"/>
      <c r="X367" s="6"/>
      <c r="Y367" s="6"/>
      <c r="Z367" s="6"/>
    </row>
    <row r="368" spans="1:26">
      <c r="A368" s="432">
        <v>44011</v>
      </c>
      <c r="B368" s="433">
        <v>17247.79</v>
      </c>
      <c r="C368" s="433">
        <v>825.11</v>
      </c>
      <c r="D368" s="434">
        <f t="shared" ref="D368:E368" si="366">LN(B368/B369)</f>
        <v>5.1293324902520761E-2</v>
      </c>
      <c r="E368" s="435">
        <f t="shared" si="366"/>
        <v>-5.1376082349412263E-3</v>
      </c>
      <c r="F368" s="221"/>
      <c r="G368" s="222"/>
      <c r="H368" s="222"/>
      <c r="I368" s="6"/>
      <c r="J368" s="6"/>
      <c r="K368" s="6"/>
      <c r="L368" s="6"/>
      <c r="M368" s="6"/>
      <c r="N368" s="6"/>
      <c r="O368" s="6"/>
      <c r="P368" s="6"/>
      <c r="Q368" s="6"/>
      <c r="R368" s="6"/>
      <c r="S368" s="6"/>
      <c r="T368" s="6"/>
      <c r="U368" s="6"/>
      <c r="V368" s="6"/>
      <c r="W368" s="6"/>
      <c r="X368" s="6"/>
      <c r="Y368" s="6"/>
      <c r="Z368" s="6"/>
    </row>
    <row r="369" spans="1:26">
      <c r="A369" s="432">
        <v>44010</v>
      </c>
      <c r="B369" s="433">
        <v>16385.400000000001</v>
      </c>
      <c r="C369" s="433">
        <v>829.36</v>
      </c>
      <c r="D369" s="434">
        <f t="shared" ref="D369:E369" si="367">LN(B369/B370)</f>
        <v>2.9128005353366109E-2</v>
      </c>
      <c r="E369" s="435">
        <f t="shared" si="367"/>
        <v>-2.6908733360532504E-2</v>
      </c>
      <c r="F369" s="221"/>
      <c r="G369" s="222"/>
      <c r="H369" s="222"/>
      <c r="I369" s="6"/>
      <c r="J369" s="6"/>
      <c r="K369" s="6"/>
      <c r="L369" s="6"/>
      <c r="M369" s="6"/>
      <c r="N369" s="6"/>
      <c r="O369" s="6"/>
      <c r="P369" s="6"/>
      <c r="Q369" s="6"/>
      <c r="R369" s="6"/>
      <c r="S369" s="6"/>
      <c r="T369" s="6"/>
      <c r="U369" s="6"/>
      <c r="V369" s="6"/>
      <c r="W369" s="6"/>
      <c r="X369" s="6"/>
      <c r="Y369" s="6"/>
      <c r="Z369" s="6"/>
    </row>
    <row r="370" spans="1:26">
      <c r="A370" s="432">
        <v>44007</v>
      </c>
      <c r="B370" s="433">
        <v>15915.01</v>
      </c>
      <c r="C370" s="433">
        <v>851.98</v>
      </c>
      <c r="D370" s="434">
        <f t="shared" ref="D370:E370" si="368">LN(B370/B371)</f>
        <v>4.9383407416503881E-3</v>
      </c>
      <c r="E370" s="435">
        <f t="shared" si="368"/>
        <v>-3.0587693853108182E-3</v>
      </c>
      <c r="F370" s="221"/>
      <c r="G370" s="222"/>
      <c r="H370" s="222"/>
      <c r="I370" s="6"/>
      <c r="J370" s="6"/>
      <c r="K370" s="6"/>
      <c r="L370" s="6"/>
      <c r="M370" s="6"/>
      <c r="N370" s="6"/>
      <c r="O370" s="6"/>
      <c r="P370" s="6"/>
      <c r="Q370" s="6"/>
      <c r="R370" s="6"/>
      <c r="S370" s="6"/>
      <c r="T370" s="6"/>
      <c r="U370" s="6"/>
      <c r="V370" s="6"/>
      <c r="W370" s="6"/>
      <c r="X370" s="6"/>
      <c r="Y370" s="6"/>
      <c r="Z370" s="6"/>
    </row>
    <row r="371" spans="1:26">
      <c r="A371" s="432">
        <v>44006</v>
      </c>
      <c r="B371" s="433">
        <v>15836.61</v>
      </c>
      <c r="C371" s="433">
        <v>854.59</v>
      </c>
      <c r="D371" s="434">
        <f t="shared" ref="D371:E371" si="369">LN(B371/B372)</f>
        <v>2.0000909080782739E-2</v>
      </c>
      <c r="E371" s="435">
        <f t="shared" si="369"/>
        <v>-5.9733013166865393E-3</v>
      </c>
      <c r="F371" s="221"/>
      <c r="G371" s="222"/>
      <c r="H371" s="222"/>
      <c r="I371" s="6"/>
      <c r="J371" s="6"/>
      <c r="K371" s="6"/>
      <c r="L371" s="6"/>
      <c r="M371" s="6"/>
      <c r="N371" s="6"/>
      <c r="O371" s="6"/>
      <c r="P371" s="6"/>
      <c r="Q371" s="6"/>
      <c r="R371" s="6"/>
      <c r="S371" s="6"/>
      <c r="T371" s="6"/>
      <c r="U371" s="6"/>
      <c r="V371" s="6"/>
      <c r="W371" s="6"/>
      <c r="X371" s="6"/>
      <c r="Y371" s="6"/>
      <c r="Z371" s="6"/>
    </row>
    <row r="372" spans="1:26">
      <c r="A372" s="432">
        <v>44005</v>
      </c>
      <c r="B372" s="433">
        <v>15523.01</v>
      </c>
      <c r="C372" s="433">
        <v>859.71</v>
      </c>
      <c r="D372" s="434">
        <f t="shared" ref="D372:E372" si="370">LN(B372/B373)</f>
        <v>-2.5221002636770773E-3</v>
      </c>
      <c r="E372" s="435">
        <f t="shared" si="370"/>
        <v>-9.826979788106701E-3</v>
      </c>
      <c r="F372" s="221"/>
      <c r="G372" s="222"/>
      <c r="H372" s="222"/>
      <c r="I372" s="6"/>
      <c r="J372" s="6"/>
      <c r="K372" s="6"/>
      <c r="L372" s="6"/>
      <c r="M372" s="6"/>
      <c r="N372" s="6"/>
      <c r="O372" s="6"/>
      <c r="P372" s="6"/>
      <c r="Q372" s="6"/>
      <c r="R372" s="6"/>
      <c r="S372" s="6"/>
      <c r="T372" s="6"/>
      <c r="U372" s="6"/>
      <c r="V372" s="6"/>
      <c r="W372" s="6"/>
      <c r="X372" s="6"/>
      <c r="Y372" s="6"/>
      <c r="Z372" s="6"/>
    </row>
    <row r="373" spans="1:26">
      <c r="A373" s="432">
        <v>44004</v>
      </c>
      <c r="B373" s="433">
        <v>15562.21</v>
      </c>
      <c r="C373" s="433">
        <v>868.2</v>
      </c>
      <c r="D373" s="434">
        <f t="shared" ref="D373:E373" si="371">LN(B373/B374)</f>
        <v>-7.5283579887587809E-3</v>
      </c>
      <c r="E373" s="435">
        <f t="shared" si="371"/>
        <v>-3.5412919019377725E-3</v>
      </c>
      <c r="F373" s="221"/>
      <c r="G373" s="222"/>
      <c r="H373" s="222"/>
      <c r="I373" s="6"/>
      <c r="J373" s="6"/>
      <c r="K373" s="6"/>
      <c r="L373" s="6"/>
      <c r="M373" s="6"/>
      <c r="N373" s="6"/>
      <c r="O373" s="6"/>
      <c r="P373" s="6"/>
      <c r="Q373" s="6"/>
      <c r="R373" s="6"/>
      <c r="S373" s="6"/>
      <c r="T373" s="6"/>
      <c r="U373" s="6"/>
      <c r="V373" s="6"/>
      <c r="W373" s="6"/>
      <c r="X373" s="6"/>
      <c r="Y373" s="6"/>
      <c r="Z373" s="6"/>
    </row>
    <row r="374" spans="1:26">
      <c r="A374" s="432">
        <v>44003</v>
      </c>
      <c r="B374" s="433">
        <v>15679.81</v>
      </c>
      <c r="C374" s="433">
        <v>871.28</v>
      </c>
      <c r="D374" s="434">
        <f t="shared" ref="D374:E374" si="372">LN(B374/B375)</f>
        <v>0</v>
      </c>
      <c r="E374" s="435">
        <f t="shared" si="372"/>
        <v>3.1267268438343698E-3</v>
      </c>
      <c r="F374" s="221"/>
      <c r="G374" s="222"/>
      <c r="H374" s="222"/>
      <c r="I374" s="6"/>
      <c r="J374" s="6"/>
      <c r="K374" s="6"/>
      <c r="L374" s="6"/>
      <c r="M374" s="6"/>
      <c r="N374" s="6"/>
      <c r="O374" s="6"/>
      <c r="P374" s="6"/>
      <c r="Q374" s="6"/>
      <c r="R374" s="6"/>
      <c r="S374" s="6"/>
      <c r="T374" s="6"/>
      <c r="U374" s="6"/>
      <c r="V374" s="6"/>
      <c r="W374" s="6"/>
      <c r="X374" s="6"/>
      <c r="Y374" s="6"/>
      <c r="Z374" s="6"/>
    </row>
    <row r="375" spans="1:26">
      <c r="A375" s="432">
        <v>44000</v>
      </c>
      <c r="B375" s="433">
        <v>15679.81</v>
      </c>
      <c r="C375" s="433">
        <v>868.56</v>
      </c>
      <c r="D375" s="434">
        <f t="shared" ref="D375:E375" si="373">LN(B375/B376)</f>
        <v>3.0458924765143471E-2</v>
      </c>
      <c r="E375" s="435">
        <f t="shared" si="373"/>
        <v>1.5419459364153393E-2</v>
      </c>
      <c r="F375" s="221"/>
      <c r="G375" s="222"/>
      <c r="H375" s="222"/>
      <c r="I375" s="6"/>
      <c r="J375" s="6"/>
      <c r="K375" s="6"/>
      <c r="L375" s="6"/>
      <c r="M375" s="6"/>
      <c r="N375" s="6"/>
      <c r="O375" s="6"/>
      <c r="P375" s="6"/>
      <c r="Q375" s="6"/>
      <c r="R375" s="6"/>
      <c r="S375" s="6"/>
      <c r="T375" s="6"/>
      <c r="U375" s="6"/>
      <c r="V375" s="6"/>
      <c r="W375" s="6"/>
      <c r="X375" s="6"/>
      <c r="Y375" s="6"/>
      <c r="Z375" s="6"/>
    </row>
    <row r="376" spans="1:26">
      <c r="A376" s="432">
        <v>43999</v>
      </c>
      <c r="B376" s="433">
        <v>15209.42</v>
      </c>
      <c r="C376" s="433">
        <v>855.27</v>
      </c>
      <c r="D376" s="434">
        <f t="shared" ref="D376:E376" si="374">LN(B376/B377)</f>
        <v>1.0362910314416858E-2</v>
      </c>
      <c r="E376" s="435">
        <f t="shared" si="374"/>
        <v>9.7092496996929929E-4</v>
      </c>
      <c r="F376" s="221"/>
      <c r="G376" s="222"/>
      <c r="H376" s="222"/>
      <c r="I376" s="6"/>
      <c r="J376" s="6"/>
      <c r="K376" s="6"/>
      <c r="L376" s="6"/>
      <c r="M376" s="6"/>
      <c r="N376" s="6"/>
      <c r="O376" s="6"/>
      <c r="P376" s="6"/>
      <c r="Q376" s="6"/>
      <c r="R376" s="6"/>
      <c r="S376" s="6"/>
      <c r="T376" s="6"/>
      <c r="U376" s="6"/>
      <c r="V376" s="6"/>
      <c r="W376" s="6"/>
      <c r="X376" s="6"/>
      <c r="Y376" s="6"/>
      <c r="Z376" s="6"/>
    </row>
    <row r="377" spans="1:26">
      <c r="A377" s="432">
        <v>43998</v>
      </c>
      <c r="B377" s="433">
        <v>15052.62</v>
      </c>
      <c r="C377" s="433">
        <v>854.44</v>
      </c>
      <c r="D377" s="434">
        <f t="shared" ref="D377:E377" si="375">LN(B377/B378)</f>
        <v>5.2220065887514074E-3</v>
      </c>
      <c r="E377" s="435">
        <f t="shared" si="375"/>
        <v>-1.9759501801933353E-3</v>
      </c>
      <c r="F377" s="221"/>
      <c r="G377" s="222"/>
      <c r="H377" s="222"/>
      <c r="I377" s="6"/>
      <c r="J377" s="6"/>
      <c r="K377" s="6"/>
      <c r="L377" s="6"/>
      <c r="M377" s="6"/>
      <c r="N377" s="6"/>
      <c r="O377" s="6"/>
      <c r="P377" s="6"/>
      <c r="Q377" s="6"/>
      <c r="R377" s="6"/>
      <c r="S377" s="6"/>
      <c r="T377" s="6"/>
      <c r="U377" s="6"/>
      <c r="V377" s="6"/>
      <c r="W377" s="6"/>
      <c r="X377" s="6"/>
      <c r="Y377" s="6"/>
      <c r="Z377" s="6"/>
    </row>
    <row r="378" spans="1:26">
      <c r="A378" s="432">
        <v>43997</v>
      </c>
      <c r="B378" s="433">
        <v>14974.22</v>
      </c>
      <c r="C378" s="433">
        <v>856.13</v>
      </c>
      <c r="D378" s="434">
        <f t="shared" ref="D378:E378" si="376">LN(B378/B379)</f>
        <v>0</v>
      </c>
      <c r="E378" s="435">
        <f t="shared" si="376"/>
        <v>2.8025048600418094E-2</v>
      </c>
      <c r="F378" s="221"/>
      <c r="G378" s="222"/>
      <c r="H378" s="222"/>
      <c r="I378" s="6"/>
      <c r="J378" s="6"/>
      <c r="K378" s="6"/>
      <c r="L378" s="6"/>
      <c r="M378" s="6"/>
      <c r="N378" s="6"/>
      <c r="O378" s="6"/>
      <c r="P378" s="6"/>
      <c r="Q378" s="6"/>
      <c r="R378" s="6"/>
      <c r="S378" s="6"/>
      <c r="T378" s="6"/>
      <c r="U378" s="6"/>
      <c r="V378" s="6"/>
      <c r="W378" s="6"/>
      <c r="X378" s="6"/>
      <c r="Y378" s="6"/>
      <c r="Z378" s="6"/>
    </row>
    <row r="379" spans="1:26">
      <c r="A379" s="432">
        <v>43996</v>
      </c>
      <c r="B379" s="433">
        <v>14974.22</v>
      </c>
      <c r="C379" s="433">
        <v>832.47</v>
      </c>
      <c r="D379" s="434">
        <f t="shared" ref="D379:E379" si="377">LN(B379/B380)</f>
        <v>-2.5841537833317524E-2</v>
      </c>
      <c r="E379" s="435">
        <f t="shared" si="377"/>
        <v>-3.6619873701083334E-2</v>
      </c>
      <c r="F379" s="221"/>
      <c r="G379" s="222"/>
      <c r="H379" s="222"/>
      <c r="I379" s="6"/>
      <c r="J379" s="6"/>
      <c r="K379" s="6"/>
      <c r="L379" s="6"/>
      <c r="M379" s="6"/>
      <c r="N379" s="6"/>
      <c r="O379" s="6"/>
      <c r="P379" s="6"/>
      <c r="Q379" s="6"/>
      <c r="R379" s="6"/>
      <c r="S379" s="6"/>
      <c r="T379" s="6"/>
      <c r="U379" s="6"/>
      <c r="V379" s="6"/>
      <c r="W379" s="6"/>
      <c r="X379" s="6"/>
      <c r="Y379" s="6"/>
      <c r="Z379" s="6"/>
    </row>
    <row r="380" spans="1:26">
      <c r="A380" s="432">
        <v>43993</v>
      </c>
      <c r="B380" s="433">
        <v>15366.22</v>
      </c>
      <c r="C380" s="433">
        <v>863.52</v>
      </c>
      <c r="D380" s="434">
        <f t="shared" ref="D380:E380" si="378">LN(B380/B381)</f>
        <v>-4.9761459013187966E-2</v>
      </c>
      <c r="E380" s="435">
        <f t="shared" si="378"/>
        <v>-4.4485858133822354E-3</v>
      </c>
      <c r="F380" s="221"/>
      <c r="G380" s="222"/>
      <c r="H380" s="222"/>
      <c r="I380" s="6"/>
      <c r="J380" s="6"/>
      <c r="K380" s="6"/>
      <c r="L380" s="6"/>
      <c r="M380" s="6"/>
      <c r="N380" s="6"/>
      <c r="O380" s="6"/>
      <c r="P380" s="6"/>
      <c r="Q380" s="6"/>
      <c r="R380" s="6"/>
      <c r="S380" s="6"/>
      <c r="T380" s="6"/>
      <c r="U380" s="6"/>
      <c r="V380" s="6"/>
      <c r="W380" s="6"/>
      <c r="X380" s="6"/>
      <c r="Y380" s="6"/>
      <c r="Z380" s="6"/>
    </row>
    <row r="381" spans="1:26">
      <c r="A381" s="432">
        <v>43992</v>
      </c>
      <c r="B381" s="433">
        <v>16150.21</v>
      </c>
      <c r="C381" s="433">
        <v>867.37</v>
      </c>
      <c r="D381" s="434">
        <f t="shared" ref="D381:E381" si="379">LN(B381/B382)</f>
        <v>-1.9230978621579051E-2</v>
      </c>
      <c r="E381" s="435">
        <f t="shared" si="379"/>
        <v>-3.6929118640595948E-2</v>
      </c>
      <c r="F381" s="221"/>
      <c r="G381" s="222"/>
      <c r="H381" s="222"/>
      <c r="I381" s="6"/>
      <c r="J381" s="6"/>
      <c r="K381" s="6"/>
      <c r="L381" s="6"/>
      <c r="M381" s="6"/>
      <c r="N381" s="6"/>
      <c r="O381" s="6"/>
      <c r="P381" s="6"/>
      <c r="Q381" s="6"/>
      <c r="R381" s="6"/>
      <c r="S381" s="6"/>
      <c r="T381" s="6"/>
      <c r="U381" s="6"/>
      <c r="V381" s="6"/>
      <c r="W381" s="6"/>
      <c r="X381" s="6"/>
      <c r="Y381" s="6"/>
      <c r="Z381" s="6"/>
    </row>
    <row r="382" spans="1:26">
      <c r="A382" s="432">
        <v>43991</v>
      </c>
      <c r="B382" s="433">
        <v>16463.8</v>
      </c>
      <c r="C382" s="433">
        <v>900</v>
      </c>
      <c r="D382" s="434">
        <f t="shared" ref="D382:E382" si="380">LN(B382/B383)</f>
        <v>1.4388297312203745E-2</v>
      </c>
      <c r="E382" s="435">
        <f t="shared" si="380"/>
        <v>6.3353397360814466E-4</v>
      </c>
      <c r="F382" s="221"/>
      <c r="G382" s="222"/>
      <c r="H382" s="222"/>
      <c r="I382" s="6"/>
      <c r="J382" s="6"/>
      <c r="K382" s="6"/>
      <c r="L382" s="6"/>
      <c r="M382" s="6"/>
      <c r="N382" s="6"/>
      <c r="O382" s="6"/>
      <c r="P382" s="6"/>
      <c r="Q382" s="6"/>
      <c r="R382" s="6"/>
      <c r="S382" s="6"/>
      <c r="T382" s="6"/>
      <c r="U382" s="6"/>
      <c r="V382" s="6"/>
      <c r="W382" s="6"/>
      <c r="X382" s="6"/>
      <c r="Y382" s="6"/>
      <c r="Z382" s="6"/>
    </row>
    <row r="383" spans="1:26">
      <c r="A383" s="432">
        <v>43990</v>
      </c>
      <c r="B383" s="433">
        <v>16228.61</v>
      </c>
      <c r="C383" s="433">
        <v>899.43</v>
      </c>
      <c r="D383" s="434">
        <f t="shared" ref="D383:E383" si="381">LN(B383/B384)</f>
        <v>-1.2004476964411899E-2</v>
      </c>
      <c r="E383" s="435">
        <f t="shared" si="381"/>
        <v>-5.4464113386781506E-4</v>
      </c>
      <c r="F383" s="221"/>
      <c r="G383" s="222"/>
      <c r="H383" s="222"/>
      <c r="I383" s="6"/>
      <c r="J383" s="6"/>
      <c r="K383" s="6"/>
      <c r="L383" s="6"/>
      <c r="M383" s="6"/>
      <c r="N383" s="6"/>
      <c r="O383" s="6"/>
      <c r="P383" s="6"/>
      <c r="Q383" s="6"/>
      <c r="R383" s="6"/>
      <c r="S383" s="6"/>
      <c r="T383" s="6"/>
      <c r="U383" s="6"/>
      <c r="V383" s="6"/>
      <c r="W383" s="6"/>
      <c r="X383" s="6"/>
      <c r="Y383" s="6"/>
      <c r="Z383" s="6"/>
    </row>
    <row r="384" spans="1:26">
      <c r="A384" s="432">
        <v>43989</v>
      </c>
      <c r="B384" s="433">
        <v>16424.599999999999</v>
      </c>
      <c r="C384" s="433">
        <v>899.92</v>
      </c>
      <c r="D384" s="434">
        <f t="shared" ref="D384:E384" si="382">LN(B384/B385)</f>
        <v>2.3895165286176717E-3</v>
      </c>
      <c r="E384" s="435">
        <f t="shared" si="382"/>
        <v>1.5340643704827005E-2</v>
      </c>
      <c r="F384" s="221"/>
      <c r="G384" s="222"/>
      <c r="H384" s="222"/>
      <c r="I384" s="6"/>
      <c r="J384" s="6"/>
      <c r="K384" s="6"/>
      <c r="L384" s="6"/>
      <c r="M384" s="6"/>
      <c r="N384" s="6"/>
      <c r="O384" s="6"/>
      <c r="P384" s="6"/>
      <c r="Q384" s="6"/>
      <c r="R384" s="6"/>
      <c r="S384" s="6"/>
      <c r="T384" s="6"/>
      <c r="U384" s="6"/>
      <c r="V384" s="6"/>
      <c r="W384" s="6"/>
      <c r="X384" s="6"/>
      <c r="Y384" s="6"/>
      <c r="Z384" s="6"/>
    </row>
    <row r="385" spans="1:26">
      <c r="A385" s="432">
        <v>43986</v>
      </c>
      <c r="B385" s="433">
        <v>16385.400000000001</v>
      </c>
      <c r="C385" s="433">
        <v>886.22</v>
      </c>
      <c r="D385" s="434">
        <f t="shared" ref="D385:E385" si="383">LN(B385/B386)</f>
        <v>4.7962309461307305E-3</v>
      </c>
      <c r="E385" s="435">
        <f t="shared" si="383"/>
        <v>2.6212927128411484E-3</v>
      </c>
      <c r="F385" s="221"/>
      <c r="G385" s="222"/>
      <c r="H385" s="222"/>
      <c r="I385" s="6"/>
      <c r="J385" s="6"/>
      <c r="K385" s="6"/>
      <c r="L385" s="6"/>
      <c r="M385" s="6"/>
      <c r="N385" s="6"/>
      <c r="O385" s="6"/>
      <c r="P385" s="6"/>
      <c r="Q385" s="6"/>
      <c r="R385" s="6"/>
      <c r="S385" s="6"/>
      <c r="T385" s="6"/>
      <c r="U385" s="6"/>
      <c r="V385" s="6"/>
      <c r="W385" s="6"/>
      <c r="X385" s="6"/>
      <c r="Y385" s="6"/>
      <c r="Z385" s="6"/>
    </row>
    <row r="386" spans="1:26">
      <c r="A386" s="432">
        <v>43985</v>
      </c>
      <c r="B386" s="433">
        <v>16307</v>
      </c>
      <c r="C386" s="433">
        <v>883.9</v>
      </c>
      <c r="D386" s="434">
        <f t="shared" ref="D386:E386" si="384">LN(B386/B387)</f>
        <v>1.2091574276547301E-2</v>
      </c>
      <c r="E386" s="435">
        <f t="shared" si="384"/>
        <v>3.0933642030342911E-3</v>
      </c>
      <c r="F386" s="221"/>
      <c r="G386" s="222"/>
      <c r="H386" s="222"/>
      <c r="I386" s="6"/>
      <c r="J386" s="6"/>
      <c r="K386" s="6"/>
      <c r="L386" s="6"/>
      <c r="M386" s="6"/>
      <c r="N386" s="6"/>
      <c r="O386" s="6"/>
      <c r="P386" s="6"/>
      <c r="Q386" s="6"/>
      <c r="R386" s="6"/>
      <c r="S386" s="6"/>
      <c r="T386" s="6"/>
      <c r="U386" s="6"/>
      <c r="V386" s="6"/>
      <c r="W386" s="6"/>
      <c r="X386" s="6"/>
      <c r="Y386" s="6"/>
      <c r="Z386" s="6"/>
    </row>
    <row r="387" spans="1:26">
      <c r="A387" s="432">
        <v>43984</v>
      </c>
      <c r="B387" s="433">
        <v>16111.01</v>
      </c>
      <c r="C387" s="433">
        <v>881.17</v>
      </c>
      <c r="D387" s="434">
        <f t="shared" ref="D387:E387" si="385">LN(B387/B388)</f>
        <v>-1.2091574276547343E-2</v>
      </c>
      <c r="E387" s="435">
        <f t="shared" si="385"/>
        <v>7.2552810612552567E-3</v>
      </c>
      <c r="F387" s="221"/>
      <c r="G387" s="222"/>
      <c r="H387" s="222"/>
      <c r="I387" s="6"/>
      <c r="J387" s="6"/>
      <c r="K387" s="6"/>
      <c r="L387" s="6"/>
      <c r="M387" s="6"/>
      <c r="N387" s="6"/>
      <c r="O387" s="6"/>
      <c r="P387" s="6"/>
      <c r="Q387" s="6"/>
      <c r="R387" s="6"/>
      <c r="S387" s="6"/>
      <c r="T387" s="6"/>
      <c r="U387" s="6"/>
      <c r="V387" s="6"/>
      <c r="W387" s="6"/>
      <c r="X387" s="6"/>
      <c r="Y387" s="6"/>
      <c r="Z387" s="6"/>
    </row>
    <row r="388" spans="1:26">
      <c r="A388" s="432">
        <v>43983</v>
      </c>
      <c r="B388" s="433">
        <v>16307</v>
      </c>
      <c r="C388" s="433">
        <v>874.8</v>
      </c>
      <c r="D388" s="434">
        <f t="shared" ref="D388:E388" si="386">LN(B388/B389)</f>
        <v>-1.4320228153950594E-2</v>
      </c>
      <c r="E388" s="435">
        <f t="shared" si="386"/>
        <v>-4.4141117711867612E-3</v>
      </c>
      <c r="F388" s="221"/>
      <c r="G388" s="222"/>
      <c r="H388" s="222"/>
      <c r="I388" s="6"/>
      <c r="J388" s="6"/>
      <c r="K388" s="6"/>
      <c r="L388" s="6"/>
      <c r="M388" s="6"/>
      <c r="N388" s="6"/>
      <c r="O388" s="6"/>
      <c r="P388" s="6"/>
      <c r="Q388" s="6"/>
      <c r="R388" s="6"/>
      <c r="S388" s="6"/>
      <c r="T388" s="6"/>
      <c r="U388" s="6"/>
      <c r="V388" s="6"/>
      <c r="W388" s="6"/>
      <c r="X388" s="6"/>
      <c r="Y388" s="6"/>
      <c r="Z388" s="6"/>
    </row>
    <row r="389" spans="1:26">
      <c r="A389" s="432">
        <v>43982</v>
      </c>
      <c r="B389" s="433">
        <v>16542.2</v>
      </c>
      <c r="C389" s="433">
        <v>878.67</v>
      </c>
      <c r="D389" s="434">
        <f t="shared" ref="D389:E389" si="387">LN(B389/B390)</f>
        <v>4.7506603314104298E-3</v>
      </c>
      <c r="E389" s="435">
        <f t="shared" si="387"/>
        <v>1.629279819255269E-2</v>
      </c>
      <c r="F389" s="221"/>
      <c r="G389" s="222"/>
      <c r="H389" s="222"/>
      <c r="I389" s="6"/>
      <c r="J389" s="6"/>
      <c r="K389" s="6"/>
      <c r="L389" s="6"/>
      <c r="M389" s="6"/>
      <c r="N389" s="6"/>
      <c r="O389" s="6"/>
      <c r="P389" s="6"/>
      <c r="Q389" s="6"/>
      <c r="R389" s="6"/>
      <c r="S389" s="6"/>
      <c r="T389" s="6"/>
      <c r="U389" s="6"/>
      <c r="V389" s="6"/>
      <c r="W389" s="6"/>
      <c r="X389" s="6"/>
      <c r="Y389" s="6"/>
      <c r="Z389" s="6"/>
    </row>
    <row r="390" spans="1:26">
      <c r="A390" s="432">
        <v>43979</v>
      </c>
      <c r="B390" s="433">
        <v>16463.8</v>
      </c>
      <c r="C390" s="433">
        <v>864.47</v>
      </c>
      <c r="D390" s="434">
        <f t="shared" ref="D390:E390" si="388">LN(B390/B391)</f>
        <v>-2.1202462500859973E-2</v>
      </c>
      <c r="E390" s="435">
        <f t="shared" si="388"/>
        <v>3.569238837212337E-3</v>
      </c>
      <c r="F390" s="221"/>
      <c r="G390" s="222"/>
      <c r="H390" s="222"/>
      <c r="I390" s="6"/>
      <c r="J390" s="6"/>
      <c r="K390" s="6"/>
      <c r="L390" s="6"/>
      <c r="M390" s="6"/>
      <c r="N390" s="6"/>
      <c r="O390" s="6"/>
      <c r="P390" s="6"/>
      <c r="Q390" s="6"/>
      <c r="R390" s="6"/>
      <c r="S390" s="6"/>
      <c r="T390" s="6"/>
      <c r="U390" s="6"/>
      <c r="V390" s="6"/>
      <c r="W390" s="6"/>
      <c r="X390" s="6"/>
      <c r="Y390" s="6"/>
      <c r="Z390" s="6"/>
    </row>
    <row r="391" spans="1:26">
      <c r="A391" s="432">
        <v>43978</v>
      </c>
      <c r="B391" s="433">
        <v>16816.599999999999</v>
      </c>
      <c r="C391" s="433">
        <v>861.39</v>
      </c>
      <c r="D391" s="434">
        <f t="shared" ref="D391:E391" si="389">LN(B391/B392)</f>
        <v>-1.6184930260386119E-2</v>
      </c>
      <c r="E391" s="435">
        <f t="shared" si="389"/>
        <v>4.5495083910995718E-3</v>
      </c>
      <c r="F391" s="221"/>
      <c r="G391" s="222"/>
      <c r="H391" s="222"/>
      <c r="I391" s="6"/>
      <c r="J391" s="6"/>
      <c r="K391" s="6"/>
      <c r="L391" s="6"/>
      <c r="M391" s="6"/>
      <c r="N391" s="6"/>
      <c r="O391" s="6"/>
      <c r="P391" s="6"/>
      <c r="Q391" s="6"/>
      <c r="R391" s="6"/>
      <c r="S391" s="6"/>
      <c r="T391" s="6"/>
      <c r="U391" s="6"/>
      <c r="V391" s="6"/>
      <c r="W391" s="6"/>
      <c r="X391" s="6"/>
      <c r="Y391" s="6"/>
      <c r="Z391" s="6"/>
    </row>
    <row r="392" spans="1:26">
      <c r="A392" s="432">
        <v>43977</v>
      </c>
      <c r="B392" s="433">
        <v>17090.990000000002</v>
      </c>
      <c r="C392" s="433">
        <v>857.48</v>
      </c>
      <c r="D392" s="434">
        <f t="shared" ref="D392:E392" si="390">LN(B392/B393)</f>
        <v>-9.1325952648650625E-3</v>
      </c>
      <c r="E392" s="435">
        <f t="shared" si="390"/>
        <v>-1.3494856162110934E-2</v>
      </c>
      <c r="F392" s="221"/>
      <c r="G392" s="222"/>
      <c r="H392" s="222"/>
      <c r="I392" s="6"/>
      <c r="J392" s="6"/>
      <c r="K392" s="6"/>
      <c r="L392" s="6"/>
      <c r="M392" s="6"/>
      <c r="N392" s="6"/>
      <c r="O392" s="6"/>
      <c r="P392" s="6"/>
      <c r="Q392" s="6"/>
      <c r="R392" s="6"/>
      <c r="S392" s="6"/>
      <c r="T392" s="6"/>
      <c r="U392" s="6"/>
      <c r="V392" s="6"/>
      <c r="W392" s="6"/>
      <c r="X392" s="6"/>
      <c r="Y392" s="6"/>
      <c r="Z392" s="6"/>
    </row>
    <row r="393" spans="1:26">
      <c r="A393" s="432">
        <v>43976</v>
      </c>
      <c r="B393" s="433">
        <v>17247.79</v>
      </c>
      <c r="C393" s="433">
        <v>869.13</v>
      </c>
      <c r="D393" s="434">
        <f t="shared" ref="D393:E393" si="391">LN(B393/B394)</f>
        <v>2.9990486929612235E-2</v>
      </c>
      <c r="E393" s="435">
        <f t="shared" si="391"/>
        <v>1.1677224640786601E-2</v>
      </c>
      <c r="F393" s="221"/>
      <c r="G393" s="222"/>
      <c r="H393" s="222"/>
      <c r="I393" s="6"/>
      <c r="J393" s="6"/>
      <c r="K393" s="6"/>
      <c r="L393" s="6"/>
      <c r="M393" s="6"/>
      <c r="N393" s="6"/>
      <c r="O393" s="6"/>
      <c r="P393" s="6"/>
      <c r="Q393" s="6"/>
      <c r="R393" s="6"/>
      <c r="S393" s="6"/>
      <c r="T393" s="6"/>
      <c r="U393" s="6"/>
      <c r="V393" s="6"/>
      <c r="W393" s="6"/>
      <c r="X393" s="6"/>
      <c r="Y393" s="6"/>
      <c r="Z393" s="6"/>
    </row>
    <row r="394" spans="1:26">
      <c r="A394" s="432">
        <v>43975</v>
      </c>
      <c r="B394" s="433">
        <v>16738.2</v>
      </c>
      <c r="C394" s="433">
        <v>859.04</v>
      </c>
      <c r="D394" s="434">
        <f t="shared" ref="D394:E394" si="392">LN(B394/B395)</f>
        <v>1.4151349836748628E-2</v>
      </c>
      <c r="E394" s="435">
        <f t="shared" si="392"/>
        <v>7.3607922106073958E-3</v>
      </c>
      <c r="F394" s="221"/>
      <c r="G394" s="222"/>
      <c r="H394" s="222"/>
      <c r="I394" s="6"/>
      <c r="J394" s="6"/>
      <c r="K394" s="6"/>
      <c r="L394" s="6"/>
      <c r="M394" s="6"/>
      <c r="N394" s="6"/>
      <c r="O394" s="6"/>
      <c r="P394" s="6"/>
      <c r="Q394" s="6"/>
      <c r="R394" s="6"/>
      <c r="S394" s="6"/>
      <c r="T394" s="6"/>
      <c r="U394" s="6"/>
      <c r="V394" s="6"/>
      <c r="W394" s="6"/>
      <c r="X394" s="6"/>
      <c r="Y394" s="6"/>
      <c r="Z394" s="6"/>
    </row>
    <row r="395" spans="1:26">
      <c r="A395" s="432">
        <v>43972</v>
      </c>
      <c r="B395" s="433">
        <v>16503</v>
      </c>
      <c r="C395" s="433">
        <v>852.74</v>
      </c>
      <c r="D395" s="434">
        <f t="shared" ref="D395:E395" si="393">LN(B395/B396)</f>
        <v>2.3781512597505221E-3</v>
      </c>
      <c r="E395" s="435">
        <f t="shared" si="393"/>
        <v>-1.1647085559293805E-2</v>
      </c>
      <c r="F395" s="221"/>
      <c r="G395" s="222"/>
      <c r="H395" s="222"/>
      <c r="I395" s="6"/>
      <c r="J395" s="6"/>
      <c r="K395" s="6"/>
      <c r="L395" s="6"/>
      <c r="M395" s="6"/>
      <c r="N395" s="6"/>
      <c r="O395" s="6"/>
      <c r="P395" s="6"/>
      <c r="Q395" s="6"/>
      <c r="R395" s="6"/>
      <c r="S395" s="6"/>
      <c r="T395" s="6"/>
      <c r="U395" s="6"/>
      <c r="V395" s="6"/>
      <c r="W395" s="6"/>
      <c r="X395" s="6"/>
      <c r="Y395" s="6"/>
      <c r="Z395" s="6"/>
    </row>
    <row r="396" spans="1:26">
      <c r="A396" s="432">
        <v>43971</v>
      </c>
      <c r="B396" s="433">
        <v>16463.8</v>
      </c>
      <c r="C396" s="433">
        <v>862.73</v>
      </c>
      <c r="D396" s="434">
        <f t="shared" ref="D396:E396" si="394">LN(B396/B397)</f>
        <v>-9.4788585570257777E-3</v>
      </c>
      <c r="E396" s="435">
        <f t="shared" si="394"/>
        <v>1.1447748062664543E-2</v>
      </c>
      <c r="F396" s="221"/>
      <c r="G396" s="222"/>
      <c r="H396" s="222"/>
      <c r="I396" s="6"/>
      <c r="J396" s="6"/>
      <c r="K396" s="6"/>
      <c r="L396" s="6"/>
      <c r="M396" s="6"/>
      <c r="N396" s="6"/>
      <c r="O396" s="6"/>
      <c r="P396" s="6"/>
      <c r="Q396" s="6"/>
      <c r="R396" s="6"/>
      <c r="S396" s="6"/>
      <c r="T396" s="6"/>
      <c r="U396" s="6"/>
      <c r="V396" s="6"/>
      <c r="W396" s="6"/>
      <c r="X396" s="6"/>
      <c r="Y396" s="6"/>
      <c r="Z396" s="6"/>
    </row>
    <row r="397" spans="1:26">
      <c r="A397" s="432">
        <v>43970</v>
      </c>
      <c r="B397" s="433">
        <v>16620.599999999999</v>
      </c>
      <c r="C397" s="433">
        <v>852.91</v>
      </c>
      <c r="D397" s="434">
        <f t="shared" ref="D397:E397" si="395">LN(B397/B398)</f>
        <v>-4.7059475315892486E-3</v>
      </c>
      <c r="E397" s="435">
        <f t="shared" si="395"/>
        <v>8.2292394731411957E-3</v>
      </c>
      <c r="F397" s="221"/>
      <c r="G397" s="222"/>
      <c r="H397" s="222"/>
      <c r="I397" s="6"/>
      <c r="J397" s="6"/>
      <c r="K397" s="6"/>
      <c r="L397" s="6"/>
      <c r="M397" s="6"/>
      <c r="N397" s="6"/>
      <c r="O397" s="6"/>
      <c r="P397" s="6"/>
      <c r="Q397" s="6"/>
      <c r="R397" s="6"/>
      <c r="S397" s="6"/>
      <c r="T397" s="6"/>
      <c r="U397" s="6"/>
      <c r="V397" s="6"/>
      <c r="W397" s="6"/>
      <c r="X397" s="6"/>
      <c r="Y397" s="6"/>
      <c r="Z397" s="6"/>
    </row>
    <row r="398" spans="1:26">
      <c r="A398" s="432">
        <v>43969</v>
      </c>
      <c r="B398" s="433">
        <v>16699</v>
      </c>
      <c r="C398" s="433">
        <v>845.92</v>
      </c>
      <c r="D398" s="434">
        <f t="shared" ref="D398:E398" si="396">LN(B398/B399)</f>
        <v>4.705947531589318E-3</v>
      </c>
      <c r="E398" s="435">
        <f t="shared" si="396"/>
        <v>1.0588774637732425E-2</v>
      </c>
      <c r="F398" s="221"/>
      <c r="G398" s="222"/>
      <c r="H398" s="222"/>
      <c r="I398" s="6"/>
      <c r="J398" s="6"/>
      <c r="K398" s="6"/>
      <c r="L398" s="6"/>
      <c r="M398" s="6"/>
      <c r="N398" s="6"/>
      <c r="O398" s="6"/>
      <c r="P398" s="6"/>
      <c r="Q398" s="6"/>
      <c r="R398" s="6"/>
      <c r="S398" s="6"/>
      <c r="T398" s="6"/>
      <c r="U398" s="6"/>
      <c r="V398" s="6"/>
      <c r="W398" s="6"/>
      <c r="X398" s="6"/>
      <c r="Y398" s="6"/>
      <c r="Z398" s="6"/>
    </row>
    <row r="399" spans="1:26">
      <c r="A399" s="432">
        <v>43968</v>
      </c>
      <c r="B399" s="433">
        <v>16620.599999999999</v>
      </c>
      <c r="C399" s="433">
        <v>837.01</v>
      </c>
      <c r="D399" s="434">
        <f t="shared" ref="D399:E399" si="397">LN(B399/B400)</f>
        <v>-4.7059475315892486E-3</v>
      </c>
      <c r="E399" s="435">
        <f t="shared" si="397"/>
        <v>1.1995047788379242E-2</v>
      </c>
      <c r="F399" s="221"/>
      <c r="G399" s="222"/>
      <c r="H399" s="222"/>
      <c r="I399" s="6"/>
      <c r="J399" s="6"/>
      <c r="K399" s="6"/>
      <c r="L399" s="6"/>
      <c r="M399" s="6"/>
      <c r="N399" s="6"/>
      <c r="O399" s="6"/>
      <c r="P399" s="6"/>
      <c r="Q399" s="6"/>
      <c r="R399" s="6"/>
      <c r="S399" s="6"/>
      <c r="T399" s="6"/>
      <c r="U399" s="6"/>
      <c r="V399" s="6"/>
      <c r="W399" s="6"/>
      <c r="X399" s="6"/>
      <c r="Y399" s="6"/>
      <c r="Z399" s="6"/>
    </row>
    <row r="400" spans="1:26">
      <c r="A400" s="432">
        <v>43965</v>
      </c>
      <c r="B400" s="433">
        <v>16699</v>
      </c>
      <c r="C400" s="433">
        <v>827.03</v>
      </c>
      <c r="D400" s="434">
        <f t="shared" ref="D400:E400" si="398">LN(B400/B401)</f>
        <v>-3.0059840365797796E-2</v>
      </c>
      <c r="E400" s="435">
        <f t="shared" si="398"/>
        <v>-6.4721244584510593E-3</v>
      </c>
      <c r="F400" s="221"/>
      <c r="G400" s="222"/>
      <c r="H400" s="222"/>
      <c r="I400" s="6"/>
      <c r="J400" s="6"/>
      <c r="K400" s="6"/>
      <c r="L400" s="6"/>
      <c r="M400" s="6"/>
      <c r="N400" s="6"/>
      <c r="O400" s="6"/>
      <c r="P400" s="6"/>
      <c r="Q400" s="6"/>
      <c r="R400" s="6"/>
      <c r="S400" s="6"/>
      <c r="T400" s="6"/>
      <c r="U400" s="6"/>
      <c r="V400" s="6"/>
      <c r="W400" s="6"/>
      <c r="X400" s="6"/>
      <c r="Y400" s="6"/>
      <c r="Z400" s="6"/>
    </row>
    <row r="401" spans="1:26">
      <c r="A401" s="432">
        <v>43964</v>
      </c>
      <c r="B401" s="433">
        <v>17208.59</v>
      </c>
      <c r="C401" s="433">
        <v>832.4</v>
      </c>
      <c r="D401" s="434">
        <f t="shared" ref="D401:E401" si="399">LN(B401/B402)</f>
        <v>2.5375935087181042E-2</v>
      </c>
      <c r="E401" s="435">
        <f t="shared" si="399"/>
        <v>-2.1720747044813821E-3</v>
      </c>
      <c r="F401" s="221"/>
      <c r="G401" s="222"/>
      <c r="H401" s="222"/>
      <c r="I401" s="6"/>
      <c r="J401" s="6"/>
      <c r="K401" s="6"/>
      <c r="L401" s="6"/>
      <c r="M401" s="6"/>
      <c r="N401" s="6"/>
      <c r="O401" s="6"/>
      <c r="P401" s="6"/>
      <c r="Q401" s="6"/>
      <c r="R401" s="6"/>
      <c r="S401" s="6"/>
      <c r="T401" s="6"/>
      <c r="U401" s="6"/>
      <c r="V401" s="6"/>
      <c r="W401" s="6"/>
      <c r="X401" s="6"/>
      <c r="Y401" s="6"/>
      <c r="Z401" s="6"/>
    </row>
    <row r="402" spans="1:26">
      <c r="A402" s="432">
        <v>43963</v>
      </c>
      <c r="B402" s="433">
        <v>16777.400000000001</v>
      </c>
      <c r="C402" s="433">
        <v>834.21</v>
      </c>
      <c r="D402" s="434">
        <f t="shared" ref="D402:E402" si="400">LN(B402/B403)</f>
        <v>2.8438279189772032E-2</v>
      </c>
      <c r="E402" s="435">
        <f t="shared" si="400"/>
        <v>-1.3297157446147882E-3</v>
      </c>
      <c r="F402" s="221"/>
      <c r="G402" s="222"/>
      <c r="H402" s="222"/>
      <c r="I402" s="6"/>
      <c r="J402" s="6"/>
      <c r="K402" s="6"/>
      <c r="L402" s="6"/>
      <c r="M402" s="6"/>
      <c r="N402" s="6"/>
      <c r="O402" s="6"/>
      <c r="P402" s="6"/>
      <c r="Q402" s="6"/>
      <c r="R402" s="6"/>
      <c r="S402" s="6"/>
      <c r="T402" s="6"/>
      <c r="U402" s="6"/>
      <c r="V402" s="6"/>
      <c r="W402" s="6"/>
      <c r="X402" s="6"/>
      <c r="Y402" s="6"/>
      <c r="Z402" s="6"/>
    </row>
    <row r="403" spans="1:26">
      <c r="A403" s="432">
        <v>43962</v>
      </c>
      <c r="B403" s="433">
        <v>16307</v>
      </c>
      <c r="C403" s="433">
        <v>835.32</v>
      </c>
      <c r="D403" s="434">
        <f t="shared" ref="D403:E403" si="401">LN(B403/B404)</f>
        <v>-4.7962309461307339E-3</v>
      </c>
      <c r="E403" s="435">
        <f t="shared" si="401"/>
        <v>8.4032592589221369E-3</v>
      </c>
      <c r="F403" s="221"/>
      <c r="G403" s="222"/>
      <c r="H403" s="222"/>
      <c r="I403" s="6"/>
      <c r="J403" s="6"/>
      <c r="K403" s="6"/>
      <c r="L403" s="6"/>
      <c r="M403" s="6"/>
      <c r="N403" s="6"/>
      <c r="O403" s="6"/>
      <c r="P403" s="6"/>
      <c r="Q403" s="6"/>
      <c r="R403" s="6"/>
      <c r="S403" s="6"/>
      <c r="T403" s="6"/>
      <c r="U403" s="6"/>
      <c r="V403" s="6"/>
      <c r="W403" s="6"/>
      <c r="X403" s="6"/>
      <c r="Y403" s="6"/>
      <c r="Z403" s="6"/>
    </row>
    <row r="404" spans="1:26">
      <c r="A404" s="432">
        <v>43961</v>
      </c>
      <c r="B404" s="433">
        <v>16385.400000000001</v>
      </c>
      <c r="C404" s="433">
        <v>828.33</v>
      </c>
      <c r="D404" s="434">
        <f t="shared" ref="D404:E404" si="402">LN(B404/B405)</f>
        <v>1.2033369648063365E-2</v>
      </c>
      <c r="E404" s="435">
        <f t="shared" si="402"/>
        <v>1.7783010061872457E-2</v>
      </c>
      <c r="F404" s="221"/>
      <c r="G404" s="222"/>
      <c r="H404" s="222"/>
      <c r="I404" s="6"/>
      <c r="J404" s="6"/>
      <c r="K404" s="6"/>
      <c r="L404" s="6"/>
      <c r="M404" s="6"/>
      <c r="N404" s="6"/>
      <c r="O404" s="6"/>
      <c r="P404" s="6"/>
      <c r="Q404" s="6"/>
      <c r="R404" s="6"/>
      <c r="S404" s="6"/>
      <c r="T404" s="6"/>
      <c r="U404" s="6"/>
      <c r="V404" s="6"/>
      <c r="W404" s="6"/>
      <c r="X404" s="6"/>
      <c r="Y404" s="6"/>
      <c r="Z404" s="6"/>
    </row>
    <row r="405" spans="1:26">
      <c r="A405" s="432">
        <v>43958</v>
      </c>
      <c r="B405" s="433">
        <v>16189.41</v>
      </c>
      <c r="C405" s="433">
        <v>813.73</v>
      </c>
      <c r="D405" s="434">
        <f t="shared" ref="D405:E405" si="403">LN(B405/B406)</f>
        <v>1.7094635705302938E-2</v>
      </c>
      <c r="E405" s="435">
        <f t="shared" si="403"/>
        <v>2.1351267847408446E-2</v>
      </c>
      <c r="F405" s="221"/>
      <c r="G405" s="222"/>
      <c r="H405" s="222"/>
      <c r="I405" s="6"/>
      <c r="J405" s="6"/>
      <c r="K405" s="6"/>
      <c r="L405" s="6"/>
      <c r="M405" s="6"/>
      <c r="N405" s="6"/>
      <c r="O405" s="6"/>
      <c r="P405" s="6"/>
      <c r="Q405" s="6"/>
      <c r="R405" s="6"/>
      <c r="S405" s="6"/>
      <c r="T405" s="6"/>
      <c r="U405" s="6"/>
      <c r="V405" s="6"/>
      <c r="W405" s="6"/>
      <c r="X405" s="6"/>
      <c r="Y405" s="6"/>
      <c r="Z405" s="6"/>
    </row>
    <row r="406" spans="1:26">
      <c r="A406" s="432">
        <v>43957</v>
      </c>
      <c r="B406" s="433">
        <v>15915.01</v>
      </c>
      <c r="C406" s="433">
        <v>796.54</v>
      </c>
      <c r="D406" s="434">
        <f t="shared" ref="D406:E406" si="404">LN(B406/B407)</f>
        <v>-1.2240200130688156E-2</v>
      </c>
      <c r="E406" s="435">
        <f t="shared" si="404"/>
        <v>1.7668416025453122E-2</v>
      </c>
      <c r="F406" s="221"/>
      <c r="G406" s="222"/>
      <c r="H406" s="222"/>
      <c r="I406" s="6"/>
      <c r="J406" s="6"/>
      <c r="K406" s="6"/>
      <c r="L406" s="6"/>
      <c r="M406" s="6"/>
      <c r="N406" s="6"/>
      <c r="O406" s="6"/>
      <c r="P406" s="6"/>
      <c r="Q406" s="6"/>
      <c r="R406" s="6"/>
      <c r="S406" s="6"/>
      <c r="T406" s="6"/>
      <c r="U406" s="6"/>
      <c r="V406" s="6"/>
      <c r="W406" s="6"/>
      <c r="X406" s="6"/>
      <c r="Y406" s="6"/>
      <c r="Z406" s="6"/>
    </row>
    <row r="407" spans="1:26">
      <c r="A407" s="432">
        <v>43956</v>
      </c>
      <c r="B407" s="433">
        <v>16111.01</v>
      </c>
      <c r="C407" s="433">
        <v>782.59</v>
      </c>
      <c r="D407" s="434">
        <f t="shared" ref="D407:E407" si="405">LN(B407/B408)</f>
        <v>0</v>
      </c>
      <c r="E407" s="435">
        <f t="shared" si="405"/>
        <v>2.3831740450791252E-2</v>
      </c>
      <c r="F407" s="221"/>
      <c r="G407" s="222"/>
      <c r="H407" s="222"/>
      <c r="I407" s="6"/>
      <c r="J407" s="6"/>
      <c r="K407" s="6"/>
      <c r="L407" s="6"/>
      <c r="M407" s="6"/>
      <c r="N407" s="6"/>
      <c r="O407" s="6"/>
      <c r="P407" s="6"/>
      <c r="Q407" s="6"/>
      <c r="R407" s="6"/>
      <c r="S407" s="6"/>
      <c r="T407" s="6"/>
      <c r="U407" s="6"/>
      <c r="V407" s="6"/>
      <c r="W407" s="6"/>
      <c r="X407" s="6"/>
      <c r="Y407" s="6"/>
      <c r="Z407" s="6"/>
    </row>
    <row r="408" spans="1:26">
      <c r="A408" s="432">
        <v>43955</v>
      </c>
      <c r="B408" s="433">
        <v>16111.01</v>
      </c>
      <c r="C408" s="433">
        <v>764.16</v>
      </c>
      <c r="D408" s="434">
        <f t="shared" ref="D408:E408" si="406">LN(B408/B409)</f>
        <v>-7.2728447868838537E-3</v>
      </c>
      <c r="E408" s="435">
        <f t="shared" si="406"/>
        <v>2.2140278788619532E-3</v>
      </c>
      <c r="F408" s="221"/>
      <c r="G408" s="222"/>
      <c r="H408" s="222"/>
      <c r="I408" s="6"/>
      <c r="J408" s="6"/>
      <c r="K408" s="6"/>
      <c r="L408" s="6"/>
      <c r="M408" s="6"/>
      <c r="N408" s="6"/>
      <c r="O408" s="6"/>
      <c r="P408" s="6"/>
      <c r="Q408" s="6"/>
      <c r="R408" s="6"/>
      <c r="S408" s="6"/>
      <c r="T408" s="6"/>
      <c r="U408" s="6"/>
      <c r="V408" s="6"/>
      <c r="W408" s="6"/>
      <c r="X408" s="6"/>
      <c r="Y408" s="6"/>
      <c r="Z408" s="6"/>
    </row>
    <row r="409" spans="1:26">
      <c r="A409" s="432">
        <v>43954</v>
      </c>
      <c r="B409" s="433">
        <v>16228.61</v>
      </c>
      <c r="C409" s="433">
        <v>762.47</v>
      </c>
      <c r="D409" s="434">
        <f t="shared" ref="D409:E409" si="407">LN(B409/B410)</f>
        <v>-4.8187294896635691E-3</v>
      </c>
      <c r="E409" s="435">
        <f t="shared" si="407"/>
        <v>-8.6708387435900352E-3</v>
      </c>
      <c r="F409" s="221"/>
      <c r="G409" s="222"/>
      <c r="H409" s="222"/>
      <c r="I409" s="6"/>
      <c r="J409" s="6"/>
      <c r="K409" s="6"/>
      <c r="L409" s="6"/>
      <c r="M409" s="6"/>
      <c r="N409" s="6"/>
      <c r="O409" s="6"/>
      <c r="P409" s="6"/>
      <c r="Q409" s="6"/>
      <c r="R409" s="6"/>
      <c r="S409" s="6"/>
      <c r="T409" s="6"/>
      <c r="U409" s="6"/>
      <c r="V409" s="6"/>
      <c r="W409" s="6"/>
      <c r="X409" s="6"/>
      <c r="Y409" s="6"/>
      <c r="Z409" s="6"/>
    </row>
    <row r="410" spans="1:26">
      <c r="A410" s="432">
        <v>43949</v>
      </c>
      <c r="B410" s="433">
        <v>16307</v>
      </c>
      <c r="C410" s="433">
        <v>769.11</v>
      </c>
      <c r="D410" s="434">
        <f t="shared" ref="D410:E410" si="408">LN(B410/B411)</f>
        <v>1.9417701083164207E-2</v>
      </c>
      <c r="E410" s="435">
        <f t="shared" si="408"/>
        <v>2.4734442937300446E-3</v>
      </c>
      <c r="F410" s="221"/>
      <c r="G410" s="222"/>
      <c r="H410" s="222"/>
      <c r="I410" s="6"/>
      <c r="J410" s="6"/>
      <c r="K410" s="6"/>
      <c r="L410" s="6"/>
      <c r="M410" s="6"/>
      <c r="N410" s="6"/>
      <c r="O410" s="6"/>
      <c r="P410" s="6"/>
      <c r="Q410" s="6"/>
      <c r="R410" s="6"/>
      <c r="S410" s="6"/>
      <c r="T410" s="6"/>
      <c r="U410" s="6"/>
      <c r="V410" s="6"/>
      <c r="W410" s="6"/>
      <c r="X410" s="6"/>
      <c r="Y410" s="6"/>
      <c r="Z410" s="6"/>
    </row>
    <row r="411" spans="1:26">
      <c r="A411" s="432">
        <v>43948</v>
      </c>
      <c r="B411" s="433">
        <v>15993.41</v>
      </c>
      <c r="C411" s="433">
        <v>767.21</v>
      </c>
      <c r="D411" s="434">
        <f t="shared" ref="D411:E411" si="409">LN(B411/B412)</f>
        <v>9.8524140657218068E-3</v>
      </c>
      <c r="E411" s="435">
        <f t="shared" si="409"/>
        <v>-4.629457285687079E-3</v>
      </c>
      <c r="F411" s="221"/>
      <c r="G411" s="222"/>
      <c r="H411" s="222"/>
      <c r="I411" s="6"/>
      <c r="J411" s="6"/>
      <c r="K411" s="6"/>
      <c r="L411" s="6"/>
      <c r="M411" s="6"/>
      <c r="N411" s="6"/>
      <c r="O411" s="6"/>
      <c r="P411" s="6"/>
      <c r="Q411" s="6"/>
      <c r="R411" s="6"/>
      <c r="S411" s="6"/>
      <c r="T411" s="6"/>
      <c r="U411" s="6"/>
      <c r="V411" s="6"/>
      <c r="W411" s="6"/>
      <c r="X411" s="6"/>
      <c r="Y411" s="6"/>
      <c r="Z411" s="6"/>
    </row>
    <row r="412" spans="1:26">
      <c r="A412" s="432">
        <v>43947</v>
      </c>
      <c r="B412" s="433">
        <v>15836.61</v>
      </c>
      <c r="C412" s="433">
        <v>770.77</v>
      </c>
      <c r="D412" s="434">
        <f t="shared" ref="D412:E412" si="410">LN(B412/B413)</f>
        <v>-4.9383407416504974E-3</v>
      </c>
      <c r="E412" s="435">
        <f t="shared" si="410"/>
        <v>-7.6126589829962482E-3</v>
      </c>
      <c r="F412" s="221"/>
      <c r="G412" s="222"/>
      <c r="H412" s="222"/>
      <c r="I412" s="6"/>
      <c r="J412" s="6"/>
      <c r="K412" s="6"/>
      <c r="L412" s="6"/>
      <c r="M412" s="6"/>
      <c r="N412" s="6"/>
      <c r="O412" s="6"/>
      <c r="P412" s="6"/>
      <c r="Q412" s="6"/>
      <c r="R412" s="6"/>
      <c r="S412" s="6"/>
      <c r="T412" s="6"/>
      <c r="U412" s="6"/>
      <c r="V412" s="6"/>
      <c r="W412" s="6"/>
      <c r="X412" s="6"/>
      <c r="Y412" s="6"/>
      <c r="Z412" s="6"/>
    </row>
    <row r="413" spans="1:26">
      <c r="A413" s="432">
        <v>43944</v>
      </c>
      <c r="B413" s="433">
        <v>15915.01</v>
      </c>
      <c r="C413" s="433">
        <v>776.66</v>
      </c>
      <c r="D413" s="434">
        <f t="shared" ref="D413:E413" si="411">LN(B413/B414)</f>
        <v>0</v>
      </c>
      <c r="E413" s="435">
        <f t="shared" si="411"/>
        <v>3.5470864047847687E-3</v>
      </c>
      <c r="F413" s="221"/>
      <c r="G413" s="222"/>
      <c r="H413" s="222"/>
      <c r="I413" s="6"/>
      <c r="J413" s="6"/>
      <c r="K413" s="6"/>
      <c r="L413" s="6"/>
      <c r="M413" s="6"/>
      <c r="N413" s="6"/>
      <c r="O413" s="6"/>
      <c r="P413" s="6"/>
      <c r="Q413" s="6"/>
      <c r="R413" s="6"/>
      <c r="S413" s="6"/>
      <c r="T413" s="6"/>
      <c r="U413" s="6"/>
      <c r="V413" s="6"/>
      <c r="W413" s="6"/>
      <c r="X413" s="6"/>
      <c r="Y413" s="6"/>
      <c r="Z413" s="6"/>
    </row>
    <row r="414" spans="1:26">
      <c r="A414" s="432">
        <v>43943</v>
      </c>
      <c r="B414" s="433">
        <v>15915.01</v>
      </c>
      <c r="C414" s="433">
        <v>773.91</v>
      </c>
      <c r="D414" s="434">
        <f t="shared" ref="D414:E414" si="412">LN(B414/B415)</f>
        <v>4.9383407416503881E-3</v>
      </c>
      <c r="E414" s="435">
        <f t="shared" si="412"/>
        <v>6.4686548743649692E-3</v>
      </c>
      <c r="F414" s="221"/>
      <c r="G414" s="222"/>
      <c r="H414" s="222"/>
      <c r="I414" s="6"/>
      <c r="J414" s="6"/>
      <c r="K414" s="6"/>
      <c r="L414" s="6"/>
      <c r="M414" s="6"/>
      <c r="N414" s="6"/>
      <c r="O414" s="6"/>
      <c r="P414" s="6"/>
      <c r="Q414" s="6"/>
      <c r="R414" s="6"/>
      <c r="S414" s="6"/>
      <c r="T414" s="6"/>
      <c r="U414" s="6"/>
      <c r="V414" s="6"/>
      <c r="W414" s="6"/>
      <c r="X414" s="6"/>
      <c r="Y414" s="6"/>
      <c r="Z414" s="6"/>
    </row>
    <row r="415" spans="1:26">
      <c r="A415" s="432">
        <v>43942</v>
      </c>
      <c r="B415" s="433">
        <v>15836.61</v>
      </c>
      <c r="C415" s="433">
        <v>768.92</v>
      </c>
      <c r="D415" s="434">
        <f t="shared" ref="D415:E415" si="413">LN(B415/B416)</f>
        <v>0</v>
      </c>
      <c r="E415" s="435">
        <f t="shared" si="413"/>
        <v>2.7087582328107164E-3</v>
      </c>
      <c r="F415" s="221"/>
      <c r="G415" s="222"/>
      <c r="H415" s="222"/>
      <c r="I415" s="6"/>
      <c r="J415" s="6"/>
      <c r="K415" s="6"/>
      <c r="L415" s="6"/>
      <c r="M415" s="6"/>
      <c r="N415" s="6"/>
      <c r="O415" s="6"/>
      <c r="P415" s="6"/>
      <c r="Q415" s="6"/>
      <c r="R415" s="6"/>
      <c r="S415" s="6"/>
      <c r="T415" s="6"/>
      <c r="U415" s="6"/>
      <c r="V415" s="6"/>
      <c r="W415" s="6"/>
      <c r="X415" s="6"/>
      <c r="Y415" s="6"/>
      <c r="Z415" s="6"/>
    </row>
    <row r="416" spans="1:26">
      <c r="A416" s="432">
        <v>43941</v>
      </c>
      <c r="B416" s="433">
        <v>15836.61</v>
      </c>
      <c r="C416" s="433">
        <v>766.84</v>
      </c>
      <c r="D416" s="434">
        <f t="shared" ref="D416:E416" si="414">LN(B416/B417)</f>
        <v>-2.4451385659222447E-2</v>
      </c>
      <c r="E416" s="435">
        <f t="shared" si="414"/>
        <v>-3.6026203441411594E-2</v>
      </c>
      <c r="F416" s="221"/>
      <c r="G416" s="222"/>
      <c r="H416" s="222"/>
      <c r="I416" s="6"/>
      <c r="J416" s="6"/>
      <c r="K416" s="6"/>
      <c r="L416" s="6"/>
      <c r="M416" s="6"/>
      <c r="N416" s="6"/>
      <c r="O416" s="6"/>
      <c r="P416" s="6"/>
      <c r="Q416" s="6"/>
      <c r="R416" s="6"/>
      <c r="S416" s="6"/>
      <c r="T416" s="6"/>
      <c r="U416" s="6"/>
      <c r="V416" s="6"/>
      <c r="W416" s="6"/>
      <c r="X416" s="6"/>
      <c r="Y416" s="6"/>
      <c r="Z416" s="6"/>
    </row>
    <row r="417" spans="1:26">
      <c r="A417" s="432">
        <v>43940</v>
      </c>
      <c r="B417" s="433">
        <v>16228.61</v>
      </c>
      <c r="C417" s="433">
        <v>794.97</v>
      </c>
      <c r="D417" s="434">
        <f t="shared" ref="D417:E417" si="415">LN(B417/B418)</f>
        <v>9.7089283486128091E-3</v>
      </c>
      <c r="E417" s="435">
        <f t="shared" si="415"/>
        <v>6.777889973988315E-3</v>
      </c>
      <c r="F417" s="221"/>
      <c r="G417" s="222"/>
      <c r="H417" s="222"/>
      <c r="I417" s="6"/>
      <c r="J417" s="6"/>
      <c r="K417" s="6"/>
      <c r="L417" s="6"/>
      <c r="M417" s="6"/>
      <c r="N417" s="6"/>
      <c r="O417" s="6"/>
      <c r="P417" s="6"/>
      <c r="Q417" s="6"/>
      <c r="R417" s="6"/>
      <c r="S417" s="6"/>
      <c r="T417" s="6"/>
      <c r="U417" s="6"/>
      <c r="V417" s="6"/>
      <c r="W417" s="6"/>
      <c r="X417" s="6"/>
      <c r="Y417" s="6"/>
      <c r="Z417" s="6"/>
    </row>
    <row r="418" spans="1:26">
      <c r="A418" s="432">
        <v>43937</v>
      </c>
      <c r="B418" s="433">
        <v>16071.81</v>
      </c>
      <c r="C418" s="433">
        <v>789.6</v>
      </c>
      <c r="D418" s="434">
        <f t="shared" ref="D418:E418" si="416">LN(B418/B419)</f>
        <v>1.7220803095591101E-2</v>
      </c>
      <c r="E418" s="435">
        <f t="shared" si="416"/>
        <v>1.1335534993026579E-2</v>
      </c>
      <c r="F418" s="221"/>
      <c r="G418" s="222"/>
      <c r="H418" s="222"/>
      <c r="I418" s="6"/>
      <c r="J418" s="6"/>
      <c r="K418" s="6"/>
      <c r="L418" s="6"/>
      <c r="M418" s="6"/>
      <c r="N418" s="6"/>
      <c r="O418" s="6"/>
      <c r="P418" s="6"/>
      <c r="Q418" s="6"/>
      <c r="R418" s="6"/>
      <c r="S418" s="6"/>
      <c r="T418" s="6"/>
      <c r="U418" s="6"/>
      <c r="V418" s="6"/>
      <c r="W418" s="6"/>
      <c r="X418" s="6"/>
      <c r="Y418" s="6"/>
      <c r="Z418" s="6"/>
    </row>
    <row r="419" spans="1:26">
      <c r="A419" s="432">
        <v>43936</v>
      </c>
      <c r="B419" s="433">
        <v>15797.41</v>
      </c>
      <c r="C419" s="433">
        <v>780.7</v>
      </c>
      <c r="D419" s="434">
        <f t="shared" ref="D419:E419" si="417">LN(B419/B420)</f>
        <v>-1.7220803095591129E-2</v>
      </c>
      <c r="E419" s="435">
        <f t="shared" si="417"/>
        <v>4.4675025521028365E-3</v>
      </c>
      <c r="F419" s="221"/>
      <c r="G419" s="222"/>
      <c r="H419" s="222"/>
      <c r="I419" s="6"/>
      <c r="J419" s="6"/>
      <c r="K419" s="6"/>
      <c r="L419" s="6"/>
      <c r="M419" s="6"/>
      <c r="N419" s="6"/>
      <c r="O419" s="6"/>
      <c r="P419" s="6"/>
      <c r="Q419" s="6"/>
      <c r="R419" s="6"/>
      <c r="S419" s="6"/>
      <c r="T419" s="6"/>
      <c r="U419" s="6"/>
      <c r="V419" s="6"/>
      <c r="W419" s="6"/>
      <c r="X419" s="6"/>
      <c r="Y419" s="6"/>
      <c r="Z419" s="6"/>
    </row>
    <row r="420" spans="1:26">
      <c r="A420" s="432">
        <v>43935</v>
      </c>
      <c r="B420" s="433">
        <v>16071.81</v>
      </c>
      <c r="C420" s="433">
        <v>777.22</v>
      </c>
      <c r="D420" s="434">
        <f t="shared" ref="D420:E420" si="418">LN(B420/B421)</f>
        <v>-1.6928648787496701E-2</v>
      </c>
      <c r="E420" s="435">
        <f t="shared" si="418"/>
        <v>1.2702241832380615E-2</v>
      </c>
      <c r="F420" s="221"/>
      <c r="G420" s="222"/>
      <c r="H420" s="222"/>
      <c r="I420" s="6"/>
      <c r="J420" s="6"/>
      <c r="K420" s="6"/>
      <c r="L420" s="6"/>
      <c r="M420" s="6"/>
      <c r="N420" s="6"/>
      <c r="O420" s="6"/>
      <c r="P420" s="6"/>
      <c r="Q420" s="6"/>
      <c r="R420" s="6"/>
      <c r="S420" s="6"/>
      <c r="T420" s="6"/>
      <c r="U420" s="6"/>
      <c r="V420" s="6"/>
      <c r="W420" s="6"/>
      <c r="X420" s="6"/>
      <c r="Y420" s="6"/>
      <c r="Z420" s="6"/>
    </row>
    <row r="421" spans="1:26">
      <c r="A421" s="432">
        <v>43934</v>
      </c>
      <c r="B421" s="433">
        <v>16346.2</v>
      </c>
      <c r="C421" s="433">
        <v>767.41</v>
      </c>
      <c r="D421" s="434">
        <f t="shared" ref="D421:E421" si="419">LN(B421/B422)</f>
        <v>-4.784756525528123E-3</v>
      </c>
      <c r="E421" s="435">
        <f t="shared" si="419"/>
        <v>2.1132280235767044E-3</v>
      </c>
      <c r="F421" s="221"/>
      <c r="G421" s="222"/>
      <c r="H421" s="222"/>
      <c r="I421" s="6"/>
      <c r="J421" s="6"/>
      <c r="K421" s="6"/>
      <c r="L421" s="6"/>
      <c r="M421" s="6"/>
      <c r="N421" s="6"/>
      <c r="O421" s="6"/>
      <c r="P421" s="6"/>
      <c r="Q421" s="6"/>
      <c r="R421" s="6"/>
      <c r="S421" s="6"/>
      <c r="T421" s="6"/>
      <c r="U421" s="6"/>
      <c r="V421" s="6"/>
      <c r="W421" s="6"/>
      <c r="X421" s="6"/>
      <c r="Y421" s="6"/>
      <c r="Z421" s="6"/>
    </row>
    <row r="422" spans="1:26">
      <c r="A422" s="432">
        <v>43933</v>
      </c>
      <c r="B422" s="433">
        <v>16424.599999999999</v>
      </c>
      <c r="C422" s="433">
        <v>765.79</v>
      </c>
      <c r="D422" s="434">
        <f t="shared" ref="D422:E422" si="420">LN(B422/B423)</f>
        <v>2.3895165286176717E-3</v>
      </c>
      <c r="E422" s="435">
        <f t="shared" si="420"/>
        <v>1.0303753881612317E-2</v>
      </c>
      <c r="F422" s="221"/>
      <c r="G422" s="222"/>
      <c r="H422" s="222"/>
      <c r="I422" s="6"/>
      <c r="J422" s="6"/>
      <c r="K422" s="6"/>
      <c r="L422" s="6"/>
      <c r="M422" s="6"/>
      <c r="N422" s="6"/>
      <c r="O422" s="6"/>
      <c r="P422" s="6"/>
      <c r="Q422" s="6"/>
      <c r="R422" s="6"/>
      <c r="S422" s="6"/>
      <c r="T422" s="6"/>
      <c r="U422" s="6"/>
      <c r="V422" s="6"/>
      <c r="W422" s="6"/>
      <c r="X422" s="6"/>
      <c r="Y422" s="6"/>
      <c r="Z422" s="6"/>
    </row>
    <row r="423" spans="1:26">
      <c r="A423" s="432">
        <v>43930</v>
      </c>
      <c r="B423" s="433">
        <v>16385.400000000001</v>
      </c>
      <c r="C423" s="433">
        <v>757.94</v>
      </c>
      <c r="D423" s="434">
        <f t="shared" ref="D423:E423" si="421">LN(B423/B424)</f>
        <v>0</v>
      </c>
      <c r="E423" s="435">
        <f t="shared" si="421"/>
        <v>-3.1483227280086983E-3</v>
      </c>
      <c r="F423" s="221"/>
      <c r="G423" s="222"/>
      <c r="H423" s="222"/>
      <c r="I423" s="6"/>
      <c r="J423" s="6"/>
      <c r="K423" s="6"/>
      <c r="L423" s="6"/>
      <c r="M423" s="6"/>
      <c r="N423" s="6"/>
      <c r="O423" s="6"/>
      <c r="P423" s="6"/>
      <c r="Q423" s="6"/>
      <c r="R423" s="6"/>
      <c r="S423" s="6"/>
      <c r="T423" s="6"/>
      <c r="U423" s="6"/>
      <c r="V423" s="6"/>
      <c r="W423" s="6"/>
      <c r="X423" s="6"/>
      <c r="Y423" s="6"/>
      <c r="Z423" s="6"/>
    </row>
    <row r="424" spans="1:26">
      <c r="A424" s="432">
        <v>43929</v>
      </c>
      <c r="B424" s="433">
        <v>16385.400000000001</v>
      </c>
      <c r="C424" s="433">
        <v>760.33</v>
      </c>
      <c r="D424" s="434">
        <f t="shared" ref="D424:E424" si="422">LN(B424/B425)</f>
        <v>1.9323888784407044E-2</v>
      </c>
      <c r="E424" s="435">
        <f t="shared" si="422"/>
        <v>1.6322833979643073E-2</v>
      </c>
      <c r="F424" s="221"/>
      <c r="G424" s="222"/>
      <c r="H424" s="222"/>
      <c r="I424" s="6"/>
      <c r="J424" s="6"/>
      <c r="K424" s="6"/>
      <c r="L424" s="6"/>
      <c r="M424" s="6"/>
      <c r="N424" s="6"/>
      <c r="O424" s="6"/>
      <c r="P424" s="6"/>
      <c r="Q424" s="6"/>
      <c r="R424" s="6"/>
      <c r="S424" s="6"/>
      <c r="T424" s="6"/>
      <c r="U424" s="6"/>
      <c r="V424" s="6"/>
      <c r="W424" s="6"/>
      <c r="X424" s="6"/>
      <c r="Y424" s="6"/>
      <c r="Z424" s="6"/>
    </row>
    <row r="425" spans="1:26">
      <c r="A425" s="432">
        <v>43928</v>
      </c>
      <c r="B425" s="433">
        <v>16071.81</v>
      </c>
      <c r="C425" s="433">
        <v>748.02</v>
      </c>
      <c r="D425" s="434">
        <f t="shared" ref="D425:E425" si="423">LN(B425/B426)</f>
        <v>-1.4527657838276403E-2</v>
      </c>
      <c r="E425" s="435">
        <f t="shared" si="423"/>
        <v>1.7796098922337471E-3</v>
      </c>
      <c r="F425" s="221"/>
      <c r="G425" s="222"/>
      <c r="H425" s="222"/>
      <c r="I425" s="6"/>
      <c r="J425" s="6"/>
      <c r="K425" s="6"/>
      <c r="L425" s="6"/>
      <c r="M425" s="6"/>
      <c r="N425" s="6"/>
      <c r="O425" s="6"/>
      <c r="P425" s="6"/>
      <c r="Q425" s="6"/>
      <c r="R425" s="6"/>
      <c r="S425" s="6"/>
      <c r="T425" s="6"/>
      <c r="U425" s="6"/>
      <c r="V425" s="6"/>
      <c r="W425" s="6"/>
      <c r="X425" s="6"/>
      <c r="Y425" s="6"/>
      <c r="Z425" s="6"/>
    </row>
    <row r="426" spans="1:26">
      <c r="A426" s="432">
        <v>43927</v>
      </c>
      <c r="B426" s="433">
        <v>16307</v>
      </c>
      <c r="C426" s="433">
        <v>746.69</v>
      </c>
      <c r="D426" s="434">
        <f t="shared" ref="D426:E426" si="424">LN(B426/B427)</f>
        <v>0</v>
      </c>
      <c r="E426" s="435">
        <f t="shared" si="424"/>
        <v>1.3401484074900733E-2</v>
      </c>
      <c r="F426" s="221"/>
      <c r="G426" s="222"/>
      <c r="H426" s="222"/>
      <c r="I426" s="6"/>
      <c r="J426" s="6"/>
      <c r="K426" s="6"/>
      <c r="L426" s="6"/>
      <c r="M426" s="6"/>
      <c r="N426" s="6"/>
      <c r="O426" s="6"/>
      <c r="P426" s="6"/>
      <c r="Q426" s="6"/>
      <c r="R426" s="6"/>
      <c r="S426" s="6"/>
      <c r="T426" s="6"/>
      <c r="U426" s="6"/>
      <c r="V426" s="6"/>
      <c r="W426" s="6"/>
      <c r="X426" s="6"/>
      <c r="Y426" s="6"/>
      <c r="Z426" s="6"/>
    </row>
    <row r="427" spans="1:26">
      <c r="A427" s="432">
        <v>43926</v>
      </c>
      <c r="B427" s="433">
        <v>16307</v>
      </c>
      <c r="C427" s="433">
        <v>736.75</v>
      </c>
      <c r="D427" s="434">
        <f t="shared" ref="D427:E427" si="425">LN(B427/B428)</f>
        <v>4.9271024229668767E-2</v>
      </c>
      <c r="E427" s="435">
        <f t="shared" si="425"/>
        <v>4.8600158468689411E-2</v>
      </c>
      <c r="F427" s="221"/>
      <c r="G427" s="222"/>
      <c r="H427" s="222"/>
      <c r="I427" s="6"/>
      <c r="J427" s="6"/>
      <c r="K427" s="6"/>
      <c r="L427" s="6"/>
      <c r="M427" s="6"/>
      <c r="N427" s="6"/>
      <c r="O427" s="6"/>
      <c r="P427" s="6"/>
      <c r="Q427" s="6"/>
      <c r="R427" s="6"/>
      <c r="S427" s="6"/>
      <c r="T427" s="6"/>
      <c r="U427" s="6"/>
      <c r="V427" s="6"/>
      <c r="W427" s="6"/>
      <c r="X427" s="6"/>
      <c r="Y427" s="6"/>
      <c r="Z427" s="6"/>
    </row>
    <row r="428" spans="1:26">
      <c r="A428" s="432">
        <v>43923</v>
      </c>
      <c r="B428" s="433">
        <v>15523.01</v>
      </c>
      <c r="C428" s="433">
        <v>701.8</v>
      </c>
      <c r="D428" s="434">
        <f t="shared" ref="D428:E428" si="426">LN(B428/B429)</f>
        <v>-5.0378555369612159E-3</v>
      </c>
      <c r="E428" s="435">
        <f t="shared" si="426"/>
        <v>3.1217486873506558E-2</v>
      </c>
      <c r="F428" s="221"/>
      <c r="G428" s="222"/>
      <c r="H428" s="222"/>
      <c r="I428" s="6"/>
      <c r="J428" s="6"/>
      <c r="K428" s="6"/>
      <c r="L428" s="6"/>
      <c r="M428" s="6"/>
      <c r="N428" s="6"/>
      <c r="O428" s="6"/>
      <c r="P428" s="6"/>
      <c r="Q428" s="6"/>
      <c r="R428" s="6"/>
      <c r="S428" s="6"/>
      <c r="T428" s="6"/>
      <c r="U428" s="6"/>
      <c r="V428" s="6"/>
      <c r="W428" s="6"/>
      <c r="X428" s="6"/>
      <c r="Y428" s="6"/>
      <c r="Z428" s="6"/>
    </row>
    <row r="429" spans="1:26">
      <c r="A429" s="432">
        <v>43921</v>
      </c>
      <c r="B429" s="433">
        <v>15601.41</v>
      </c>
      <c r="C429" s="433">
        <v>680.23</v>
      </c>
      <c r="D429" s="434">
        <f t="shared" ref="D429:E429" si="427">LN(B429/B430)</f>
        <v>-5.0126027154746029E-3</v>
      </c>
      <c r="E429" s="435">
        <f t="shared" si="427"/>
        <v>2.636513642160784E-2</v>
      </c>
      <c r="F429" s="221"/>
      <c r="G429" s="222"/>
      <c r="H429" s="222"/>
      <c r="I429" s="6"/>
      <c r="J429" s="6"/>
      <c r="K429" s="6"/>
      <c r="L429" s="6"/>
      <c r="M429" s="6"/>
      <c r="N429" s="6"/>
      <c r="O429" s="6"/>
      <c r="P429" s="6"/>
      <c r="Q429" s="6"/>
      <c r="R429" s="6"/>
      <c r="S429" s="6"/>
      <c r="T429" s="6"/>
      <c r="U429" s="6"/>
      <c r="V429" s="6"/>
      <c r="W429" s="6"/>
      <c r="X429" s="6"/>
      <c r="Y429" s="6"/>
      <c r="Z429" s="6"/>
    </row>
    <row r="430" spans="1:26">
      <c r="A430" s="432">
        <v>43920</v>
      </c>
      <c r="B430" s="433">
        <v>15679.81</v>
      </c>
      <c r="C430" s="433">
        <v>662.53</v>
      </c>
      <c r="D430" s="434">
        <f t="shared" ref="D430:E430" si="428">LN(B430/B431)</f>
        <v>0</v>
      </c>
      <c r="E430" s="435">
        <f t="shared" si="428"/>
        <v>4.0761177807547178E-4</v>
      </c>
      <c r="F430" s="221"/>
      <c r="G430" s="222"/>
      <c r="H430" s="222"/>
      <c r="I430" s="6"/>
      <c r="J430" s="6"/>
      <c r="K430" s="6"/>
      <c r="L430" s="6"/>
      <c r="M430" s="6"/>
      <c r="N430" s="6"/>
      <c r="O430" s="6"/>
      <c r="P430" s="6"/>
      <c r="Q430" s="6"/>
      <c r="R430" s="6"/>
      <c r="S430" s="6"/>
      <c r="T430" s="6"/>
      <c r="U430" s="6"/>
      <c r="V430" s="6"/>
      <c r="W430" s="6"/>
      <c r="X430" s="6"/>
      <c r="Y430" s="6"/>
      <c r="Z430" s="6"/>
    </row>
    <row r="431" spans="1:26">
      <c r="A431" s="432">
        <v>43919</v>
      </c>
      <c r="B431" s="433">
        <v>15679.81</v>
      </c>
      <c r="C431" s="433">
        <v>662.26</v>
      </c>
      <c r="D431" s="434">
        <f t="shared" ref="D431:E431" si="429">LN(B431/B432)</f>
        <v>0</v>
      </c>
      <c r="E431" s="435">
        <f t="shared" si="429"/>
        <v>-4.977763543944564E-2</v>
      </c>
      <c r="F431" s="221"/>
      <c r="G431" s="222"/>
      <c r="H431" s="222"/>
      <c r="I431" s="6"/>
      <c r="J431" s="6"/>
      <c r="K431" s="6"/>
      <c r="L431" s="6"/>
      <c r="M431" s="6"/>
      <c r="N431" s="6"/>
      <c r="O431" s="6"/>
      <c r="P431" s="6"/>
      <c r="Q431" s="6"/>
      <c r="R431" s="6"/>
      <c r="S431" s="6"/>
      <c r="T431" s="6"/>
      <c r="U431" s="6"/>
      <c r="V431" s="6"/>
      <c r="W431" s="6"/>
      <c r="X431" s="6"/>
      <c r="Y431" s="6"/>
      <c r="Z431" s="6"/>
    </row>
    <row r="432" spans="1:26">
      <c r="A432" s="432">
        <v>43916</v>
      </c>
      <c r="B432" s="433">
        <v>15679.81</v>
      </c>
      <c r="C432" s="433">
        <v>696.06</v>
      </c>
      <c r="D432" s="434">
        <f t="shared" ref="D432:E432" si="430">LN(B432/B433)</f>
        <v>0</v>
      </c>
      <c r="E432" s="435">
        <f t="shared" si="430"/>
        <v>2.6613551208514597E-3</v>
      </c>
      <c r="F432" s="221"/>
      <c r="G432" s="222"/>
      <c r="H432" s="222"/>
      <c r="I432" s="6"/>
      <c r="J432" s="6"/>
      <c r="K432" s="6"/>
      <c r="L432" s="6"/>
      <c r="M432" s="6"/>
      <c r="N432" s="6"/>
      <c r="O432" s="6"/>
      <c r="P432" s="6"/>
      <c r="Q432" s="6"/>
      <c r="R432" s="6"/>
      <c r="S432" s="6"/>
      <c r="T432" s="6"/>
      <c r="U432" s="6"/>
      <c r="V432" s="6"/>
      <c r="W432" s="6"/>
      <c r="X432" s="6"/>
      <c r="Y432" s="6"/>
      <c r="Z432" s="6"/>
    </row>
    <row r="433" spans="1:26">
      <c r="A433" s="432">
        <v>43915</v>
      </c>
      <c r="B433" s="433">
        <v>15679.81</v>
      </c>
      <c r="C433" s="433">
        <v>694.21</v>
      </c>
      <c r="D433" s="434">
        <f t="shared" ref="D433:E433" si="431">LN(B433/B434)</f>
        <v>-4.9876017970759186E-3</v>
      </c>
      <c r="E433" s="435">
        <f t="shared" si="431"/>
        <v>5.7206575842550025E-3</v>
      </c>
      <c r="F433" s="221"/>
      <c r="G433" s="222"/>
      <c r="H433" s="222"/>
      <c r="I433" s="6"/>
      <c r="J433" s="6"/>
      <c r="K433" s="6"/>
      <c r="L433" s="6"/>
      <c r="M433" s="6"/>
      <c r="N433" s="6"/>
      <c r="O433" s="6"/>
      <c r="P433" s="6"/>
      <c r="Q433" s="6"/>
      <c r="R433" s="6"/>
      <c r="S433" s="6"/>
      <c r="T433" s="6"/>
      <c r="U433" s="6"/>
      <c r="V433" s="6"/>
      <c r="W433" s="6"/>
      <c r="X433" s="6"/>
      <c r="Y433" s="6"/>
      <c r="Z433" s="6"/>
    </row>
    <row r="434" spans="1:26">
      <c r="A434" s="432">
        <v>43914</v>
      </c>
      <c r="B434" s="433">
        <v>15758.21</v>
      </c>
      <c r="C434" s="433">
        <v>690.25</v>
      </c>
      <c r="D434" s="434">
        <f t="shared" ref="D434:E434" si="432">LN(B434/B435)</f>
        <v>4.8417031505783324E-2</v>
      </c>
      <c r="E434" s="435">
        <f t="shared" si="432"/>
        <v>4.6011702427150906E-2</v>
      </c>
      <c r="F434" s="221"/>
      <c r="G434" s="222"/>
      <c r="H434" s="222"/>
      <c r="I434" s="6"/>
      <c r="J434" s="6"/>
      <c r="K434" s="6"/>
      <c r="L434" s="6"/>
      <c r="M434" s="6"/>
      <c r="N434" s="6"/>
      <c r="O434" s="6"/>
      <c r="P434" s="6"/>
      <c r="Q434" s="6"/>
      <c r="R434" s="6"/>
      <c r="S434" s="6"/>
      <c r="T434" s="6"/>
      <c r="U434" s="6"/>
      <c r="V434" s="6"/>
      <c r="W434" s="6"/>
      <c r="X434" s="6"/>
      <c r="Y434" s="6"/>
      <c r="Z434" s="6"/>
    </row>
    <row r="435" spans="1:26">
      <c r="A435" s="432">
        <v>43913</v>
      </c>
      <c r="B435" s="433">
        <v>15013.42</v>
      </c>
      <c r="C435" s="433">
        <v>659.21</v>
      </c>
      <c r="D435" s="434">
        <f t="shared" ref="D435:E435" si="433">LN(B435/B436)</f>
        <v>-7.8024734650634676E-3</v>
      </c>
      <c r="E435" s="435">
        <f t="shared" si="433"/>
        <v>-1.113301587785287E-2</v>
      </c>
      <c r="F435" s="221"/>
      <c r="G435" s="222"/>
      <c r="H435" s="222"/>
      <c r="I435" s="6"/>
      <c r="J435" s="6"/>
      <c r="K435" s="6"/>
      <c r="L435" s="6"/>
      <c r="M435" s="6"/>
      <c r="N435" s="6"/>
      <c r="O435" s="6"/>
      <c r="P435" s="6"/>
      <c r="Q435" s="6"/>
      <c r="R435" s="6"/>
      <c r="S435" s="6"/>
      <c r="T435" s="6"/>
      <c r="U435" s="6"/>
      <c r="V435" s="6"/>
      <c r="W435" s="6"/>
      <c r="X435" s="6"/>
      <c r="Y435" s="6"/>
      <c r="Z435" s="6"/>
    </row>
    <row r="436" spans="1:26">
      <c r="A436" s="432">
        <v>43912</v>
      </c>
      <c r="B436" s="433">
        <v>15131.02</v>
      </c>
      <c r="C436" s="433">
        <v>666.59</v>
      </c>
      <c r="D436" s="434">
        <f t="shared" ref="D436:E436" si="434">LN(B436/B437)</f>
        <v>-5.051574781364114E-2</v>
      </c>
      <c r="E436" s="435">
        <f t="shared" si="434"/>
        <v>-6.270945175883598E-2</v>
      </c>
      <c r="F436" s="221"/>
      <c r="G436" s="222"/>
      <c r="H436" s="222"/>
      <c r="I436" s="6"/>
      <c r="J436" s="6"/>
      <c r="K436" s="6"/>
      <c r="L436" s="6"/>
      <c r="M436" s="6"/>
      <c r="N436" s="6"/>
      <c r="O436" s="6"/>
      <c r="P436" s="6"/>
      <c r="Q436" s="6"/>
      <c r="R436" s="6"/>
      <c r="S436" s="6"/>
      <c r="T436" s="6"/>
      <c r="U436" s="6"/>
      <c r="V436" s="6"/>
      <c r="W436" s="6"/>
      <c r="X436" s="6"/>
      <c r="Y436" s="6"/>
      <c r="Z436" s="6"/>
    </row>
    <row r="437" spans="1:26">
      <c r="A437" s="432">
        <v>43909</v>
      </c>
      <c r="B437" s="433">
        <v>15915.01</v>
      </c>
      <c r="C437" s="433">
        <v>709.73</v>
      </c>
      <c r="D437" s="434">
        <f t="shared" ref="D437:E437" si="435">LN(B437/B438)</f>
        <v>-1.2240200130688156E-2</v>
      </c>
      <c r="E437" s="435">
        <f t="shared" si="435"/>
        <v>-2.2582750761639764E-2</v>
      </c>
      <c r="F437" s="221"/>
      <c r="G437" s="222"/>
      <c r="H437" s="222"/>
      <c r="I437" s="6"/>
      <c r="J437" s="6"/>
      <c r="K437" s="6"/>
      <c r="L437" s="6"/>
      <c r="M437" s="6"/>
      <c r="N437" s="6"/>
      <c r="O437" s="6"/>
      <c r="P437" s="6"/>
      <c r="Q437" s="6"/>
      <c r="R437" s="6"/>
      <c r="S437" s="6"/>
      <c r="T437" s="6"/>
      <c r="U437" s="6"/>
      <c r="V437" s="6"/>
      <c r="W437" s="6"/>
      <c r="X437" s="6"/>
      <c r="Y437" s="6"/>
      <c r="Z437" s="6"/>
    </row>
    <row r="438" spans="1:26">
      <c r="A438" s="432">
        <v>43908</v>
      </c>
      <c r="B438" s="433">
        <v>16111.01</v>
      </c>
      <c r="C438" s="433">
        <v>725.94</v>
      </c>
      <c r="D438" s="434">
        <f t="shared" ref="D438:E438" si="436">LN(B438/B439)</f>
        <v>-1.9277321751295824E-2</v>
      </c>
      <c r="E438" s="435">
        <f t="shared" si="436"/>
        <v>-2.9480962401389591E-2</v>
      </c>
      <c r="F438" s="221"/>
      <c r="G438" s="222"/>
      <c r="H438" s="222"/>
      <c r="I438" s="6"/>
      <c r="J438" s="6"/>
      <c r="K438" s="6"/>
      <c r="L438" s="6"/>
      <c r="M438" s="6"/>
      <c r="N438" s="6"/>
      <c r="O438" s="6"/>
      <c r="P438" s="6"/>
      <c r="Q438" s="6"/>
      <c r="R438" s="6"/>
      <c r="S438" s="6"/>
      <c r="T438" s="6"/>
      <c r="U438" s="6"/>
      <c r="V438" s="6"/>
      <c r="W438" s="6"/>
      <c r="X438" s="6"/>
      <c r="Y438" s="6"/>
      <c r="Z438" s="6"/>
    </row>
    <row r="439" spans="1:26">
      <c r="A439" s="432">
        <v>43907</v>
      </c>
      <c r="B439" s="433">
        <v>16424.599999999999</v>
      </c>
      <c r="C439" s="433">
        <v>747.66</v>
      </c>
      <c r="D439" s="434">
        <f t="shared" ref="D439:E439" si="437">LN(B439/B440)</f>
        <v>2.4155437873079728E-2</v>
      </c>
      <c r="E439" s="435">
        <f t="shared" si="437"/>
        <v>2.5176786386648946E-3</v>
      </c>
      <c r="F439" s="221"/>
      <c r="G439" s="222"/>
      <c r="H439" s="222"/>
      <c r="I439" s="6"/>
      <c r="J439" s="6"/>
      <c r="K439" s="6"/>
      <c r="L439" s="6"/>
      <c r="M439" s="6"/>
      <c r="N439" s="6"/>
      <c r="O439" s="6"/>
      <c r="P439" s="6"/>
      <c r="Q439" s="6"/>
      <c r="R439" s="6"/>
      <c r="S439" s="6"/>
      <c r="T439" s="6"/>
      <c r="U439" s="6"/>
      <c r="V439" s="6"/>
      <c r="W439" s="6"/>
      <c r="X439" s="6"/>
      <c r="Y439" s="6"/>
      <c r="Z439" s="6"/>
    </row>
    <row r="440" spans="1:26">
      <c r="A440" s="432">
        <v>43906</v>
      </c>
      <c r="B440" s="433">
        <v>16032.61</v>
      </c>
      <c r="C440" s="433">
        <v>745.78</v>
      </c>
      <c r="D440" s="434">
        <f t="shared" ref="D440:E440" si="438">LN(B440/B441)</f>
        <v>7.3620840089042659E-3</v>
      </c>
      <c r="E440" s="435">
        <f t="shared" si="438"/>
        <v>-2.7851441372102712E-3</v>
      </c>
      <c r="F440" s="221"/>
      <c r="G440" s="222"/>
      <c r="H440" s="222"/>
      <c r="I440" s="6"/>
      <c r="J440" s="6"/>
      <c r="K440" s="6"/>
      <c r="L440" s="6"/>
      <c r="M440" s="6"/>
      <c r="N440" s="6"/>
      <c r="O440" s="6"/>
      <c r="P440" s="6"/>
      <c r="Q440" s="6"/>
      <c r="R440" s="6"/>
      <c r="S440" s="6"/>
      <c r="T440" s="6"/>
      <c r="U440" s="6"/>
      <c r="V440" s="6"/>
      <c r="W440" s="6"/>
      <c r="X440" s="6"/>
      <c r="Y440" s="6"/>
      <c r="Z440" s="6"/>
    </row>
    <row r="441" spans="1:26">
      <c r="A441" s="432">
        <v>43905</v>
      </c>
      <c r="B441" s="433">
        <v>15915.01</v>
      </c>
      <c r="C441" s="433">
        <v>747.86</v>
      </c>
      <c r="D441" s="434">
        <f t="shared" ref="D441:E441" si="439">LN(B441/B442)</f>
        <v>-3.3901342229775665E-2</v>
      </c>
      <c r="E441" s="435">
        <f t="shared" si="439"/>
        <v>-1.8442005408623657E-2</v>
      </c>
      <c r="F441" s="221"/>
      <c r="G441" s="222"/>
      <c r="H441" s="222"/>
      <c r="I441" s="6"/>
      <c r="J441" s="6"/>
      <c r="K441" s="6"/>
      <c r="L441" s="6"/>
      <c r="M441" s="6"/>
      <c r="N441" s="6"/>
      <c r="O441" s="6"/>
      <c r="P441" s="6"/>
      <c r="Q441" s="6"/>
      <c r="R441" s="6"/>
      <c r="S441" s="6"/>
      <c r="T441" s="6"/>
      <c r="U441" s="6"/>
      <c r="V441" s="6"/>
      <c r="W441" s="6"/>
      <c r="X441" s="6"/>
      <c r="Y441" s="6"/>
      <c r="Z441" s="6"/>
    </row>
    <row r="442" spans="1:26">
      <c r="A442" s="432">
        <v>43902</v>
      </c>
      <c r="B442" s="433">
        <v>16463.8</v>
      </c>
      <c r="C442" s="433">
        <v>761.78</v>
      </c>
      <c r="D442" s="434">
        <f t="shared" ref="D442:E442" si="440">LN(B442/B443)</f>
        <v>-4.7506603314104497E-3</v>
      </c>
      <c r="E442" s="435">
        <f t="shared" si="440"/>
        <v>-9.7582141121510119E-3</v>
      </c>
      <c r="F442" s="221"/>
      <c r="G442" s="222"/>
      <c r="H442" s="222"/>
      <c r="I442" s="6"/>
      <c r="J442" s="6"/>
      <c r="K442" s="6"/>
      <c r="L442" s="6"/>
      <c r="M442" s="6"/>
      <c r="N442" s="6"/>
      <c r="O442" s="6"/>
      <c r="P442" s="6"/>
      <c r="Q442" s="6"/>
      <c r="R442" s="6"/>
      <c r="S442" s="6"/>
      <c r="T442" s="6"/>
      <c r="U442" s="6"/>
      <c r="V442" s="6"/>
      <c r="W442" s="6"/>
      <c r="X442" s="6"/>
      <c r="Y442" s="6"/>
      <c r="Z442" s="6"/>
    </row>
    <row r="443" spans="1:26">
      <c r="A443" s="432">
        <v>43901</v>
      </c>
      <c r="B443" s="433">
        <v>16542.2</v>
      </c>
      <c r="C443" s="433">
        <v>769.25</v>
      </c>
      <c r="D443" s="434">
        <f t="shared" ref="D443:E443" si="441">LN(B443/B444)</f>
        <v>-2.3420554075890027E-2</v>
      </c>
      <c r="E443" s="435">
        <f t="shared" si="441"/>
        <v>-5.3283512783394466E-2</v>
      </c>
      <c r="F443" s="221"/>
      <c r="G443" s="222"/>
      <c r="H443" s="222"/>
      <c r="I443" s="6"/>
      <c r="J443" s="6"/>
      <c r="K443" s="6"/>
      <c r="L443" s="6"/>
      <c r="M443" s="6"/>
      <c r="N443" s="6"/>
      <c r="O443" s="6"/>
      <c r="P443" s="6"/>
      <c r="Q443" s="6"/>
      <c r="R443" s="6"/>
      <c r="S443" s="6"/>
      <c r="T443" s="6"/>
      <c r="U443" s="6"/>
      <c r="V443" s="6"/>
      <c r="W443" s="6"/>
      <c r="X443" s="6"/>
      <c r="Y443" s="6"/>
      <c r="Z443" s="6"/>
    </row>
    <row r="444" spans="1:26">
      <c r="A444" s="432">
        <v>43900</v>
      </c>
      <c r="B444" s="433">
        <v>16934.2</v>
      </c>
      <c r="C444" s="433">
        <v>811.35</v>
      </c>
      <c r="D444" s="434">
        <f t="shared" ref="D444:E444" si="442">LN(B444/B445)</f>
        <v>9.3025030400685528E-3</v>
      </c>
      <c r="E444" s="435">
        <f t="shared" si="442"/>
        <v>-3.1721736713675779E-2</v>
      </c>
      <c r="F444" s="221"/>
      <c r="G444" s="222"/>
      <c r="H444" s="222"/>
      <c r="I444" s="6"/>
      <c r="J444" s="6"/>
      <c r="K444" s="6"/>
      <c r="L444" s="6"/>
      <c r="M444" s="6"/>
      <c r="N444" s="6"/>
      <c r="O444" s="6"/>
      <c r="P444" s="6"/>
      <c r="Q444" s="6"/>
      <c r="R444" s="6"/>
      <c r="S444" s="6"/>
      <c r="T444" s="6"/>
      <c r="U444" s="6"/>
      <c r="V444" s="6"/>
      <c r="W444" s="6"/>
      <c r="X444" s="6"/>
      <c r="Y444" s="6"/>
      <c r="Z444" s="6"/>
    </row>
    <row r="445" spans="1:26">
      <c r="A445" s="432">
        <v>43899</v>
      </c>
      <c r="B445" s="433">
        <v>16777.400000000001</v>
      </c>
      <c r="C445" s="433">
        <v>837.5</v>
      </c>
      <c r="D445" s="434">
        <f t="shared" ref="D445:E445" si="443">LN(B445/B446)</f>
        <v>-1.1614670074242668E-2</v>
      </c>
      <c r="E445" s="435">
        <f t="shared" si="443"/>
        <v>2.4028846163103158E-3</v>
      </c>
      <c r="F445" s="221"/>
      <c r="G445" s="222"/>
      <c r="H445" s="222"/>
      <c r="I445" s="6"/>
      <c r="J445" s="6"/>
      <c r="K445" s="6"/>
      <c r="L445" s="6"/>
      <c r="M445" s="6"/>
      <c r="N445" s="6"/>
      <c r="O445" s="6"/>
      <c r="P445" s="6"/>
      <c r="Q445" s="6"/>
      <c r="R445" s="6"/>
      <c r="S445" s="6"/>
      <c r="T445" s="6"/>
      <c r="U445" s="6"/>
      <c r="V445" s="6"/>
      <c r="W445" s="6"/>
      <c r="X445" s="6"/>
      <c r="Y445" s="6"/>
      <c r="Z445" s="6"/>
    </row>
    <row r="446" spans="1:26">
      <c r="A446" s="432">
        <v>43898</v>
      </c>
      <c r="B446" s="433">
        <v>16973.400000000001</v>
      </c>
      <c r="C446" s="433">
        <v>835.49</v>
      </c>
      <c r="D446" s="434">
        <f t="shared" ref="D446:E446" si="444">LN(B446/B447)</f>
        <v>-7.1299391241779558E-2</v>
      </c>
      <c r="E446" s="435">
        <f t="shared" si="444"/>
        <v>-6.4819753655887366E-2</v>
      </c>
      <c r="F446" s="221"/>
      <c r="G446" s="222"/>
      <c r="H446" s="222"/>
      <c r="I446" s="6"/>
      <c r="J446" s="6"/>
      <c r="K446" s="6"/>
      <c r="L446" s="6"/>
      <c r="M446" s="6"/>
      <c r="N446" s="6"/>
      <c r="O446" s="6"/>
      <c r="P446" s="6"/>
      <c r="Q446" s="6"/>
      <c r="R446" s="6"/>
      <c r="S446" s="6"/>
      <c r="T446" s="6"/>
      <c r="U446" s="6"/>
      <c r="V446" s="6"/>
      <c r="W446" s="6"/>
      <c r="X446" s="6"/>
      <c r="Y446" s="6"/>
      <c r="Z446" s="6"/>
    </row>
    <row r="447" spans="1:26">
      <c r="A447" s="432">
        <v>43895</v>
      </c>
      <c r="B447" s="433">
        <v>18227.78</v>
      </c>
      <c r="C447" s="433">
        <v>891.44</v>
      </c>
      <c r="D447" s="434">
        <f t="shared" ref="D447:E447" si="445">LN(B447/B448)</f>
        <v>-1.2820842180508692E-2</v>
      </c>
      <c r="E447" s="435">
        <f t="shared" si="445"/>
        <v>-2.0955323538914003E-3</v>
      </c>
      <c r="F447" s="221"/>
      <c r="G447" s="222"/>
      <c r="H447" s="222"/>
      <c r="I447" s="6"/>
      <c r="J447" s="6"/>
      <c r="K447" s="6"/>
      <c r="L447" s="6"/>
      <c r="M447" s="6"/>
      <c r="N447" s="6"/>
      <c r="O447" s="6"/>
      <c r="P447" s="6"/>
      <c r="Q447" s="6"/>
      <c r="R447" s="6"/>
      <c r="S447" s="6"/>
      <c r="T447" s="6"/>
      <c r="U447" s="6"/>
      <c r="V447" s="6"/>
      <c r="W447" s="6"/>
      <c r="X447" s="6"/>
      <c r="Y447" s="6"/>
      <c r="Z447" s="6"/>
    </row>
    <row r="448" spans="1:26">
      <c r="A448" s="432">
        <v>43894</v>
      </c>
      <c r="B448" s="433">
        <v>18462.98</v>
      </c>
      <c r="C448" s="433">
        <v>893.31</v>
      </c>
      <c r="D448" s="434">
        <f t="shared" ref="D448:E448" si="446">LN(B448/B449)</f>
        <v>4.7835221955938326E-2</v>
      </c>
      <c r="E448" s="435">
        <f t="shared" si="446"/>
        <v>4.4203181898856501E-3</v>
      </c>
      <c r="F448" s="221"/>
      <c r="G448" s="222"/>
      <c r="H448" s="222"/>
      <c r="I448" s="6"/>
      <c r="J448" s="6"/>
      <c r="K448" s="6"/>
      <c r="L448" s="6"/>
      <c r="M448" s="6"/>
      <c r="N448" s="6"/>
      <c r="O448" s="6"/>
      <c r="P448" s="6"/>
      <c r="Q448" s="6"/>
      <c r="R448" s="6"/>
      <c r="S448" s="6"/>
      <c r="T448" s="6"/>
      <c r="U448" s="6"/>
      <c r="V448" s="6"/>
      <c r="W448" s="6"/>
      <c r="X448" s="6"/>
      <c r="Y448" s="6"/>
      <c r="Z448" s="6"/>
    </row>
    <row r="449" spans="1:26">
      <c r="A449" s="432">
        <v>43893</v>
      </c>
      <c r="B449" s="433">
        <v>17600.59</v>
      </c>
      <c r="C449" s="433">
        <v>889.37</v>
      </c>
      <c r="D449" s="434">
        <f t="shared" ref="D449:E449" si="447">LN(B449/B450)</f>
        <v>6.6768392907824492E-2</v>
      </c>
      <c r="E449" s="435">
        <f t="shared" si="447"/>
        <v>-1.3932743071181255E-3</v>
      </c>
      <c r="F449" s="221"/>
      <c r="G449" s="222"/>
      <c r="H449" s="222"/>
      <c r="I449" s="6"/>
      <c r="J449" s="6"/>
      <c r="K449" s="6"/>
      <c r="L449" s="6"/>
      <c r="M449" s="6"/>
      <c r="N449" s="6"/>
      <c r="O449" s="6"/>
      <c r="P449" s="6"/>
      <c r="Q449" s="6"/>
      <c r="R449" s="6"/>
      <c r="S449" s="6"/>
      <c r="T449" s="6"/>
      <c r="U449" s="6"/>
      <c r="V449" s="6"/>
      <c r="W449" s="6"/>
      <c r="X449" s="6"/>
      <c r="Y449" s="6"/>
      <c r="Z449" s="6"/>
    </row>
    <row r="450" spans="1:26">
      <c r="A450" s="432">
        <v>43892</v>
      </c>
      <c r="B450" s="433">
        <v>16463.8</v>
      </c>
      <c r="C450" s="433">
        <v>890.61</v>
      </c>
      <c r="D450" s="434">
        <f t="shared" ref="D450:E450" si="448">LN(B450/B451)</f>
        <v>3.883968297142619E-2</v>
      </c>
      <c r="E450" s="435">
        <f t="shared" si="448"/>
        <v>6.9632514993675232E-3</v>
      </c>
      <c r="F450" s="221"/>
      <c r="G450" s="222"/>
      <c r="H450" s="222"/>
      <c r="I450" s="6"/>
      <c r="J450" s="6"/>
      <c r="K450" s="6"/>
      <c r="L450" s="6"/>
      <c r="M450" s="6"/>
      <c r="N450" s="6"/>
      <c r="O450" s="6"/>
      <c r="P450" s="6"/>
      <c r="Q450" s="6"/>
      <c r="R450" s="6"/>
      <c r="S450" s="6"/>
      <c r="T450" s="6"/>
      <c r="U450" s="6"/>
      <c r="V450" s="6"/>
      <c r="W450" s="6"/>
      <c r="X450" s="6"/>
      <c r="Y450" s="6"/>
      <c r="Z450" s="6"/>
    </row>
    <row r="451" spans="1:26">
      <c r="A451" s="432">
        <v>43891</v>
      </c>
      <c r="B451" s="433">
        <v>15836.61</v>
      </c>
      <c r="C451" s="433">
        <v>884.43</v>
      </c>
      <c r="D451" s="434">
        <f t="shared" ref="D451:E451" si="449">LN(B451/B452)</f>
        <v>-3.883968297142612E-2</v>
      </c>
      <c r="E451" s="435">
        <f t="shared" si="449"/>
        <v>2.5359174020788016E-3</v>
      </c>
      <c r="F451" s="221"/>
      <c r="G451" s="222"/>
      <c r="H451" s="222"/>
      <c r="I451" s="6"/>
      <c r="J451" s="6"/>
      <c r="K451" s="6"/>
      <c r="L451" s="6"/>
      <c r="M451" s="6"/>
      <c r="N451" s="6"/>
      <c r="O451" s="6"/>
      <c r="P451" s="6"/>
      <c r="Q451" s="6"/>
      <c r="R451" s="6"/>
      <c r="S451" s="6"/>
      <c r="T451" s="6"/>
      <c r="U451" s="6"/>
      <c r="V451" s="6"/>
      <c r="W451" s="6"/>
      <c r="X451" s="6"/>
      <c r="Y451" s="6"/>
      <c r="Z451" s="6"/>
    </row>
    <row r="452" spans="1:26">
      <c r="A452" s="432">
        <v>43888</v>
      </c>
      <c r="B452" s="433">
        <v>16463.8</v>
      </c>
      <c r="C452" s="433">
        <v>882.19</v>
      </c>
      <c r="D452" s="434">
        <f t="shared" ref="D452:E452" si="450">LN(B452/B453)</f>
        <v>-4.6519988026111229E-2</v>
      </c>
      <c r="E452" s="435">
        <f t="shared" si="450"/>
        <v>-1.8252473722118159E-2</v>
      </c>
      <c r="F452" s="221"/>
      <c r="G452" s="222"/>
      <c r="H452" s="222"/>
      <c r="I452" s="6"/>
      <c r="J452" s="6"/>
      <c r="K452" s="6"/>
      <c r="L452" s="6"/>
      <c r="M452" s="6"/>
      <c r="N452" s="6"/>
      <c r="O452" s="6"/>
      <c r="P452" s="6"/>
      <c r="Q452" s="6"/>
      <c r="R452" s="6"/>
      <c r="S452" s="6"/>
      <c r="T452" s="6"/>
      <c r="U452" s="6"/>
      <c r="V452" s="6"/>
      <c r="W452" s="6"/>
      <c r="X452" s="6"/>
      <c r="Y452" s="6"/>
      <c r="Z452" s="6"/>
    </row>
    <row r="453" spans="1:26">
      <c r="A453" s="432">
        <v>43887</v>
      </c>
      <c r="B453" s="433">
        <v>17247.79</v>
      </c>
      <c r="C453" s="433">
        <v>898.44</v>
      </c>
      <c r="D453" s="434">
        <f t="shared" ref="D453:E453" si="451">LN(B453/B454)</f>
        <v>-9.0499452088570465E-3</v>
      </c>
      <c r="E453" s="435">
        <f t="shared" si="451"/>
        <v>2.7529957590603695E-3</v>
      </c>
      <c r="F453" s="221"/>
      <c r="G453" s="222"/>
      <c r="H453" s="222"/>
      <c r="I453" s="6"/>
      <c r="J453" s="6"/>
      <c r="K453" s="6"/>
      <c r="L453" s="6"/>
      <c r="M453" s="6"/>
      <c r="N453" s="6"/>
      <c r="O453" s="6"/>
      <c r="P453" s="6"/>
      <c r="Q453" s="6"/>
      <c r="R453" s="6"/>
      <c r="S453" s="6"/>
      <c r="T453" s="6"/>
      <c r="U453" s="6"/>
      <c r="V453" s="6"/>
      <c r="W453" s="6"/>
      <c r="X453" s="6"/>
      <c r="Y453" s="6"/>
      <c r="Z453" s="6"/>
    </row>
    <row r="454" spans="1:26">
      <c r="A454" s="432">
        <v>43886</v>
      </c>
      <c r="B454" s="433">
        <v>17404.59</v>
      </c>
      <c r="C454" s="433">
        <v>895.97</v>
      </c>
      <c r="D454" s="434">
        <f t="shared" ref="D454:E454" si="452">LN(B454/B455)</f>
        <v>-1.7857830953658754E-2</v>
      </c>
      <c r="E454" s="435">
        <f t="shared" si="452"/>
        <v>-1.517496610789538E-2</v>
      </c>
      <c r="F454" s="221"/>
      <c r="G454" s="222"/>
      <c r="H454" s="222"/>
      <c r="I454" s="6"/>
      <c r="J454" s="6"/>
      <c r="K454" s="6"/>
      <c r="L454" s="6"/>
      <c r="M454" s="6"/>
      <c r="N454" s="6"/>
      <c r="O454" s="6"/>
      <c r="P454" s="6"/>
      <c r="Q454" s="6"/>
      <c r="R454" s="6"/>
      <c r="S454" s="6"/>
      <c r="T454" s="6"/>
      <c r="U454" s="6"/>
      <c r="V454" s="6"/>
      <c r="W454" s="6"/>
      <c r="X454" s="6"/>
      <c r="Y454" s="6"/>
      <c r="Z454" s="6"/>
    </row>
    <row r="455" spans="1:26">
      <c r="A455" s="432">
        <v>43885</v>
      </c>
      <c r="B455" s="433">
        <v>17718.189999999999</v>
      </c>
      <c r="C455" s="433">
        <v>909.67</v>
      </c>
      <c r="D455" s="434">
        <f t="shared" ref="D455:E455" si="453">LN(B455/B456)</f>
        <v>-2.188241561569796E-2</v>
      </c>
      <c r="E455" s="435">
        <f t="shared" si="453"/>
        <v>6.9828911272242743E-3</v>
      </c>
      <c r="F455" s="221"/>
      <c r="G455" s="222"/>
      <c r="H455" s="222"/>
      <c r="I455" s="6"/>
      <c r="J455" s="6"/>
      <c r="K455" s="6"/>
      <c r="L455" s="6"/>
      <c r="M455" s="6"/>
      <c r="N455" s="6"/>
      <c r="O455" s="6"/>
      <c r="P455" s="6"/>
      <c r="Q455" s="6"/>
      <c r="R455" s="6"/>
      <c r="S455" s="6"/>
      <c r="T455" s="6"/>
      <c r="U455" s="6"/>
      <c r="V455" s="6"/>
      <c r="W455" s="6"/>
      <c r="X455" s="6"/>
      <c r="Y455" s="6"/>
      <c r="Z455" s="6"/>
    </row>
    <row r="456" spans="1:26">
      <c r="A456" s="432">
        <v>43884</v>
      </c>
      <c r="B456" s="433">
        <v>18110.18</v>
      </c>
      <c r="C456" s="433">
        <v>903.34</v>
      </c>
      <c r="D456" s="434">
        <f t="shared" ref="D456:E456" si="454">LN(B456/B457)</f>
        <v>-1.7168010394493703E-2</v>
      </c>
      <c r="E456" s="435">
        <f t="shared" si="454"/>
        <v>-3.2402653965388696E-2</v>
      </c>
      <c r="F456" s="221"/>
      <c r="G456" s="222"/>
      <c r="H456" s="222"/>
      <c r="I456" s="6"/>
      <c r="J456" s="6"/>
      <c r="K456" s="6"/>
      <c r="L456" s="6"/>
      <c r="M456" s="6"/>
      <c r="N456" s="6"/>
      <c r="O456" s="6"/>
      <c r="P456" s="6"/>
      <c r="Q456" s="6"/>
      <c r="R456" s="6"/>
      <c r="S456" s="6"/>
      <c r="T456" s="6"/>
      <c r="U456" s="6"/>
      <c r="V456" s="6"/>
      <c r="W456" s="6"/>
      <c r="X456" s="6"/>
      <c r="Y456" s="6"/>
      <c r="Z456" s="6"/>
    </row>
    <row r="457" spans="1:26">
      <c r="A457" s="432">
        <v>43881</v>
      </c>
      <c r="B457" s="433">
        <v>18423.78</v>
      </c>
      <c r="C457" s="433">
        <v>933.09</v>
      </c>
      <c r="D457" s="434">
        <f t="shared" ref="D457:E457" si="455">LN(B457/B458)</f>
        <v>-1.0582235026204562E-2</v>
      </c>
      <c r="E457" s="435">
        <f t="shared" si="455"/>
        <v>-5.3868729360759607E-3</v>
      </c>
      <c r="F457" s="221"/>
      <c r="G457" s="222"/>
      <c r="H457" s="222"/>
      <c r="I457" s="6"/>
      <c r="J457" s="6"/>
      <c r="K457" s="6"/>
      <c r="L457" s="6"/>
      <c r="M457" s="6"/>
      <c r="N457" s="6"/>
      <c r="O457" s="6"/>
      <c r="P457" s="6"/>
      <c r="Q457" s="6"/>
      <c r="R457" s="6"/>
      <c r="S457" s="6"/>
      <c r="T457" s="6"/>
      <c r="U457" s="6"/>
      <c r="V457" s="6"/>
      <c r="W457" s="6"/>
      <c r="X457" s="6"/>
      <c r="Y457" s="6"/>
      <c r="Z457" s="6"/>
    </row>
    <row r="458" spans="1:26">
      <c r="A458" s="432">
        <v>43880</v>
      </c>
      <c r="B458" s="433">
        <v>18619.78</v>
      </c>
      <c r="C458" s="433">
        <v>938.13</v>
      </c>
      <c r="D458" s="434">
        <f t="shared" ref="D458:E458" si="456">LN(B458/B459)</f>
        <v>4.2194655020837543E-3</v>
      </c>
      <c r="E458" s="435">
        <f t="shared" si="456"/>
        <v>1.0038169019504698E-2</v>
      </c>
      <c r="F458" s="221"/>
      <c r="G458" s="222"/>
      <c r="H458" s="222"/>
      <c r="I458" s="6"/>
      <c r="J458" s="6"/>
      <c r="K458" s="6"/>
      <c r="L458" s="6"/>
      <c r="M458" s="6"/>
      <c r="N458" s="6"/>
      <c r="O458" s="6"/>
      <c r="P458" s="6"/>
      <c r="Q458" s="6"/>
      <c r="R458" s="6"/>
      <c r="S458" s="6"/>
      <c r="T458" s="6"/>
      <c r="U458" s="6"/>
      <c r="V458" s="6"/>
      <c r="W458" s="6"/>
      <c r="X458" s="6"/>
      <c r="Y458" s="6"/>
      <c r="Z458" s="6"/>
    </row>
    <row r="459" spans="1:26">
      <c r="A459" s="432">
        <v>43879</v>
      </c>
      <c r="B459" s="433">
        <v>18541.38</v>
      </c>
      <c r="C459" s="433">
        <v>928.76</v>
      </c>
      <c r="D459" s="434">
        <f t="shared" ref="D459:E459" si="457">LN(B459/B460)</f>
        <v>2.1164280448355333E-3</v>
      </c>
      <c r="E459" s="435">
        <f t="shared" si="457"/>
        <v>8.940642275108001E-4</v>
      </c>
      <c r="F459" s="221"/>
      <c r="G459" s="222"/>
      <c r="H459" s="222"/>
      <c r="I459" s="6"/>
      <c r="J459" s="6"/>
      <c r="K459" s="6"/>
      <c r="L459" s="6"/>
      <c r="M459" s="6"/>
      <c r="N459" s="6"/>
      <c r="O459" s="6"/>
      <c r="P459" s="6"/>
      <c r="Q459" s="6"/>
      <c r="R459" s="6"/>
      <c r="S459" s="6"/>
      <c r="T459" s="6"/>
      <c r="U459" s="6"/>
      <c r="V459" s="6"/>
      <c r="W459" s="6"/>
      <c r="X459" s="6"/>
      <c r="Y459" s="6"/>
      <c r="Z459" s="6"/>
    </row>
    <row r="460" spans="1:26">
      <c r="A460" s="432">
        <v>43878</v>
      </c>
      <c r="B460" s="433">
        <v>18502.18</v>
      </c>
      <c r="C460" s="433">
        <v>927.93</v>
      </c>
      <c r="D460" s="434">
        <f t="shared" ref="D460:E460" si="458">LN(B460/B461)</f>
        <v>-2.3037410697054651E-2</v>
      </c>
      <c r="E460" s="435">
        <f t="shared" si="458"/>
        <v>-7.3442108168883568E-3</v>
      </c>
      <c r="F460" s="221"/>
      <c r="G460" s="222"/>
      <c r="H460" s="222"/>
      <c r="I460" s="6"/>
      <c r="J460" s="6"/>
      <c r="K460" s="6"/>
      <c r="L460" s="6"/>
      <c r="M460" s="6"/>
      <c r="N460" s="6"/>
      <c r="O460" s="6"/>
      <c r="P460" s="6"/>
      <c r="Q460" s="6"/>
      <c r="R460" s="6"/>
      <c r="S460" s="6"/>
      <c r="T460" s="6"/>
      <c r="U460" s="6"/>
      <c r="V460" s="6"/>
      <c r="W460" s="6"/>
      <c r="X460" s="6"/>
      <c r="Y460" s="6"/>
      <c r="Z460" s="6"/>
    </row>
    <row r="461" spans="1:26">
      <c r="A461" s="432">
        <v>43877</v>
      </c>
      <c r="B461" s="433">
        <v>18933.37</v>
      </c>
      <c r="C461" s="433">
        <v>934.77</v>
      </c>
      <c r="D461" s="434">
        <f t="shared" ref="D461:E461" si="459">LN(B461/B462)</f>
        <v>-2.251913403430475E-2</v>
      </c>
      <c r="E461" s="435">
        <f t="shared" si="459"/>
        <v>-2.8629133654172558E-3</v>
      </c>
      <c r="F461" s="221"/>
      <c r="G461" s="222"/>
      <c r="H461" s="222"/>
      <c r="I461" s="6"/>
      <c r="J461" s="6"/>
      <c r="K461" s="6"/>
      <c r="L461" s="6"/>
      <c r="M461" s="6"/>
      <c r="N461" s="6"/>
      <c r="O461" s="6"/>
      <c r="P461" s="6"/>
      <c r="Q461" s="6"/>
      <c r="R461" s="6"/>
      <c r="S461" s="6"/>
      <c r="T461" s="6"/>
      <c r="U461" s="6"/>
      <c r="V461" s="6"/>
      <c r="W461" s="6"/>
      <c r="X461" s="6"/>
      <c r="Y461" s="6"/>
      <c r="Z461" s="6"/>
    </row>
    <row r="462" spans="1:26">
      <c r="A462" s="432">
        <v>43874</v>
      </c>
      <c r="B462" s="433">
        <v>19364.57</v>
      </c>
      <c r="C462" s="433">
        <v>937.45</v>
      </c>
      <c r="D462" s="434">
        <f t="shared" ref="D462:E462" si="460">LN(B462/B463)</f>
        <v>0</v>
      </c>
      <c r="E462" s="435">
        <f t="shared" si="460"/>
        <v>-8.4235672921744158E-4</v>
      </c>
      <c r="F462" s="221"/>
      <c r="G462" s="222"/>
      <c r="H462" s="222"/>
      <c r="I462" s="6"/>
      <c r="J462" s="6"/>
      <c r="K462" s="6"/>
      <c r="L462" s="6"/>
      <c r="M462" s="6"/>
      <c r="N462" s="6"/>
      <c r="O462" s="6"/>
      <c r="P462" s="6"/>
      <c r="Q462" s="6"/>
      <c r="R462" s="6"/>
      <c r="S462" s="6"/>
      <c r="T462" s="6"/>
      <c r="U462" s="6"/>
      <c r="V462" s="6"/>
      <c r="W462" s="6"/>
      <c r="X462" s="6"/>
      <c r="Y462" s="6"/>
      <c r="Z462" s="6"/>
    </row>
    <row r="463" spans="1:26">
      <c r="A463" s="432">
        <v>43873</v>
      </c>
      <c r="B463" s="433">
        <v>19364.57</v>
      </c>
      <c r="C463" s="433">
        <v>938.24</v>
      </c>
      <c r="D463" s="434">
        <f t="shared" ref="D463:E463" si="461">LN(B463/B464)</f>
        <v>-4.040457429590979E-3</v>
      </c>
      <c r="E463" s="435">
        <f t="shared" si="461"/>
        <v>5.970404032525485E-4</v>
      </c>
      <c r="F463" s="221"/>
      <c r="G463" s="222"/>
      <c r="H463" s="222"/>
      <c r="I463" s="6"/>
      <c r="J463" s="6"/>
      <c r="K463" s="6"/>
      <c r="L463" s="6"/>
      <c r="M463" s="6"/>
      <c r="N463" s="6"/>
      <c r="O463" s="6"/>
      <c r="P463" s="6"/>
      <c r="Q463" s="6"/>
      <c r="R463" s="6"/>
      <c r="S463" s="6"/>
      <c r="T463" s="6"/>
      <c r="U463" s="6"/>
      <c r="V463" s="6"/>
      <c r="W463" s="6"/>
      <c r="X463" s="6"/>
      <c r="Y463" s="6"/>
      <c r="Z463" s="6"/>
    </row>
    <row r="464" spans="1:26">
      <c r="A464" s="432">
        <v>43872</v>
      </c>
      <c r="B464" s="433">
        <v>19442.97</v>
      </c>
      <c r="C464" s="433">
        <v>937.68</v>
      </c>
      <c r="D464" s="434">
        <f t="shared" ref="D464:E464" si="462">LN(B464/B465)</f>
        <v>0</v>
      </c>
      <c r="E464" s="435">
        <f t="shared" si="462"/>
        <v>3.215213601104295E-3</v>
      </c>
      <c r="F464" s="221"/>
      <c r="G464" s="222"/>
      <c r="H464" s="222"/>
      <c r="I464" s="6"/>
      <c r="J464" s="6"/>
      <c r="K464" s="6"/>
      <c r="L464" s="6"/>
      <c r="M464" s="6"/>
      <c r="N464" s="6"/>
      <c r="O464" s="6"/>
      <c r="P464" s="6"/>
      <c r="Q464" s="6"/>
      <c r="R464" s="6"/>
      <c r="S464" s="6"/>
      <c r="T464" s="6"/>
      <c r="U464" s="6"/>
      <c r="V464" s="6"/>
      <c r="W464" s="6"/>
      <c r="X464" s="6"/>
      <c r="Y464" s="6"/>
      <c r="Z464" s="6"/>
    </row>
    <row r="465" spans="1:26">
      <c r="A465" s="432">
        <v>43871</v>
      </c>
      <c r="B465" s="433">
        <v>19442.97</v>
      </c>
      <c r="C465" s="433">
        <v>934.67</v>
      </c>
      <c r="D465" s="434">
        <f t="shared" ref="D465:E465" si="463">LN(B465/B466)</f>
        <v>4.0404574295909946E-3</v>
      </c>
      <c r="E465" s="435">
        <f t="shared" si="463"/>
        <v>4.2243013391392642E-3</v>
      </c>
      <c r="F465" s="221"/>
      <c r="G465" s="222"/>
      <c r="H465" s="222"/>
      <c r="I465" s="6"/>
      <c r="J465" s="6"/>
      <c r="K465" s="6"/>
      <c r="L465" s="6"/>
      <c r="M465" s="6"/>
      <c r="N465" s="6"/>
      <c r="O465" s="6"/>
      <c r="P465" s="6"/>
      <c r="Q465" s="6"/>
      <c r="R465" s="6"/>
      <c r="S465" s="6"/>
      <c r="T465" s="6"/>
      <c r="U465" s="6"/>
      <c r="V465" s="6"/>
      <c r="W465" s="6"/>
      <c r="X465" s="6"/>
      <c r="Y465" s="6"/>
      <c r="Z465" s="6"/>
    </row>
    <row r="466" spans="1:26">
      <c r="A466" s="432">
        <v>43870</v>
      </c>
      <c r="B466" s="433">
        <v>19364.57</v>
      </c>
      <c r="C466" s="433">
        <v>930.73</v>
      </c>
      <c r="D466" s="434">
        <f t="shared" ref="D466:E466" si="464">LN(B466/B467)</f>
        <v>-1.0070697575228296E-2</v>
      </c>
      <c r="E466" s="435">
        <f t="shared" si="464"/>
        <v>-1.0708204998865449E-2</v>
      </c>
      <c r="F466" s="221"/>
      <c r="G466" s="222"/>
      <c r="H466" s="222"/>
      <c r="I466" s="6"/>
      <c r="J466" s="6"/>
      <c r="K466" s="6"/>
      <c r="L466" s="6"/>
      <c r="M466" s="6"/>
      <c r="N466" s="6"/>
      <c r="O466" s="6"/>
      <c r="P466" s="6"/>
      <c r="Q466" s="6"/>
      <c r="R466" s="6"/>
      <c r="S466" s="6"/>
      <c r="T466" s="6"/>
      <c r="U466" s="6"/>
      <c r="V466" s="6"/>
      <c r="W466" s="6"/>
      <c r="X466" s="6"/>
      <c r="Y466" s="6"/>
      <c r="Z466" s="6"/>
    </row>
    <row r="467" spans="1:26">
      <c r="A467" s="432">
        <v>43867</v>
      </c>
      <c r="B467" s="433">
        <v>19560.57</v>
      </c>
      <c r="C467" s="433">
        <v>940.75</v>
      </c>
      <c r="D467" s="434">
        <f t="shared" ref="D467:E467" si="465">LN(B467/B468)</f>
        <v>0</v>
      </c>
      <c r="E467" s="435">
        <f t="shared" si="465"/>
        <v>2.3519531511918225E-3</v>
      </c>
      <c r="F467" s="221"/>
      <c r="G467" s="222"/>
      <c r="H467" s="222"/>
      <c r="I467" s="6"/>
      <c r="J467" s="6"/>
      <c r="K467" s="6"/>
      <c r="L467" s="6"/>
      <c r="M467" s="6"/>
      <c r="N467" s="6"/>
      <c r="O467" s="6"/>
      <c r="P467" s="6"/>
      <c r="Q467" s="6"/>
      <c r="R467" s="6"/>
      <c r="S467" s="6"/>
      <c r="T467" s="6"/>
      <c r="U467" s="6"/>
      <c r="V467" s="6"/>
      <c r="W467" s="6"/>
      <c r="X467" s="6"/>
      <c r="Y467" s="6"/>
      <c r="Z467" s="6"/>
    </row>
    <row r="468" spans="1:26">
      <c r="A468" s="432">
        <v>43866</v>
      </c>
      <c r="B468" s="433">
        <v>19560.57</v>
      </c>
      <c r="C468" s="433">
        <v>938.54</v>
      </c>
      <c r="D468" s="434">
        <f t="shared" ref="D468:E468" si="466">LN(B468/B469)</f>
        <v>0</v>
      </c>
      <c r="E468" s="435">
        <f t="shared" si="466"/>
        <v>1.3548438624267852E-2</v>
      </c>
      <c r="F468" s="221"/>
      <c r="G468" s="222"/>
      <c r="H468" s="222"/>
      <c r="I468" s="6"/>
      <c r="J468" s="6"/>
      <c r="K468" s="6"/>
      <c r="L468" s="6"/>
      <c r="M468" s="6"/>
      <c r="N468" s="6"/>
      <c r="O468" s="6"/>
      <c r="P468" s="6"/>
      <c r="Q468" s="6"/>
      <c r="R468" s="6"/>
      <c r="S468" s="6"/>
      <c r="T468" s="6"/>
      <c r="U468" s="6"/>
      <c r="V468" s="6"/>
      <c r="W468" s="6"/>
      <c r="X468" s="6"/>
      <c r="Y468" s="6"/>
      <c r="Z468" s="6"/>
    </row>
    <row r="469" spans="1:26">
      <c r="A469" s="432">
        <v>43865</v>
      </c>
      <c r="B469" s="433">
        <v>19560.57</v>
      </c>
      <c r="C469" s="433">
        <v>925.91</v>
      </c>
      <c r="D469" s="434">
        <f t="shared" ref="D469:E469" si="467">LN(B469/B470)</f>
        <v>-5.9935860317585936E-3</v>
      </c>
      <c r="E469" s="435">
        <f t="shared" si="467"/>
        <v>-3.4285747871779576E-3</v>
      </c>
      <c r="F469" s="221"/>
      <c r="G469" s="222"/>
      <c r="H469" s="222"/>
      <c r="I469" s="6"/>
      <c r="J469" s="6"/>
      <c r="K469" s="6"/>
      <c r="L469" s="6"/>
      <c r="M469" s="6"/>
      <c r="N469" s="6"/>
      <c r="O469" s="6"/>
      <c r="P469" s="6"/>
      <c r="Q469" s="6"/>
      <c r="R469" s="6"/>
      <c r="S469" s="6"/>
      <c r="T469" s="6"/>
      <c r="U469" s="6"/>
      <c r="V469" s="6"/>
      <c r="W469" s="6"/>
      <c r="X469" s="6"/>
      <c r="Y469" s="6"/>
      <c r="Z469" s="6"/>
    </row>
    <row r="470" spans="1:26">
      <c r="A470" s="432">
        <v>43864</v>
      </c>
      <c r="B470" s="433">
        <v>19678.16</v>
      </c>
      <c r="C470" s="433">
        <v>929.09</v>
      </c>
      <c r="D470" s="434">
        <f t="shared" ref="D470:E470" si="468">LN(B470/B471)</f>
        <v>1.994042950701515E-3</v>
      </c>
      <c r="E470" s="435">
        <f t="shared" si="468"/>
        <v>1.0230290086364212E-3</v>
      </c>
      <c r="F470" s="221"/>
      <c r="G470" s="222"/>
      <c r="H470" s="222"/>
      <c r="I470" s="6"/>
      <c r="J470" s="6"/>
      <c r="K470" s="6"/>
      <c r="L470" s="6"/>
      <c r="M470" s="6"/>
      <c r="N470" s="6"/>
      <c r="O470" s="6"/>
      <c r="P470" s="6"/>
      <c r="Q470" s="6"/>
      <c r="R470" s="6"/>
      <c r="S470" s="6"/>
      <c r="T470" s="6"/>
      <c r="U470" s="6"/>
      <c r="V470" s="6"/>
      <c r="W470" s="6"/>
      <c r="X470" s="6"/>
      <c r="Y470" s="6"/>
      <c r="Z470" s="6"/>
    </row>
    <row r="471" spans="1:26">
      <c r="A471" s="432">
        <v>43863</v>
      </c>
      <c r="B471" s="433">
        <v>19638.96</v>
      </c>
      <c r="C471" s="433">
        <v>928.14</v>
      </c>
      <c r="D471" s="434">
        <f t="shared" ref="D471:E471" si="469">LN(B471/B472)</f>
        <v>-1.5842107538038625E-2</v>
      </c>
      <c r="E471" s="435">
        <f t="shared" si="469"/>
        <v>-9.0950668778360787E-3</v>
      </c>
      <c r="F471" s="221"/>
      <c r="G471" s="222"/>
      <c r="H471" s="222"/>
      <c r="I471" s="6"/>
      <c r="J471" s="6"/>
      <c r="K471" s="6"/>
      <c r="L471" s="6"/>
      <c r="M471" s="6"/>
      <c r="N471" s="6"/>
      <c r="O471" s="6"/>
      <c r="P471" s="6"/>
      <c r="Q471" s="6"/>
      <c r="R471" s="6"/>
      <c r="S471" s="6"/>
      <c r="T471" s="6"/>
      <c r="U471" s="6"/>
      <c r="V471" s="6"/>
      <c r="W471" s="6"/>
      <c r="X471" s="6"/>
      <c r="Y471" s="6"/>
      <c r="Z471" s="6"/>
    </row>
    <row r="472" spans="1:26">
      <c r="A472" s="432">
        <v>43860</v>
      </c>
      <c r="B472" s="433">
        <v>19952.560000000001</v>
      </c>
      <c r="C472" s="433">
        <v>936.62</v>
      </c>
      <c r="D472" s="434">
        <f t="shared" ref="D472:E472" si="470">LN(B472/B473)</f>
        <v>1.9665926502531296E-3</v>
      </c>
      <c r="E472" s="435">
        <f t="shared" si="470"/>
        <v>-2.4218038376369773E-2</v>
      </c>
      <c r="F472" s="221"/>
      <c r="G472" s="222"/>
      <c r="H472" s="222"/>
      <c r="I472" s="6"/>
      <c r="J472" s="6"/>
      <c r="K472" s="6"/>
      <c r="L472" s="6"/>
      <c r="M472" s="6"/>
      <c r="N472" s="6"/>
      <c r="O472" s="6"/>
      <c r="P472" s="6"/>
      <c r="Q472" s="6"/>
      <c r="R472" s="6"/>
      <c r="S472" s="6"/>
      <c r="T472" s="6"/>
      <c r="U472" s="6"/>
      <c r="V472" s="6"/>
      <c r="W472" s="6"/>
      <c r="X472" s="6"/>
      <c r="Y472" s="6"/>
      <c r="Z472" s="6"/>
    </row>
    <row r="473" spans="1:26">
      <c r="A473" s="432">
        <v>43859</v>
      </c>
      <c r="B473" s="433">
        <v>19913.36</v>
      </c>
      <c r="C473" s="433">
        <v>959.58</v>
      </c>
      <c r="D473" s="434">
        <f t="shared" ref="D473:E473" si="471">LN(B473/B474)</f>
        <v>3.9448259282118909E-3</v>
      </c>
      <c r="E473" s="435">
        <f t="shared" si="471"/>
        <v>-3.2682915500443437E-2</v>
      </c>
      <c r="F473" s="221"/>
      <c r="G473" s="222"/>
      <c r="H473" s="222"/>
      <c r="I473" s="6"/>
      <c r="J473" s="6"/>
      <c r="K473" s="6"/>
      <c r="L473" s="6"/>
      <c r="M473" s="6"/>
      <c r="N473" s="6"/>
      <c r="O473" s="6"/>
      <c r="P473" s="6"/>
      <c r="Q473" s="6"/>
      <c r="R473" s="6"/>
      <c r="S473" s="6"/>
      <c r="T473" s="6"/>
      <c r="U473" s="6"/>
      <c r="V473" s="6"/>
      <c r="W473" s="6"/>
      <c r="X473" s="6"/>
      <c r="Y473" s="6"/>
      <c r="Z473" s="6"/>
    </row>
    <row r="474" spans="1:26">
      <c r="A474" s="432">
        <v>43851</v>
      </c>
      <c r="B474" s="433">
        <v>19834.96</v>
      </c>
      <c r="C474" s="433">
        <v>991.46</v>
      </c>
      <c r="D474" s="434">
        <f t="shared" ref="D474:E474" si="472">LN(B474/B475)</f>
        <v>7.9366460088720042E-3</v>
      </c>
      <c r="E474" s="435">
        <f t="shared" si="472"/>
        <v>5.1470664689511414E-3</v>
      </c>
      <c r="F474" s="221"/>
      <c r="G474" s="222"/>
      <c r="H474" s="222"/>
      <c r="I474" s="6"/>
      <c r="J474" s="6"/>
      <c r="K474" s="6"/>
      <c r="L474" s="6"/>
      <c r="M474" s="6"/>
      <c r="N474" s="6"/>
      <c r="O474" s="6"/>
      <c r="P474" s="6"/>
      <c r="Q474" s="6"/>
      <c r="R474" s="6"/>
      <c r="S474" s="6"/>
      <c r="T474" s="6"/>
      <c r="U474" s="6"/>
      <c r="V474" s="6"/>
      <c r="W474" s="6"/>
      <c r="X474" s="6"/>
      <c r="Y474" s="6"/>
      <c r="Z474" s="6"/>
    </row>
    <row r="475" spans="1:26">
      <c r="A475" s="432">
        <v>43850</v>
      </c>
      <c r="B475" s="433">
        <v>19678.16</v>
      </c>
      <c r="C475" s="433">
        <v>986.37</v>
      </c>
      <c r="D475" s="434">
        <f t="shared" ref="D475:E475" si="473">LN(B475/B476)</f>
        <v>1.994042950701515E-3</v>
      </c>
      <c r="E475" s="435">
        <f t="shared" si="473"/>
        <v>7.8779033379506244E-3</v>
      </c>
      <c r="F475" s="221"/>
      <c r="G475" s="222"/>
      <c r="H475" s="222"/>
      <c r="I475" s="6"/>
      <c r="J475" s="6"/>
      <c r="K475" s="6"/>
      <c r="L475" s="6"/>
      <c r="M475" s="6"/>
      <c r="N475" s="6"/>
      <c r="O475" s="6"/>
      <c r="P475" s="6"/>
      <c r="Q475" s="6"/>
      <c r="R475" s="6"/>
      <c r="S475" s="6"/>
      <c r="T475" s="6"/>
      <c r="U475" s="6"/>
      <c r="V475" s="6"/>
      <c r="W475" s="6"/>
      <c r="X475" s="6"/>
      <c r="Y475" s="6"/>
      <c r="Z475" s="6"/>
    </row>
    <row r="476" spans="1:26">
      <c r="A476" s="432">
        <v>43849</v>
      </c>
      <c r="B476" s="433">
        <v>19638.96</v>
      </c>
      <c r="C476" s="433">
        <v>978.63</v>
      </c>
      <c r="D476" s="434">
        <f t="shared" ref="D476:E476" si="474">LN(B476/B477)</f>
        <v>-7.9524249873725531E-3</v>
      </c>
      <c r="E476" s="435">
        <f t="shared" si="474"/>
        <v>-3.3714925303656161E-4</v>
      </c>
      <c r="F476" s="221"/>
      <c r="G476" s="222"/>
      <c r="H476" s="222"/>
      <c r="I476" s="6"/>
      <c r="J476" s="6"/>
      <c r="K476" s="6"/>
      <c r="L476" s="6"/>
      <c r="M476" s="6"/>
      <c r="N476" s="6"/>
      <c r="O476" s="6"/>
      <c r="P476" s="6"/>
      <c r="Q476" s="6"/>
      <c r="R476" s="6"/>
      <c r="S476" s="6"/>
      <c r="T476" s="6"/>
      <c r="U476" s="6"/>
      <c r="V476" s="6"/>
      <c r="W476" s="6"/>
      <c r="X476" s="6"/>
      <c r="Y476" s="6"/>
      <c r="Z476" s="6"/>
    </row>
    <row r="477" spans="1:26">
      <c r="A477" s="432">
        <v>43846</v>
      </c>
      <c r="B477" s="433">
        <v>19795.759999999998</v>
      </c>
      <c r="C477" s="433">
        <v>978.96</v>
      </c>
      <c r="D477" s="434">
        <f t="shared" ref="D477:E477" si="475">LN(B477/B478)</f>
        <v>0</v>
      </c>
      <c r="E477" s="435">
        <f t="shared" si="475"/>
        <v>4.7612555196658883E-3</v>
      </c>
      <c r="F477" s="221"/>
      <c r="G477" s="222"/>
      <c r="H477" s="222"/>
      <c r="I477" s="6"/>
      <c r="J477" s="6"/>
      <c r="K477" s="6"/>
      <c r="L477" s="6"/>
      <c r="M477" s="6"/>
      <c r="N477" s="6"/>
      <c r="O477" s="6"/>
      <c r="P477" s="6"/>
      <c r="Q477" s="6"/>
      <c r="R477" s="6"/>
      <c r="S477" s="6"/>
      <c r="T477" s="6"/>
      <c r="U477" s="6"/>
      <c r="V477" s="6"/>
      <c r="W477" s="6"/>
      <c r="X477" s="6"/>
      <c r="Y477" s="6"/>
      <c r="Z477" s="6"/>
    </row>
    <row r="478" spans="1:26">
      <c r="A478" s="432">
        <v>43845</v>
      </c>
      <c r="B478" s="433">
        <v>19795.759999999998</v>
      </c>
      <c r="C478" s="433">
        <v>974.31</v>
      </c>
      <c r="D478" s="434">
        <f t="shared" ref="D478:E478" si="476">LN(B478/B479)</f>
        <v>-3.9526221414961536E-3</v>
      </c>
      <c r="E478" s="435">
        <f t="shared" si="476"/>
        <v>6.9520896728159295E-3</v>
      </c>
      <c r="F478" s="221"/>
      <c r="G478" s="222"/>
      <c r="H478" s="222"/>
      <c r="I478" s="6"/>
      <c r="J478" s="6"/>
      <c r="K478" s="6"/>
      <c r="L478" s="6"/>
      <c r="M478" s="6"/>
      <c r="N478" s="6"/>
      <c r="O478" s="6"/>
      <c r="P478" s="6"/>
      <c r="Q478" s="6"/>
      <c r="R478" s="6"/>
      <c r="S478" s="6"/>
      <c r="T478" s="6"/>
      <c r="U478" s="6"/>
      <c r="V478" s="6"/>
      <c r="W478" s="6"/>
      <c r="X478" s="6"/>
      <c r="Y478" s="6"/>
      <c r="Z478" s="6"/>
    </row>
    <row r="479" spans="1:26">
      <c r="A479" s="432">
        <v>43844</v>
      </c>
      <c r="B479" s="433">
        <v>19874.16</v>
      </c>
      <c r="C479" s="433">
        <v>967.56</v>
      </c>
      <c r="D479" s="434">
        <f t="shared" ref="D479:E479" si="477">LN(B479/B480)</f>
        <v>-5.8997931623743548E-3</v>
      </c>
      <c r="E479" s="435">
        <f t="shared" si="477"/>
        <v>5.7894303163657363E-4</v>
      </c>
      <c r="F479" s="221"/>
      <c r="G479" s="222"/>
      <c r="H479" s="222"/>
      <c r="I479" s="6"/>
      <c r="J479" s="6"/>
      <c r="K479" s="6"/>
      <c r="L479" s="6"/>
      <c r="M479" s="6"/>
      <c r="N479" s="6"/>
      <c r="O479" s="6"/>
      <c r="P479" s="6"/>
      <c r="Q479" s="6"/>
      <c r="R479" s="6"/>
      <c r="S479" s="6"/>
      <c r="T479" s="6"/>
      <c r="U479" s="6"/>
      <c r="V479" s="6"/>
      <c r="W479" s="6"/>
      <c r="X479" s="6"/>
      <c r="Y479" s="6"/>
      <c r="Z479" s="6"/>
    </row>
    <row r="480" spans="1:26">
      <c r="A480" s="432">
        <v>43843</v>
      </c>
      <c r="B480" s="433">
        <v>19991.759999999998</v>
      </c>
      <c r="C480" s="433">
        <v>967</v>
      </c>
      <c r="D480" s="434">
        <f t="shared" ref="D480:E480" si="478">LN(B480/B481)</f>
        <v>-1.941782613467774E-2</v>
      </c>
      <c r="E480" s="435">
        <f t="shared" si="478"/>
        <v>1.2003064291622601E-3</v>
      </c>
      <c r="F480" s="221"/>
      <c r="G480" s="222"/>
      <c r="H480" s="222"/>
      <c r="I480" s="6"/>
      <c r="J480" s="6"/>
      <c r="K480" s="6"/>
      <c r="L480" s="6"/>
      <c r="M480" s="6"/>
      <c r="N480" s="6"/>
      <c r="O480" s="6"/>
      <c r="P480" s="6"/>
      <c r="Q480" s="6"/>
      <c r="R480" s="6"/>
      <c r="S480" s="6"/>
      <c r="T480" s="6"/>
      <c r="U480" s="6"/>
      <c r="V480" s="6"/>
      <c r="W480" s="6"/>
      <c r="X480" s="6"/>
      <c r="Y480" s="6"/>
      <c r="Z480" s="6"/>
    </row>
    <row r="481" spans="1:26">
      <c r="A481" s="432">
        <v>43842</v>
      </c>
      <c r="B481" s="433">
        <v>20383.75</v>
      </c>
      <c r="C481" s="433">
        <v>965.84</v>
      </c>
      <c r="D481" s="434">
        <f t="shared" ref="D481:E481" si="479">LN(B481/B482)</f>
        <v>-1.9048426379566115E-2</v>
      </c>
      <c r="E481" s="435">
        <f t="shared" si="479"/>
        <v>-2.7915939509547873E-3</v>
      </c>
      <c r="F481" s="221"/>
      <c r="G481" s="222"/>
      <c r="H481" s="222"/>
      <c r="I481" s="6"/>
      <c r="J481" s="6"/>
      <c r="K481" s="6"/>
      <c r="L481" s="6"/>
      <c r="M481" s="6"/>
      <c r="N481" s="6"/>
      <c r="O481" s="6"/>
      <c r="P481" s="6"/>
      <c r="Q481" s="6"/>
      <c r="R481" s="6"/>
      <c r="S481" s="6"/>
      <c r="T481" s="6"/>
      <c r="U481" s="6"/>
      <c r="V481" s="6"/>
      <c r="W481" s="6"/>
      <c r="X481" s="6"/>
      <c r="Y481" s="6"/>
      <c r="Z481" s="6"/>
    </row>
    <row r="482" spans="1:26">
      <c r="A482" s="432">
        <v>43839</v>
      </c>
      <c r="B482" s="433">
        <v>20775.75</v>
      </c>
      <c r="C482" s="433">
        <v>968.54</v>
      </c>
      <c r="D482" s="434">
        <f t="shared" ref="D482:E482" si="480">LN(B482/B483)</f>
        <v>1.3295703538273931E-2</v>
      </c>
      <c r="E482" s="435">
        <f t="shared" si="480"/>
        <v>8.7002607189648334E-3</v>
      </c>
      <c r="F482" s="221"/>
      <c r="G482" s="222"/>
      <c r="H482" s="222"/>
      <c r="I482" s="6"/>
      <c r="J482" s="6"/>
      <c r="K482" s="6"/>
      <c r="L482" s="6"/>
      <c r="M482" s="6"/>
      <c r="N482" s="6"/>
      <c r="O482" s="6"/>
      <c r="P482" s="6"/>
      <c r="Q482" s="6"/>
      <c r="R482" s="6"/>
      <c r="S482" s="6"/>
      <c r="T482" s="6"/>
      <c r="U482" s="6"/>
      <c r="V482" s="6"/>
      <c r="W482" s="6"/>
      <c r="X482" s="6"/>
      <c r="Y482" s="6"/>
      <c r="Z482" s="6"/>
    </row>
    <row r="483" spans="1:26">
      <c r="A483" s="432">
        <v>43838</v>
      </c>
      <c r="B483" s="433">
        <v>20501.349999999999</v>
      </c>
      <c r="C483" s="433">
        <v>960.15</v>
      </c>
      <c r="D483" s="434">
        <f t="shared" ref="D483:E483" si="481">LN(B483/B484)</f>
        <v>1.913899543048582E-3</v>
      </c>
      <c r="E483" s="435">
        <f t="shared" si="481"/>
        <v>1.1701798683866506E-2</v>
      </c>
      <c r="F483" s="221"/>
      <c r="G483" s="222"/>
      <c r="H483" s="222"/>
      <c r="I483" s="6"/>
      <c r="J483" s="6"/>
      <c r="K483" s="6"/>
      <c r="L483" s="6"/>
      <c r="M483" s="6"/>
      <c r="N483" s="6"/>
      <c r="O483" s="6"/>
      <c r="P483" s="6"/>
      <c r="Q483" s="6"/>
      <c r="R483" s="6"/>
      <c r="S483" s="6"/>
      <c r="T483" s="6"/>
      <c r="U483" s="6"/>
      <c r="V483" s="6"/>
      <c r="W483" s="6"/>
      <c r="X483" s="6"/>
      <c r="Y483" s="6"/>
      <c r="Z483" s="6"/>
    </row>
    <row r="484" spans="1:26">
      <c r="A484" s="432">
        <v>43837</v>
      </c>
      <c r="B484" s="433">
        <v>20462.150000000001</v>
      </c>
      <c r="C484" s="433">
        <v>948.98</v>
      </c>
      <c r="D484" s="434">
        <f t="shared" ref="D484:E484" si="482">LN(B484/B485)</f>
        <v>-1.5209603081322437E-2</v>
      </c>
      <c r="E484" s="435">
        <f t="shared" si="482"/>
        <v>-1.0378213137619656E-2</v>
      </c>
      <c r="F484" s="221"/>
      <c r="G484" s="222"/>
      <c r="H484" s="222"/>
      <c r="I484" s="6"/>
      <c r="J484" s="6"/>
      <c r="K484" s="6"/>
      <c r="L484" s="6"/>
      <c r="M484" s="6"/>
      <c r="N484" s="6"/>
      <c r="O484" s="6"/>
      <c r="P484" s="6"/>
      <c r="Q484" s="6"/>
      <c r="R484" s="6"/>
      <c r="S484" s="6"/>
      <c r="T484" s="6"/>
      <c r="U484" s="6"/>
      <c r="V484" s="6"/>
      <c r="W484" s="6"/>
      <c r="X484" s="6"/>
      <c r="Y484" s="6"/>
      <c r="Z484" s="6"/>
    </row>
    <row r="485" spans="1:26">
      <c r="A485" s="432">
        <v>43836</v>
      </c>
      <c r="B485" s="433">
        <v>20775.75</v>
      </c>
      <c r="C485" s="433">
        <v>958.88</v>
      </c>
      <c r="D485" s="434">
        <f t="shared" ref="D485:E485" si="483">LN(B485/B486)</f>
        <v>1.8885974350517326E-3</v>
      </c>
      <c r="E485" s="435">
        <f t="shared" si="483"/>
        <v>3.2277130603899267E-3</v>
      </c>
      <c r="F485" s="221"/>
      <c r="G485" s="222"/>
      <c r="H485" s="222"/>
      <c r="I485" s="6"/>
      <c r="J485" s="6"/>
      <c r="K485" s="6"/>
      <c r="L485" s="6"/>
      <c r="M485" s="6"/>
      <c r="N485" s="6"/>
      <c r="O485" s="6"/>
      <c r="P485" s="6"/>
      <c r="Q485" s="6"/>
      <c r="R485" s="6"/>
      <c r="S485" s="6"/>
      <c r="T485" s="6"/>
      <c r="U485" s="6"/>
      <c r="V485" s="6"/>
      <c r="W485" s="6"/>
      <c r="X485" s="6"/>
      <c r="Y485" s="6"/>
      <c r="Z485" s="6"/>
    </row>
    <row r="486" spans="1:26">
      <c r="A486" s="432">
        <v>43835</v>
      </c>
      <c r="B486" s="433">
        <v>20736.55</v>
      </c>
      <c r="C486" s="433">
        <v>955.79</v>
      </c>
      <c r="D486" s="434">
        <f t="shared" ref="D486:E486" si="484">LN(B486/B487)</f>
        <v>1.8921709853855669E-3</v>
      </c>
      <c r="E486" s="435">
        <f t="shared" si="484"/>
        <v>-9.7349448869532857E-3</v>
      </c>
      <c r="F486" s="221"/>
      <c r="G486" s="222"/>
      <c r="H486" s="222"/>
      <c r="I486" s="6"/>
      <c r="J486" s="6"/>
      <c r="K486" s="6"/>
      <c r="L486" s="6"/>
      <c r="M486" s="6"/>
      <c r="N486" s="6"/>
      <c r="O486" s="6"/>
      <c r="P486" s="6"/>
      <c r="Q486" s="6"/>
      <c r="R486" s="6"/>
      <c r="S486" s="6"/>
      <c r="T486" s="6"/>
      <c r="U486" s="6"/>
      <c r="V486" s="6"/>
      <c r="W486" s="6"/>
      <c r="X486" s="6"/>
      <c r="Y486" s="6"/>
      <c r="Z486" s="6"/>
    </row>
    <row r="487" spans="1:26">
      <c r="A487" s="432">
        <v>43832</v>
      </c>
      <c r="B487" s="433">
        <v>20697.349999999999</v>
      </c>
      <c r="C487" s="433">
        <v>965.14</v>
      </c>
      <c r="D487" s="434">
        <f t="shared" ref="D487:E487" si="485">LN(B487/B488)</f>
        <v>1.1428834660885201E-2</v>
      </c>
      <c r="E487" s="435">
        <f t="shared" si="485"/>
        <v>-1.584007039934007E-3</v>
      </c>
      <c r="F487" s="221"/>
      <c r="G487" s="222"/>
      <c r="H487" s="222"/>
      <c r="I487" s="6"/>
      <c r="J487" s="6"/>
      <c r="K487" s="6"/>
      <c r="L487" s="6"/>
      <c r="M487" s="6"/>
      <c r="N487" s="6"/>
      <c r="O487" s="6"/>
      <c r="P487" s="6"/>
      <c r="Q487" s="6"/>
      <c r="R487" s="6"/>
      <c r="S487" s="6"/>
      <c r="T487" s="6"/>
      <c r="U487" s="6"/>
      <c r="V487" s="6"/>
      <c r="W487" s="6"/>
      <c r="X487" s="6"/>
      <c r="Y487" s="6"/>
      <c r="Z487" s="6"/>
    </row>
    <row r="488" spans="1:26">
      <c r="A488" s="432">
        <v>43831</v>
      </c>
      <c r="B488" s="433">
        <v>20462.150000000001</v>
      </c>
      <c r="C488" s="433">
        <v>966.67</v>
      </c>
      <c r="D488" s="434">
        <v>3.7109999999999999E-3</v>
      </c>
      <c r="E488" s="435">
        <v>-4.1999999999999997E-3</v>
      </c>
      <c r="F488" s="221"/>
      <c r="G488" s="222"/>
      <c r="H488" s="222"/>
      <c r="I488" s="6"/>
      <c r="J488" s="6"/>
      <c r="K488" s="6"/>
      <c r="L488" s="6"/>
      <c r="M488" s="6"/>
      <c r="N488" s="6"/>
      <c r="O488" s="6"/>
      <c r="P488" s="6"/>
      <c r="Q488" s="6"/>
      <c r="R488" s="6"/>
      <c r="S488" s="6"/>
      <c r="T488" s="6"/>
      <c r="U488" s="6"/>
      <c r="V488" s="6"/>
      <c r="W488" s="6"/>
      <c r="X488" s="6"/>
      <c r="Y488" s="6"/>
      <c r="Z488" s="6"/>
    </row>
    <row r="489" spans="1:26">
      <c r="A489" s="174"/>
      <c r="B489" s="6"/>
      <c r="C489" s="6"/>
      <c r="D489" s="6"/>
      <c r="E489" s="443"/>
      <c r="F489" s="15"/>
      <c r="G489" s="6"/>
      <c r="H489" s="6"/>
      <c r="I489" s="6"/>
      <c r="J489" s="6"/>
      <c r="K489" s="6"/>
      <c r="L489" s="6"/>
      <c r="M489" s="6"/>
      <c r="N489" s="6"/>
      <c r="O489" s="6"/>
      <c r="P489" s="6"/>
      <c r="Q489" s="6"/>
      <c r="R489" s="6"/>
      <c r="S489" s="6"/>
      <c r="T489" s="6"/>
      <c r="U489" s="6"/>
      <c r="V489" s="6"/>
      <c r="W489" s="6"/>
      <c r="X489" s="6"/>
      <c r="Y489" s="6"/>
      <c r="Z489" s="6"/>
    </row>
    <row r="490" spans="1:26">
      <c r="A490" s="174"/>
      <c r="B490" s="6"/>
      <c r="C490" s="6"/>
      <c r="D490" s="6"/>
      <c r="E490" s="443"/>
      <c r="F490" s="15"/>
      <c r="G490" s="6"/>
      <c r="H490" s="6"/>
      <c r="I490" s="6"/>
      <c r="J490" s="6"/>
      <c r="K490" s="6"/>
      <c r="L490" s="6"/>
      <c r="M490" s="6"/>
      <c r="N490" s="6"/>
      <c r="O490" s="6"/>
      <c r="P490" s="6"/>
      <c r="Q490" s="6"/>
      <c r="R490" s="6"/>
      <c r="S490" s="6"/>
      <c r="T490" s="6"/>
      <c r="U490" s="6"/>
      <c r="V490" s="6"/>
      <c r="W490" s="6"/>
      <c r="X490" s="6"/>
      <c r="Y490" s="6"/>
      <c r="Z490" s="6"/>
    </row>
    <row r="491" spans="1:26">
      <c r="A491" s="174"/>
      <c r="B491" s="6"/>
      <c r="C491" s="6"/>
      <c r="D491" s="6"/>
      <c r="E491" s="443"/>
      <c r="F491" s="15"/>
      <c r="G491" s="6"/>
      <c r="H491" s="6"/>
      <c r="I491" s="6"/>
      <c r="J491" s="6"/>
      <c r="K491" s="6"/>
      <c r="L491" s="6"/>
      <c r="M491" s="6"/>
      <c r="N491" s="6"/>
      <c r="O491" s="6"/>
      <c r="P491" s="6"/>
      <c r="Q491" s="6"/>
      <c r="R491" s="6"/>
      <c r="S491" s="6"/>
      <c r="T491" s="6"/>
      <c r="U491" s="6"/>
      <c r="V491" s="6"/>
      <c r="W491" s="6"/>
      <c r="X491" s="6"/>
      <c r="Y491" s="6"/>
      <c r="Z491" s="6"/>
    </row>
    <row r="492" spans="1:26">
      <c r="A492" s="174"/>
      <c r="B492" s="6"/>
      <c r="C492" s="6"/>
      <c r="D492" s="6"/>
      <c r="E492" s="443"/>
      <c r="F492" s="15"/>
      <c r="G492" s="6"/>
      <c r="H492" s="6"/>
      <c r="I492" s="6"/>
      <c r="J492" s="6"/>
      <c r="K492" s="6"/>
      <c r="L492" s="6"/>
      <c r="M492" s="6"/>
      <c r="N492" s="6"/>
      <c r="O492" s="6"/>
      <c r="P492" s="6"/>
      <c r="Q492" s="6"/>
      <c r="R492" s="6"/>
      <c r="S492" s="6"/>
      <c r="T492" s="6"/>
      <c r="U492" s="6"/>
      <c r="V492" s="6"/>
      <c r="W492" s="6"/>
      <c r="X492" s="6"/>
      <c r="Y492" s="6"/>
      <c r="Z492" s="6"/>
    </row>
    <row r="493" spans="1:26">
      <c r="A493" s="174"/>
      <c r="B493" s="6"/>
      <c r="C493" s="6"/>
      <c r="D493" s="6"/>
      <c r="E493" s="443"/>
      <c r="F493" s="15"/>
      <c r="G493" s="6"/>
      <c r="H493" s="6"/>
      <c r="I493" s="6"/>
      <c r="J493" s="6"/>
      <c r="K493" s="6"/>
      <c r="L493" s="6"/>
      <c r="M493" s="6"/>
      <c r="N493" s="6"/>
      <c r="O493" s="6"/>
      <c r="P493" s="6"/>
      <c r="Q493" s="6"/>
      <c r="R493" s="6"/>
      <c r="S493" s="6"/>
      <c r="T493" s="6"/>
      <c r="U493" s="6"/>
      <c r="V493" s="6"/>
      <c r="W493" s="6"/>
      <c r="X493" s="6"/>
      <c r="Y493" s="6"/>
      <c r="Z493" s="6"/>
    </row>
    <row r="494" spans="1:26">
      <c r="A494" s="174"/>
      <c r="B494" s="6"/>
      <c r="C494" s="6"/>
      <c r="D494" s="6"/>
      <c r="E494" s="443"/>
      <c r="F494" s="15"/>
      <c r="G494" s="6"/>
      <c r="H494" s="6"/>
      <c r="I494" s="6"/>
      <c r="J494" s="6"/>
      <c r="K494" s="6"/>
      <c r="L494" s="6"/>
      <c r="M494" s="6"/>
      <c r="N494" s="6"/>
      <c r="O494" s="6"/>
      <c r="P494" s="6"/>
      <c r="Q494" s="6"/>
      <c r="R494" s="6"/>
      <c r="S494" s="6"/>
      <c r="T494" s="6"/>
      <c r="U494" s="6"/>
      <c r="V494" s="6"/>
      <c r="W494" s="6"/>
      <c r="X494" s="6"/>
      <c r="Y494" s="6"/>
      <c r="Z494" s="6"/>
    </row>
    <row r="495" spans="1:26">
      <c r="A495" s="174"/>
      <c r="B495" s="6"/>
      <c r="C495" s="6"/>
      <c r="D495" s="6"/>
      <c r="E495" s="443"/>
      <c r="F495" s="15"/>
      <c r="G495" s="6"/>
      <c r="H495" s="6"/>
      <c r="I495" s="6"/>
      <c r="J495" s="6"/>
      <c r="K495" s="6"/>
      <c r="L495" s="6"/>
      <c r="M495" s="6"/>
      <c r="N495" s="6"/>
      <c r="O495" s="6"/>
      <c r="P495" s="6"/>
      <c r="Q495" s="6"/>
      <c r="R495" s="6"/>
      <c r="S495" s="6"/>
      <c r="T495" s="6"/>
      <c r="U495" s="6"/>
      <c r="V495" s="6"/>
      <c r="W495" s="6"/>
      <c r="X495" s="6"/>
      <c r="Y495" s="6"/>
      <c r="Z495" s="6"/>
    </row>
    <row r="496" spans="1:26">
      <c r="A496" s="174"/>
      <c r="B496" s="6"/>
      <c r="C496" s="6"/>
      <c r="D496" s="6"/>
      <c r="E496" s="443"/>
      <c r="F496" s="15"/>
      <c r="G496" s="6"/>
      <c r="H496" s="6"/>
      <c r="I496" s="6"/>
      <c r="J496" s="6"/>
      <c r="K496" s="6"/>
      <c r="L496" s="6"/>
      <c r="M496" s="6"/>
      <c r="N496" s="6"/>
      <c r="O496" s="6"/>
      <c r="P496" s="6"/>
      <c r="Q496" s="6"/>
      <c r="R496" s="6"/>
      <c r="S496" s="6"/>
      <c r="T496" s="6"/>
      <c r="U496" s="6"/>
      <c r="V496" s="6"/>
      <c r="W496" s="6"/>
      <c r="X496" s="6"/>
      <c r="Y496" s="6"/>
      <c r="Z496" s="6"/>
    </row>
    <row r="497" spans="1:26">
      <c r="A497" s="174"/>
      <c r="B497" s="6"/>
      <c r="C497" s="6"/>
      <c r="D497" s="6"/>
      <c r="E497" s="443"/>
      <c r="F497" s="15"/>
      <c r="G497" s="6"/>
      <c r="H497" s="6"/>
      <c r="I497" s="6"/>
      <c r="J497" s="6"/>
      <c r="K497" s="6"/>
      <c r="L497" s="6"/>
      <c r="M497" s="6"/>
      <c r="N497" s="6"/>
      <c r="O497" s="6"/>
      <c r="P497" s="6"/>
      <c r="Q497" s="6"/>
      <c r="R497" s="6"/>
      <c r="S497" s="6"/>
      <c r="T497" s="6"/>
      <c r="U497" s="6"/>
      <c r="V497" s="6"/>
      <c r="W497" s="6"/>
      <c r="X497" s="6"/>
      <c r="Y497" s="6"/>
      <c r="Z497" s="6"/>
    </row>
    <row r="498" spans="1:26">
      <c r="A498" s="174"/>
      <c r="B498" s="6"/>
      <c r="C498" s="6"/>
      <c r="D498" s="6"/>
      <c r="E498" s="443"/>
      <c r="F498" s="15"/>
      <c r="G498" s="6"/>
      <c r="H498" s="6"/>
      <c r="I498" s="6"/>
      <c r="J498" s="6"/>
      <c r="K498" s="6"/>
      <c r="L498" s="6"/>
      <c r="M498" s="6"/>
      <c r="N498" s="6"/>
      <c r="O498" s="6"/>
      <c r="P498" s="6"/>
      <c r="Q498" s="6"/>
      <c r="R498" s="6"/>
      <c r="S498" s="6"/>
      <c r="T498" s="6"/>
      <c r="U498" s="6"/>
      <c r="V498" s="6"/>
      <c r="W498" s="6"/>
      <c r="X498" s="6"/>
      <c r="Y498" s="6"/>
      <c r="Z498" s="6"/>
    </row>
    <row r="499" spans="1:26">
      <c r="A499" s="174"/>
      <c r="B499" s="6"/>
      <c r="C499" s="6"/>
      <c r="D499" s="6"/>
      <c r="E499" s="443"/>
      <c r="F499" s="15"/>
      <c r="G499" s="6"/>
      <c r="H499" s="6"/>
      <c r="I499" s="6"/>
      <c r="J499" s="6"/>
      <c r="K499" s="6"/>
      <c r="L499" s="6"/>
      <c r="M499" s="6"/>
      <c r="N499" s="6"/>
      <c r="O499" s="6"/>
      <c r="P499" s="6"/>
      <c r="Q499" s="6"/>
      <c r="R499" s="6"/>
      <c r="S499" s="6"/>
      <c r="T499" s="6"/>
      <c r="U499" s="6"/>
      <c r="V499" s="6"/>
      <c r="W499" s="6"/>
      <c r="X499" s="6"/>
      <c r="Y499" s="6"/>
      <c r="Z499" s="6"/>
    </row>
    <row r="500" spans="1:26">
      <c r="A500" s="174"/>
      <c r="B500" s="6"/>
      <c r="C500" s="6"/>
      <c r="D500" s="6"/>
      <c r="E500" s="443"/>
      <c r="F500" s="15"/>
      <c r="G500" s="6"/>
      <c r="H500" s="6"/>
      <c r="I500" s="6"/>
      <c r="J500" s="6"/>
      <c r="K500" s="6"/>
      <c r="L500" s="6"/>
      <c r="M500" s="6"/>
      <c r="N500" s="6"/>
      <c r="O500" s="6"/>
      <c r="P500" s="6"/>
      <c r="Q500" s="6"/>
      <c r="R500" s="6"/>
      <c r="S500" s="6"/>
      <c r="T500" s="6"/>
      <c r="U500" s="6"/>
      <c r="V500" s="6"/>
      <c r="W500" s="6"/>
      <c r="X500" s="6"/>
      <c r="Y500" s="6"/>
      <c r="Z500" s="6"/>
    </row>
    <row r="501" spans="1:26">
      <c r="A501" s="174"/>
      <c r="B501" s="6"/>
      <c r="C501" s="6"/>
      <c r="D501" s="6"/>
      <c r="E501" s="443"/>
      <c r="F501" s="15"/>
      <c r="G501" s="6"/>
      <c r="H501" s="6"/>
      <c r="I501" s="6"/>
      <c r="J501" s="6"/>
      <c r="K501" s="6"/>
      <c r="L501" s="6"/>
      <c r="M501" s="6"/>
      <c r="N501" s="6"/>
      <c r="O501" s="6"/>
      <c r="P501" s="6"/>
      <c r="Q501" s="6"/>
      <c r="R501" s="6"/>
      <c r="S501" s="6"/>
      <c r="T501" s="6"/>
      <c r="U501" s="6"/>
      <c r="V501" s="6"/>
      <c r="W501" s="6"/>
      <c r="X501" s="6"/>
      <c r="Y501" s="6"/>
      <c r="Z501" s="6"/>
    </row>
    <row r="502" spans="1:26">
      <c r="A502" s="174"/>
      <c r="B502" s="6"/>
      <c r="C502" s="6"/>
      <c r="D502" s="6"/>
      <c r="E502" s="443"/>
      <c r="F502" s="15"/>
      <c r="G502" s="6"/>
      <c r="H502" s="6"/>
      <c r="I502" s="6"/>
      <c r="J502" s="6"/>
      <c r="K502" s="6"/>
      <c r="L502" s="6"/>
      <c r="M502" s="6"/>
      <c r="N502" s="6"/>
      <c r="O502" s="6"/>
      <c r="P502" s="6"/>
      <c r="Q502" s="6"/>
      <c r="R502" s="6"/>
      <c r="S502" s="6"/>
      <c r="T502" s="6"/>
      <c r="U502" s="6"/>
      <c r="V502" s="6"/>
      <c r="W502" s="6"/>
      <c r="X502" s="6"/>
      <c r="Y502" s="6"/>
      <c r="Z502" s="6"/>
    </row>
    <row r="503" spans="1:26">
      <c r="A503" s="174"/>
      <c r="B503" s="6"/>
      <c r="C503" s="6"/>
      <c r="D503" s="6"/>
      <c r="E503" s="443"/>
      <c r="F503" s="15"/>
      <c r="G503" s="6"/>
      <c r="H503" s="6"/>
      <c r="I503" s="6"/>
      <c r="J503" s="6"/>
      <c r="K503" s="6"/>
      <c r="L503" s="6"/>
      <c r="M503" s="6"/>
      <c r="N503" s="6"/>
      <c r="O503" s="6"/>
      <c r="P503" s="6"/>
      <c r="Q503" s="6"/>
      <c r="R503" s="6"/>
      <c r="S503" s="6"/>
      <c r="T503" s="6"/>
      <c r="U503" s="6"/>
      <c r="V503" s="6"/>
      <c r="W503" s="6"/>
      <c r="X503" s="6"/>
      <c r="Y503" s="6"/>
      <c r="Z503" s="6"/>
    </row>
    <row r="504" spans="1:26">
      <c r="A504" s="174"/>
      <c r="B504" s="6"/>
      <c r="C504" s="6"/>
      <c r="D504" s="6"/>
      <c r="E504" s="443"/>
      <c r="F504" s="15"/>
      <c r="G504" s="6"/>
      <c r="H504" s="6"/>
      <c r="I504" s="6"/>
      <c r="J504" s="6"/>
      <c r="K504" s="6"/>
      <c r="L504" s="6"/>
      <c r="M504" s="6"/>
      <c r="N504" s="6"/>
      <c r="O504" s="6"/>
      <c r="P504" s="6"/>
      <c r="Q504" s="6"/>
      <c r="R504" s="6"/>
      <c r="S504" s="6"/>
      <c r="T504" s="6"/>
      <c r="U504" s="6"/>
      <c r="V504" s="6"/>
      <c r="W504" s="6"/>
      <c r="X504" s="6"/>
      <c r="Y504" s="6"/>
      <c r="Z504" s="6"/>
    </row>
    <row r="505" spans="1:26">
      <c r="A505" s="174"/>
      <c r="B505" s="6"/>
      <c r="C505" s="6"/>
      <c r="D505" s="6"/>
      <c r="E505" s="443"/>
      <c r="F505" s="15"/>
      <c r="G505" s="6"/>
      <c r="H505" s="6"/>
      <c r="I505" s="6"/>
      <c r="J505" s="6"/>
      <c r="K505" s="6"/>
      <c r="L505" s="6"/>
      <c r="M505" s="6"/>
      <c r="N505" s="6"/>
      <c r="O505" s="6"/>
      <c r="P505" s="6"/>
      <c r="Q505" s="6"/>
      <c r="R505" s="6"/>
      <c r="S505" s="6"/>
      <c r="T505" s="6"/>
      <c r="U505" s="6"/>
      <c r="V505" s="6"/>
      <c r="W505" s="6"/>
      <c r="X505" s="6"/>
      <c r="Y505" s="6"/>
      <c r="Z505" s="6"/>
    </row>
    <row r="506" spans="1:26">
      <c r="A506" s="174"/>
      <c r="B506" s="6"/>
      <c r="C506" s="6"/>
      <c r="D506" s="6"/>
      <c r="E506" s="443"/>
      <c r="F506" s="15"/>
      <c r="G506" s="6"/>
      <c r="H506" s="6"/>
      <c r="I506" s="6"/>
      <c r="J506" s="6"/>
      <c r="K506" s="6"/>
      <c r="L506" s="6"/>
      <c r="M506" s="6"/>
      <c r="N506" s="6"/>
      <c r="O506" s="6"/>
      <c r="P506" s="6"/>
      <c r="Q506" s="6"/>
      <c r="R506" s="6"/>
      <c r="S506" s="6"/>
      <c r="T506" s="6"/>
      <c r="U506" s="6"/>
      <c r="V506" s="6"/>
      <c r="W506" s="6"/>
      <c r="X506" s="6"/>
      <c r="Y506" s="6"/>
      <c r="Z506" s="6"/>
    </row>
    <row r="507" spans="1:26">
      <c r="A507" s="174"/>
      <c r="B507" s="6"/>
      <c r="C507" s="6"/>
      <c r="D507" s="6"/>
      <c r="E507" s="443"/>
      <c r="F507" s="15"/>
      <c r="G507" s="6"/>
      <c r="H507" s="6"/>
      <c r="I507" s="6"/>
      <c r="J507" s="6"/>
      <c r="K507" s="6"/>
      <c r="L507" s="6"/>
      <c r="M507" s="6"/>
      <c r="N507" s="6"/>
      <c r="O507" s="6"/>
      <c r="P507" s="6"/>
      <c r="Q507" s="6"/>
      <c r="R507" s="6"/>
      <c r="S507" s="6"/>
      <c r="T507" s="6"/>
      <c r="U507" s="6"/>
      <c r="V507" s="6"/>
      <c r="W507" s="6"/>
      <c r="X507" s="6"/>
      <c r="Y507" s="6"/>
      <c r="Z507" s="6"/>
    </row>
    <row r="508" spans="1:26">
      <c r="A508" s="174"/>
      <c r="B508" s="6"/>
      <c r="C508" s="6"/>
      <c r="D508" s="6"/>
      <c r="E508" s="443"/>
      <c r="F508" s="15"/>
      <c r="G508" s="6"/>
      <c r="H508" s="6"/>
      <c r="I508" s="6"/>
      <c r="J508" s="6"/>
      <c r="K508" s="6"/>
      <c r="L508" s="6"/>
      <c r="M508" s="6"/>
      <c r="N508" s="6"/>
      <c r="O508" s="6"/>
      <c r="P508" s="6"/>
      <c r="Q508" s="6"/>
      <c r="R508" s="6"/>
      <c r="S508" s="6"/>
      <c r="T508" s="6"/>
      <c r="U508" s="6"/>
      <c r="V508" s="6"/>
      <c r="W508" s="6"/>
      <c r="X508" s="6"/>
      <c r="Y508" s="6"/>
      <c r="Z508" s="6"/>
    </row>
    <row r="509" spans="1:26">
      <c r="A509" s="174"/>
      <c r="B509" s="6"/>
      <c r="C509" s="6"/>
      <c r="D509" s="6"/>
      <c r="E509" s="443"/>
      <c r="F509" s="15"/>
      <c r="G509" s="6"/>
      <c r="H509" s="6"/>
      <c r="I509" s="6"/>
      <c r="J509" s="6"/>
      <c r="K509" s="6"/>
      <c r="L509" s="6"/>
      <c r="M509" s="6"/>
      <c r="N509" s="6"/>
      <c r="O509" s="6"/>
      <c r="P509" s="6"/>
      <c r="Q509" s="6"/>
      <c r="R509" s="6"/>
      <c r="S509" s="6"/>
      <c r="T509" s="6"/>
      <c r="U509" s="6"/>
      <c r="V509" s="6"/>
      <c r="W509" s="6"/>
      <c r="X509" s="6"/>
      <c r="Y509" s="6"/>
      <c r="Z509" s="6"/>
    </row>
    <row r="510" spans="1:26">
      <c r="A510" s="174"/>
      <c r="B510" s="6"/>
      <c r="C510" s="6"/>
      <c r="D510" s="6"/>
      <c r="E510" s="443"/>
      <c r="F510" s="15"/>
      <c r="G510" s="6"/>
      <c r="H510" s="6"/>
      <c r="I510" s="6"/>
      <c r="J510" s="6"/>
      <c r="K510" s="6"/>
      <c r="L510" s="6"/>
      <c r="M510" s="6"/>
      <c r="N510" s="6"/>
      <c r="O510" s="6"/>
      <c r="P510" s="6"/>
      <c r="Q510" s="6"/>
      <c r="R510" s="6"/>
      <c r="S510" s="6"/>
      <c r="T510" s="6"/>
      <c r="U510" s="6"/>
      <c r="V510" s="6"/>
      <c r="W510" s="6"/>
      <c r="X510" s="6"/>
      <c r="Y510" s="6"/>
      <c r="Z510" s="6"/>
    </row>
    <row r="511" spans="1:26">
      <c r="A511" s="174"/>
      <c r="B511" s="6"/>
      <c r="C511" s="6"/>
      <c r="D511" s="6"/>
      <c r="E511" s="443"/>
      <c r="F511" s="15"/>
      <c r="G511" s="6"/>
      <c r="H511" s="6"/>
      <c r="I511" s="6"/>
      <c r="J511" s="6"/>
      <c r="K511" s="6"/>
      <c r="L511" s="6"/>
      <c r="M511" s="6"/>
      <c r="N511" s="6"/>
      <c r="O511" s="6"/>
      <c r="P511" s="6"/>
      <c r="Q511" s="6"/>
      <c r="R511" s="6"/>
      <c r="S511" s="6"/>
      <c r="T511" s="6"/>
      <c r="U511" s="6"/>
      <c r="V511" s="6"/>
      <c r="W511" s="6"/>
      <c r="X511" s="6"/>
      <c r="Y511" s="6"/>
      <c r="Z511" s="6"/>
    </row>
    <row r="512" spans="1:26">
      <c r="A512" s="174"/>
      <c r="B512" s="6"/>
      <c r="C512" s="6"/>
      <c r="D512" s="6"/>
      <c r="E512" s="443"/>
      <c r="F512" s="15"/>
      <c r="G512" s="6"/>
      <c r="H512" s="6"/>
      <c r="I512" s="6"/>
      <c r="J512" s="6"/>
      <c r="K512" s="6"/>
      <c r="L512" s="6"/>
      <c r="M512" s="6"/>
      <c r="N512" s="6"/>
      <c r="O512" s="6"/>
      <c r="P512" s="6"/>
      <c r="Q512" s="6"/>
      <c r="R512" s="6"/>
      <c r="S512" s="6"/>
      <c r="T512" s="6"/>
      <c r="U512" s="6"/>
      <c r="V512" s="6"/>
      <c r="W512" s="6"/>
      <c r="X512" s="6"/>
      <c r="Y512" s="6"/>
      <c r="Z512" s="6"/>
    </row>
    <row r="513" spans="1:26">
      <c r="A513" s="174"/>
      <c r="B513" s="6"/>
      <c r="C513" s="6"/>
      <c r="D513" s="6"/>
      <c r="E513" s="443"/>
      <c r="F513" s="15"/>
      <c r="G513" s="6"/>
      <c r="H513" s="6"/>
      <c r="I513" s="6"/>
      <c r="J513" s="6"/>
      <c r="K513" s="6"/>
      <c r="L513" s="6"/>
      <c r="M513" s="6"/>
      <c r="N513" s="6"/>
      <c r="O513" s="6"/>
      <c r="P513" s="6"/>
      <c r="Q513" s="6"/>
      <c r="R513" s="6"/>
      <c r="S513" s="6"/>
      <c r="T513" s="6"/>
      <c r="U513" s="6"/>
      <c r="V513" s="6"/>
      <c r="W513" s="6"/>
      <c r="X513" s="6"/>
      <c r="Y513" s="6"/>
      <c r="Z513" s="6"/>
    </row>
    <row r="514" spans="1:26">
      <c r="A514" s="174"/>
      <c r="B514" s="6"/>
      <c r="C514" s="6"/>
      <c r="D514" s="6"/>
      <c r="E514" s="443"/>
      <c r="F514" s="15"/>
      <c r="G514" s="6"/>
      <c r="H514" s="6"/>
      <c r="I514" s="6"/>
      <c r="J514" s="6"/>
      <c r="K514" s="6"/>
      <c r="L514" s="6"/>
      <c r="M514" s="6"/>
      <c r="N514" s="6"/>
      <c r="O514" s="6"/>
      <c r="P514" s="6"/>
      <c r="Q514" s="6"/>
      <c r="R514" s="6"/>
      <c r="S514" s="6"/>
      <c r="T514" s="6"/>
      <c r="U514" s="6"/>
      <c r="V514" s="6"/>
      <c r="W514" s="6"/>
      <c r="X514" s="6"/>
      <c r="Y514" s="6"/>
      <c r="Z514" s="6"/>
    </row>
    <row r="515" spans="1:26">
      <c r="A515" s="174"/>
      <c r="B515" s="6"/>
      <c r="C515" s="6"/>
      <c r="D515" s="6"/>
      <c r="E515" s="443"/>
      <c r="F515" s="15"/>
      <c r="G515" s="6"/>
      <c r="H515" s="6"/>
      <c r="I515" s="6"/>
      <c r="J515" s="6"/>
      <c r="K515" s="6"/>
      <c r="L515" s="6"/>
      <c r="M515" s="6"/>
      <c r="N515" s="6"/>
      <c r="O515" s="6"/>
      <c r="P515" s="6"/>
      <c r="Q515" s="6"/>
      <c r="R515" s="6"/>
      <c r="S515" s="6"/>
      <c r="T515" s="6"/>
      <c r="U515" s="6"/>
      <c r="V515" s="6"/>
      <c r="W515" s="6"/>
      <c r="X515" s="6"/>
      <c r="Y515" s="6"/>
      <c r="Z515" s="6"/>
    </row>
    <row r="516" spans="1:26">
      <c r="A516" s="174"/>
      <c r="B516" s="6"/>
      <c r="C516" s="6"/>
      <c r="D516" s="6"/>
      <c r="E516" s="443"/>
      <c r="F516" s="15"/>
      <c r="G516" s="6"/>
      <c r="H516" s="6"/>
      <c r="I516" s="6"/>
      <c r="J516" s="6"/>
      <c r="K516" s="6"/>
      <c r="L516" s="6"/>
      <c r="M516" s="6"/>
      <c r="N516" s="6"/>
      <c r="O516" s="6"/>
      <c r="P516" s="6"/>
      <c r="Q516" s="6"/>
      <c r="R516" s="6"/>
      <c r="S516" s="6"/>
      <c r="T516" s="6"/>
      <c r="U516" s="6"/>
      <c r="V516" s="6"/>
      <c r="W516" s="6"/>
      <c r="X516" s="6"/>
      <c r="Y516" s="6"/>
      <c r="Z516" s="6"/>
    </row>
    <row r="517" spans="1:26">
      <c r="A517" s="174"/>
      <c r="B517" s="6"/>
      <c r="C517" s="6"/>
      <c r="D517" s="6"/>
      <c r="E517" s="443"/>
      <c r="F517" s="15"/>
      <c r="G517" s="6"/>
      <c r="H517" s="6"/>
      <c r="I517" s="6"/>
      <c r="J517" s="6"/>
      <c r="K517" s="6"/>
      <c r="L517" s="6"/>
      <c r="M517" s="6"/>
      <c r="N517" s="6"/>
      <c r="O517" s="6"/>
      <c r="P517" s="6"/>
      <c r="Q517" s="6"/>
      <c r="R517" s="6"/>
      <c r="S517" s="6"/>
      <c r="T517" s="6"/>
      <c r="U517" s="6"/>
      <c r="V517" s="6"/>
      <c r="W517" s="6"/>
      <c r="X517" s="6"/>
      <c r="Y517" s="6"/>
      <c r="Z517" s="6"/>
    </row>
    <row r="518" spans="1:26">
      <c r="A518" s="174"/>
      <c r="B518" s="6"/>
      <c r="C518" s="6"/>
      <c r="D518" s="6"/>
      <c r="E518" s="443"/>
      <c r="F518" s="15"/>
      <c r="G518" s="6"/>
      <c r="H518" s="6"/>
      <c r="I518" s="6"/>
      <c r="J518" s="6"/>
      <c r="K518" s="6"/>
      <c r="L518" s="6"/>
      <c r="M518" s="6"/>
      <c r="N518" s="6"/>
      <c r="O518" s="6"/>
      <c r="P518" s="6"/>
      <c r="Q518" s="6"/>
      <c r="R518" s="6"/>
      <c r="S518" s="6"/>
      <c r="T518" s="6"/>
      <c r="U518" s="6"/>
      <c r="V518" s="6"/>
      <c r="W518" s="6"/>
      <c r="X518" s="6"/>
      <c r="Y518" s="6"/>
      <c r="Z518" s="6"/>
    </row>
    <row r="519" spans="1:26">
      <c r="A519" s="174"/>
      <c r="B519" s="6"/>
      <c r="C519" s="6"/>
      <c r="D519" s="6"/>
      <c r="E519" s="443"/>
      <c r="F519" s="15"/>
      <c r="G519" s="6"/>
      <c r="H519" s="6"/>
      <c r="I519" s="6"/>
      <c r="J519" s="6"/>
      <c r="K519" s="6"/>
      <c r="L519" s="6"/>
      <c r="M519" s="6"/>
      <c r="N519" s="6"/>
      <c r="O519" s="6"/>
      <c r="P519" s="6"/>
      <c r="Q519" s="6"/>
      <c r="R519" s="6"/>
      <c r="S519" s="6"/>
      <c r="T519" s="6"/>
      <c r="U519" s="6"/>
      <c r="V519" s="6"/>
      <c r="W519" s="6"/>
      <c r="X519" s="6"/>
      <c r="Y519" s="6"/>
      <c r="Z519" s="6"/>
    </row>
    <row r="520" spans="1:26">
      <c r="A520" s="174"/>
      <c r="B520" s="6"/>
      <c r="C520" s="6"/>
      <c r="D520" s="6"/>
      <c r="E520" s="443"/>
      <c r="F520" s="15"/>
      <c r="G520" s="6"/>
      <c r="H520" s="6"/>
      <c r="I520" s="6"/>
      <c r="J520" s="6"/>
      <c r="K520" s="6"/>
      <c r="L520" s="6"/>
      <c r="M520" s="6"/>
      <c r="N520" s="6"/>
      <c r="O520" s="6"/>
      <c r="P520" s="6"/>
      <c r="Q520" s="6"/>
      <c r="R520" s="6"/>
      <c r="S520" s="6"/>
      <c r="T520" s="6"/>
      <c r="U520" s="6"/>
      <c r="V520" s="6"/>
      <c r="W520" s="6"/>
      <c r="X520" s="6"/>
      <c r="Y520" s="6"/>
      <c r="Z520" s="6"/>
    </row>
    <row r="521" spans="1:26">
      <c r="A521" s="174"/>
      <c r="B521" s="6"/>
      <c r="C521" s="6"/>
      <c r="D521" s="6"/>
      <c r="E521" s="443"/>
      <c r="F521" s="15"/>
      <c r="G521" s="6"/>
      <c r="H521" s="6"/>
      <c r="I521" s="6"/>
      <c r="J521" s="6"/>
      <c r="K521" s="6"/>
      <c r="L521" s="6"/>
      <c r="M521" s="6"/>
      <c r="N521" s="6"/>
      <c r="O521" s="6"/>
      <c r="P521" s="6"/>
      <c r="Q521" s="6"/>
      <c r="R521" s="6"/>
      <c r="S521" s="6"/>
      <c r="T521" s="6"/>
      <c r="U521" s="6"/>
      <c r="V521" s="6"/>
      <c r="W521" s="6"/>
      <c r="X521" s="6"/>
      <c r="Y521" s="6"/>
      <c r="Z521" s="6"/>
    </row>
    <row r="522" spans="1:26">
      <c r="A522" s="174"/>
      <c r="B522" s="6"/>
      <c r="C522" s="6"/>
      <c r="D522" s="6"/>
      <c r="E522" s="443"/>
      <c r="F522" s="15"/>
      <c r="G522" s="6"/>
      <c r="H522" s="6"/>
      <c r="I522" s="6"/>
      <c r="J522" s="6"/>
      <c r="K522" s="6"/>
      <c r="L522" s="6"/>
      <c r="M522" s="6"/>
      <c r="N522" s="6"/>
      <c r="O522" s="6"/>
      <c r="P522" s="6"/>
      <c r="Q522" s="6"/>
      <c r="R522" s="6"/>
      <c r="S522" s="6"/>
      <c r="T522" s="6"/>
      <c r="U522" s="6"/>
      <c r="V522" s="6"/>
      <c r="W522" s="6"/>
      <c r="X522" s="6"/>
      <c r="Y522" s="6"/>
      <c r="Z522" s="6"/>
    </row>
    <row r="523" spans="1:26">
      <c r="A523" s="174"/>
      <c r="B523" s="6"/>
      <c r="C523" s="6"/>
      <c r="D523" s="6"/>
      <c r="E523" s="443"/>
      <c r="F523" s="15"/>
      <c r="G523" s="6"/>
      <c r="H523" s="6"/>
      <c r="I523" s="6"/>
      <c r="J523" s="6"/>
      <c r="K523" s="6"/>
      <c r="L523" s="6"/>
      <c r="M523" s="6"/>
      <c r="N523" s="6"/>
      <c r="O523" s="6"/>
      <c r="P523" s="6"/>
      <c r="Q523" s="6"/>
      <c r="R523" s="6"/>
      <c r="S523" s="6"/>
      <c r="T523" s="6"/>
      <c r="U523" s="6"/>
      <c r="V523" s="6"/>
      <c r="W523" s="6"/>
      <c r="X523" s="6"/>
      <c r="Y523" s="6"/>
      <c r="Z523" s="6"/>
    </row>
    <row r="524" spans="1:26">
      <c r="A524" s="174"/>
      <c r="B524" s="6"/>
      <c r="C524" s="6"/>
      <c r="D524" s="6"/>
      <c r="E524" s="443"/>
      <c r="F524" s="15"/>
      <c r="G524" s="6"/>
      <c r="H524" s="6"/>
      <c r="I524" s="6"/>
      <c r="J524" s="6"/>
      <c r="K524" s="6"/>
      <c r="L524" s="6"/>
      <c r="M524" s="6"/>
      <c r="N524" s="6"/>
      <c r="O524" s="6"/>
      <c r="P524" s="6"/>
      <c r="Q524" s="6"/>
      <c r="R524" s="6"/>
      <c r="S524" s="6"/>
      <c r="T524" s="6"/>
      <c r="U524" s="6"/>
      <c r="V524" s="6"/>
      <c r="W524" s="6"/>
      <c r="X524" s="6"/>
      <c r="Y524" s="6"/>
      <c r="Z524" s="6"/>
    </row>
    <row r="525" spans="1:26">
      <c r="A525" s="174"/>
      <c r="B525" s="6"/>
      <c r="C525" s="6"/>
      <c r="D525" s="6"/>
      <c r="E525" s="443"/>
      <c r="F525" s="15"/>
      <c r="G525" s="6"/>
      <c r="H525" s="6"/>
      <c r="I525" s="6"/>
      <c r="J525" s="6"/>
      <c r="K525" s="6"/>
      <c r="L525" s="6"/>
      <c r="M525" s="6"/>
      <c r="N525" s="6"/>
      <c r="O525" s="6"/>
      <c r="P525" s="6"/>
      <c r="Q525" s="6"/>
      <c r="R525" s="6"/>
      <c r="S525" s="6"/>
      <c r="T525" s="6"/>
      <c r="U525" s="6"/>
      <c r="V525" s="6"/>
      <c r="W525" s="6"/>
      <c r="X525" s="6"/>
      <c r="Y525" s="6"/>
      <c r="Z525" s="6"/>
    </row>
    <row r="526" spans="1:26">
      <c r="A526" s="174"/>
      <c r="B526" s="6"/>
      <c r="C526" s="6"/>
      <c r="D526" s="6"/>
      <c r="E526" s="443"/>
      <c r="F526" s="15"/>
      <c r="G526" s="6"/>
      <c r="H526" s="6"/>
      <c r="I526" s="6"/>
      <c r="J526" s="6"/>
      <c r="K526" s="6"/>
      <c r="L526" s="6"/>
      <c r="M526" s="6"/>
      <c r="N526" s="6"/>
      <c r="O526" s="6"/>
      <c r="P526" s="6"/>
      <c r="Q526" s="6"/>
      <c r="R526" s="6"/>
      <c r="S526" s="6"/>
      <c r="T526" s="6"/>
      <c r="U526" s="6"/>
      <c r="V526" s="6"/>
      <c r="W526" s="6"/>
      <c r="X526" s="6"/>
      <c r="Y526" s="6"/>
      <c r="Z526" s="6"/>
    </row>
    <row r="527" spans="1:26">
      <c r="A527" s="174"/>
      <c r="B527" s="6"/>
      <c r="C527" s="6"/>
      <c r="D527" s="6"/>
      <c r="E527" s="443"/>
      <c r="F527" s="15"/>
      <c r="G527" s="6"/>
      <c r="H527" s="6"/>
      <c r="I527" s="6"/>
      <c r="J527" s="6"/>
      <c r="K527" s="6"/>
      <c r="L527" s="6"/>
      <c r="M527" s="6"/>
      <c r="N527" s="6"/>
      <c r="O527" s="6"/>
      <c r="P527" s="6"/>
      <c r="Q527" s="6"/>
      <c r="R527" s="6"/>
      <c r="S527" s="6"/>
      <c r="T527" s="6"/>
      <c r="U527" s="6"/>
      <c r="V527" s="6"/>
      <c r="W527" s="6"/>
      <c r="X527" s="6"/>
      <c r="Y527" s="6"/>
      <c r="Z527" s="6"/>
    </row>
    <row r="528" spans="1:26">
      <c r="A528" s="174"/>
      <c r="B528" s="6"/>
      <c r="C528" s="6"/>
      <c r="D528" s="6"/>
      <c r="E528" s="443"/>
      <c r="F528" s="15"/>
      <c r="G528" s="6"/>
      <c r="H528" s="6"/>
      <c r="I528" s="6"/>
      <c r="J528" s="6"/>
      <c r="K528" s="6"/>
      <c r="L528" s="6"/>
      <c r="M528" s="6"/>
      <c r="N528" s="6"/>
      <c r="O528" s="6"/>
      <c r="P528" s="6"/>
      <c r="Q528" s="6"/>
      <c r="R528" s="6"/>
      <c r="S528" s="6"/>
      <c r="T528" s="6"/>
      <c r="U528" s="6"/>
      <c r="V528" s="6"/>
      <c r="W528" s="6"/>
      <c r="X528" s="6"/>
      <c r="Y528" s="6"/>
      <c r="Z528" s="6"/>
    </row>
    <row r="529" spans="1:26">
      <c r="A529" s="174"/>
      <c r="B529" s="6"/>
      <c r="C529" s="6"/>
      <c r="D529" s="6"/>
      <c r="E529" s="443"/>
      <c r="F529" s="15"/>
      <c r="G529" s="6"/>
      <c r="H529" s="6"/>
      <c r="I529" s="6"/>
      <c r="J529" s="6"/>
      <c r="K529" s="6"/>
      <c r="L529" s="6"/>
      <c r="M529" s="6"/>
      <c r="N529" s="6"/>
      <c r="O529" s="6"/>
      <c r="P529" s="6"/>
      <c r="Q529" s="6"/>
      <c r="R529" s="6"/>
      <c r="S529" s="6"/>
      <c r="T529" s="6"/>
      <c r="U529" s="6"/>
      <c r="V529" s="6"/>
      <c r="W529" s="6"/>
      <c r="X529" s="6"/>
      <c r="Y529" s="6"/>
      <c r="Z529" s="6"/>
    </row>
    <row r="530" spans="1:26">
      <c r="A530" s="174"/>
      <c r="B530" s="6"/>
      <c r="C530" s="6"/>
      <c r="D530" s="6"/>
      <c r="E530" s="443"/>
      <c r="F530" s="15"/>
      <c r="G530" s="6"/>
      <c r="H530" s="6"/>
      <c r="I530" s="6"/>
      <c r="J530" s="6"/>
      <c r="K530" s="6"/>
      <c r="L530" s="6"/>
      <c r="M530" s="6"/>
      <c r="N530" s="6"/>
      <c r="O530" s="6"/>
      <c r="P530" s="6"/>
      <c r="Q530" s="6"/>
      <c r="R530" s="6"/>
      <c r="S530" s="6"/>
      <c r="T530" s="6"/>
      <c r="U530" s="6"/>
      <c r="V530" s="6"/>
      <c r="W530" s="6"/>
      <c r="X530" s="6"/>
      <c r="Y530" s="6"/>
      <c r="Z530" s="6"/>
    </row>
    <row r="531" spans="1:26">
      <c r="A531" s="174"/>
      <c r="B531" s="6"/>
      <c r="C531" s="6"/>
      <c r="D531" s="6"/>
      <c r="E531" s="443"/>
      <c r="F531" s="15"/>
      <c r="G531" s="6"/>
      <c r="H531" s="6"/>
      <c r="I531" s="6"/>
      <c r="J531" s="6"/>
      <c r="K531" s="6"/>
      <c r="L531" s="6"/>
      <c r="M531" s="6"/>
      <c r="N531" s="6"/>
      <c r="O531" s="6"/>
      <c r="P531" s="6"/>
      <c r="Q531" s="6"/>
      <c r="R531" s="6"/>
      <c r="S531" s="6"/>
      <c r="T531" s="6"/>
      <c r="U531" s="6"/>
      <c r="V531" s="6"/>
      <c r="W531" s="6"/>
      <c r="X531" s="6"/>
      <c r="Y531" s="6"/>
      <c r="Z531" s="6"/>
    </row>
    <row r="532" spans="1:26">
      <c r="A532" s="174"/>
      <c r="B532" s="6"/>
      <c r="C532" s="6"/>
      <c r="D532" s="6"/>
      <c r="E532" s="443"/>
      <c r="F532" s="15"/>
      <c r="G532" s="6"/>
      <c r="H532" s="6"/>
      <c r="I532" s="6"/>
      <c r="J532" s="6"/>
      <c r="K532" s="6"/>
      <c r="L532" s="6"/>
      <c r="M532" s="6"/>
      <c r="N532" s="6"/>
      <c r="O532" s="6"/>
      <c r="P532" s="6"/>
      <c r="Q532" s="6"/>
      <c r="R532" s="6"/>
      <c r="S532" s="6"/>
      <c r="T532" s="6"/>
      <c r="U532" s="6"/>
      <c r="V532" s="6"/>
      <c r="W532" s="6"/>
      <c r="X532" s="6"/>
      <c r="Y532" s="6"/>
      <c r="Z532" s="6"/>
    </row>
    <row r="533" spans="1:26">
      <c r="A533" s="174"/>
      <c r="B533" s="6"/>
      <c r="C533" s="6"/>
      <c r="D533" s="6"/>
      <c r="E533" s="443"/>
      <c r="F533" s="15"/>
      <c r="G533" s="6"/>
      <c r="H533" s="6"/>
      <c r="I533" s="6"/>
      <c r="J533" s="6"/>
      <c r="K533" s="6"/>
      <c r="L533" s="6"/>
      <c r="M533" s="6"/>
      <c r="N533" s="6"/>
      <c r="O533" s="6"/>
      <c r="P533" s="6"/>
      <c r="Q533" s="6"/>
      <c r="R533" s="6"/>
      <c r="S533" s="6"/>
      <c r="T533" s="6"/>
      <c r="U533" s="6"/>
      <c r="V533" s="6"/>
      <c r="W533" s="6"/>
      <c r="X533" s="6"/>
      <c r="Y533" s="6"/>
      <c r="Z533" s="6"/>
    </row>
    <row r="534" spans="1:26">
      <c r="A534" s="174"/>
      <c r="B534" s="6"/>
      <c r="C534" s="6"/>
      <c r="D534" s="6"/>
      <c r="E534" s="443"/>
      <c r="F534" s="15"/>
      <c r="G534" s="6"/>
      <c r="H534" s="6"/>
      <c r="I534" s="6"/>
      <c r="J534" s="6"/>
      <c r="K534" s="6"/>
      <c r="L534" s="6"/>
      <c r="M534" s="6"/>
      <c r="N534" s="6"/>
      <c r="O534" s="6"/>
      <c r="P534" s="6"/>
      <c r="Q534" s="6"/>
      <c r="R534" s="6"/>
      <c r="S534" s="6"/>
      <c r="T534" s="6"/>
      <c r="U534" s="6"/>
      <c r="V534" s="6"/>
      <c r="W534" s="6"/>
      <c r="X534" s="6"/>
      <c r="Y534" s="6"/>
      <c r="Z534" s="6"/>
    </row>
    <row r="535" spans="1:26">
      <c r="A535" s="174"/>
      <c r="B535" s="6"/>
      <c r="C535" s="6"/>
      <c r="D535" s="6"/>
      <c r="E535" s="443"/>
      <c r="F535" s="15"/>
      <c r="G535" s="6"/>
      <c r="H535" s="6"/>
      <c r="I535" s="6"/>
      <c r="J535" s="6"/>
      <c r="K535" s="6"/>
      <c r="L535" s="6"/>
      <c r="M535" s="6"/>
      <c r="N535" s="6"/>
      <c r="O535" s="6"/>
      <c r="P535" s="6"/>
      <c r="Q535" s="6"/>
      <c r="R535" s="6"/>
      <c r="S535" s="6"/>
      <c r="T535" s="6"/>
      <c r="U535" s="6"/>
      <c r="V535" s="6"/>
      <c r="W535" s="6"/>
      <c r="X535" s="6"/>
      <c r="Y535" s="6"/>
      <c r="Z535" s="6"/>
    </row>
    <row r="536" spans="1:26">
      <c r="A536" s="174"/>
      <c r="B536" s="6"/>
      <c r="C536" s="6"/>
      <c r="D536" s="6"/>
      <c r="E536" s="443"/>
      <c r="F536" s="15"/>
      <c r="G536" s="6"/>
      <c r="H536" s="6"/>
      <c r="I536" s="6"/>
      <c r="J536" s="6"/>
      <c r="K536" s="6"/>
      <c r="L536" s="6"/>
      <c r="M536" s="6"/>
      <c r="N536" s="6"/>
      <c r="O536" s="6"/>
      <c r="P536" s="6"/>
      <c r="Q536" s="6"/>
      <c r="R536" s="6"/>
      <c r="S536" s="6"/>
      <c r="T536" s="6"/>
      <c r="U536" s="6"/>
      <c r="V536" s="6"/>
      <c r="W536" s="6"/>
      <c r="X536" s="6"/>
      <c r="Y536" s="6"/>
      <c r="Z536" s="6"/>
    </row>
    <row r="537" spans="1:26">
      <c r="A537" s="174"/>
      <c r="B537" s="6"/>
      <c r="C537" s="6"/>
      <c r="D537" s="6"/>
      <c r="E537" s="443"/>
      <c r="F537" s="15"/>
      <c r="G537" s="6"/>
      <c r="H537" s="6"/>
      <c r="I537" s="6"/>
      <c r="J537" s="6"/>
      <c r="K537" s="6"/>
      <c r="L537" s="6"/>
      <c r="M537" s="6"/>
      <c r="N537" s="6"/>
      <c r="O537" s="6"/>
      <c r="P537" s="6"/>
      <c r="Q537" s="6"/>
      <c r="R537" s="6"/>
      <c r="S537" s="6"/>
      <c r="T537" s="6"/>
      <c r="U537" s="6"/>
      <c r="V537" s="6"/>
      <c r="W537" s="6"/>
      <c r="X537" s="6"/>
      <c r="Y537" s="6"/>
      <c r="Z537" s="6"/>
    </row>
    <row r="538" spans="1:26">
      <c r="A538" s="174"/>
      <c r="B538" s="6"/>
      <c r="C538" s="6"/>
      <c r="D538" s="6"/>
      <c r="E538" s="443"/>
      <c r="F538" s="15"/>
      <c r="G538" s="6"/>
      <c r="H538" s="6"/>
      <c r="I538" s="6"/>
      <c r="J538" s="6"/>
      <c r="K538" s="6"/>
      <c r="L538" s="6"/>
      <c r="M538" s="6"/>
      <c r="N538" s="6"/>
      <c r="O538" s="6"/>
      <c r="P538" s="6"/>
      <c r="Q538" s="6"/>
      <c r="R538" s="6"/>
      <c r="S538" s="6"/>
      <c r="T538" s="6"/>
      <c r="U538" s="6"/>
      <c r="V538" s="6"/>
      <c r="W538" s="6"/>
      <c r="X538" s="6"/>
      <c r="Y538" s="6"/>
      <c r="Z538" s="6"/>
    </row>
    <row r="539" spans="1:26">
      <c r="A539" s="174"/>
      <c r="B539" s="6"/>
      <c r="C539" s="6"/>
      <c r="D539" s="6"/>
      <c r="E539" s="443"/>
      <c r="F539" s="15"/>
      <c r="G539" s="6"/>
      <c r="H539" s="6"/>
      <c r="I539" s="6"/>
      <c r="J539" s="6"/>
      <c r="K539" s="6"/>
      <c r="L539" s="6"/>
      <c r="M539" s="6"/>
      <c r="N539" s="6"/>
      <c r="O539" s="6"/>
      <c r="P539" s="6"/>
      <c r="Q539" s="6"/>
      <c r="R539" s="6"/>
      <c r="S539" s="6"/>
      <c r="T539" s="6"/>
      <c r="U539" s="6"/>
      <c r="V539" s="6"/>
      <c r="W539" s="6"/>
      <c r="X539" s="6"/>
      <c r="Y539" s="6"/>
      <c r="Z539" s="6"/>
    </row>
    <row r="540" spans="1:26">
      <c r="A540" s="174"/>
      <c r="B540" s="6"/>
      <c r="C540" s="6"/>
      <c r="D540" s="6"/>
      <c r="E540" s="443"/>
      <c r="F540" s="15"/>
      <c r="G540" s="6"/>
      <c r="H540" s="6"/>
      <c r="I540" s="6"/>
      <c r="J540" s="6"/>
      <c r="K540" s="6"/>
      <c r="L540" s="6"/>
      <c r="M540" s="6"/>
      <c r="N540" s="6"/>
      <c r="O540" s="6"/>
      <c r="P540" s="6"/>
      <c r="Q540" s="6"/>
      <c r="R540" s="6"/>
      <c r="S540" s="6"/>
      <c r="T540" s="6"/>
      <c r="U540" s="6"/>
      <c r="V540" s="6"/>
      <c r="W540" s="6"/>
      <c r="X540" s="6"/>
      <c r="Y540" s="6"/>
      <c r="Z540" s="6"/>
    </row>
    <row r="541" spans="1:26">
      <c r="A541" s="174"/>
      <c r="B541" s="6"/>
      <c r="C541" s="6"/>
      <c r="D541" s="6"/>
      <c r="E541" s="443"/>
      <c r="F541" s="15"/>
      <c r="G541" s="6"/>
      <c r="H541" s="6"/>
      <c r="I541" s="6"/>
      <c r="J541" s="6"/>
      <c r="K541" s="6"/>
      <c r="L541" s="6"/>
      <c r="M541" s="6"/>
      <c r="N541" s="6"/>
      <c r="O541" s="6"/>
      <c r="P541" s="6"/>
      <c r="Q541" s="6"/>
      <c r="R541" s="6"/>
      <c r="S541" s="6"/>
      <c r="T541" s="6"/>
      <c r="U541" s="6"/>
      <c r="V541" s="6"/>
      <c r="W541" s="6"/>
      <c r="X541" s="6"/>
      <c r="Y541" s="6"/>
      <c r="Z541" s="6"/>
    </row>
    <row r="542" spans="1:26">
      <c r="A542" s="174"/>
      <c r="B542" s="6"/>
      <c r="C542" s="6"/>
      <c r="D542" s="6"/>
      <c r="E542" s="443"/>
      <c r="F542" s="15"/>
      <c r="G542" s="6"/>
      <c r="H542" s="6"/>
      <c r="I542" s="6"/>
      <c r="J542" s="6"/>
      <c r="K542" s="6"/>
      <c r="L542" s="6"/>
      <c r="M542" s="6"/>
      <c r="N542" s="6"/>
      <c r="O542" s="6"/>
      <c r="P542" s="6"/>
      <c r="Q542" s="6"/>
      <c r="R542" s="6"/>
      <c r="S542" s="6"/>
      <c r="T542" s="6"/>
      <c r="U542" s="6"/>
      <c r="V542" s="6"/>
      <c r="W542" s="6"/>
      <c r="X542" s="6"/>
      <c r="Y542" s="6"/>
      <c r="Z542" s="6"/>
    </row>
    <row r="543" spans="1:26">
      <c r="A543" s="174"/>
      <c r="B543" s="6"/>
      <c r="C543" s="6"/>
      <c r="D543" s="6"/>
      <c r="E543" s="443"/>
      <c r="F543" s="15"/>
      <c r="G543" s="6"/>
      <c r="H543" s="6"/>
      <c r="I543" s="6"/>
      <c r="J543" s="6"/>
      <c r="K543" s="6"/>
      <c r="L543" s="6"/>
      <c r="M543" s="6"/>
      <c r="N543" s="6"/>
      <c r="O543" s="6"/>
      <c r="P543" s="6"/>
      <c r="Q543" s="6"/>
      <c r="R543" s="6"/>
      <c r="S543" s="6"/>
      <c r="T543" s="6"/>
      <c r="U543" s="6"/>
      <c r="V543" s="6"/>
      <c r="W543" s="6"/>
      <c r="X543" s="6"/>
      <c r="Y543" s="6"/>
      <c r="Z543" s="6"/>
    </row>
    <row r="544" spans="1:26">
      <c r="A544" s="174"/>
      <c r="B544" s="6"/>
      <c r="C544" s="6"/>
      <c r="D544" s="6"/>
      <c r="E544" s="443"/>
      <c r="F544" s="15"/>
      <c r="G544" s="6"/>
      <c r="H544" s="6"/>
      <c r="I544" s="6"/>
      <c r="J544" s="6"/>
      <c r="K544" s="6"/>
      <c r="L544" s="6"/>
      <c r="M544" s="6"/>
      <c r="N544" s="6"/>
      <c r="O544" s="6"/>
      <c r="P544" s="6"/>
      <c r="Q544" s="6"/>
      <c r="R544" s="6"/>
      <c r="S544" s="6"/>
      <c r="T544" s="6"/>
      <c r="U544" s="6"/>
      <c r="V544" s="6"/>
      <c r="W544" s="6"/>
      <c r="X544" s="6"/>
      <c r="Y544" s="6"/>
      <c r="Z544" s="6"/>
    </row>
    <row r="545" spans="1:26">
      <c r="A545" s="174"/>
      <c r="B545" s="6"/>
      <c r="C545" s="6"/>
      <c r="D545" s="6"/>
      <c r="E545" s="443"/>
      <c r="F545" s="15"/>
      <c r="G545" s="6"/>
      <c r="H545" s="6"/>
      <c r="I545" s="6"/>
      <c r="J545" s="6"/>
      <c r="K545" s="6"/>
      <c r="L545" s="6"/>
      <c r="M545" s="6"/>
      <c r="N545" s="6"/>
      <c r="O545" s="6"/>
      <c r="P545" s="6"/>
      <c r="Q545" s="6"/>
      <c r="R545" s="6"/>
      <c r="S545" s="6"/>
      <c r="T545" s="6"/>
      <c r="U545" s="6"/>
      <c r="V545" s="6"/>
      <c r="W545" s="6"/>
      <c r="X545" s="6"/>
      <c r="Y545" s="6"/>
      <c r="Z545" s="6"/>
    </row>
    <row r="546" spans="1:26">
      <c r="A546" s="174"/>
      <c r="B546" s="6"/>
      <c r="C546" s="6"/>
      <c r="D546" s="6"/>
      <c r="E546" s="443"/>
      <c r="F546" s="15"/>
      <c r="G546" s="6"/>
      <c r="H546" s="6"/>
      <c r="I546" s="6"/>
      <c r="J546" s="6"/>
      <c r="K546" s="6"/>
      <c r="L546" s="6"/>
      <c r="M546" s="6"/>
      <c r="N546" s="6"/>
      <c r="O546" s="6"/>
      <c r="P546" s="6"/>
      <c r="Q546" s="6"/>
      <c r="R546" s="6"/>
      <c r="S546" s="6"/>
      <c r="T546" s="6"/>
      <c r="U546" s="6"/>
      <c r="V546" s="6"/>
      <c r="W546" s="6"/>
      <c r="X546" s="6"/>
      <c r="Y546" s="6"/>
      <c r="Z546" s="6"/>
    </row>
    <row r="547" spans="1:26">
      <c r="A547" s="174"/>
      <c r="B547" s="6"/>
      <c r="C547" s="6"/>
      <c r="D547" s="6"/>
      <c r="E547" s="443"/>
      <c r="F547" s="15"/>
      <c r="G547" s="6"/>
      <c r="H547" s="6"/>
      <c r="I547" s="6"/>
      <c r="J547" s="6"/>
      <c r="K547" s="6"/>
      <c r="L547" s="6"/>
      <c r="M547" s="6"/>
      <c r="N547" s="6"/>
      <c r="O547" s="6"/>
      <c r="P547" s="6"/>
      <c r="Q547" s="6"/>
      <c r="R547" s="6"/>
      <c r="S547" s="6"/>
      <c r="T547" s="6"/>
      <c r="U547" s="6"/>
      <c r="V547" s="6"/>
      <c r="W547" s="6"/>
      <c r="X547" s="6"/>
      <c r="Y547" s="6"/>
      <c r="Z547" s="6"/>
    </row>
    <row r="548" spans="1:26">
      <c r="A548" s="174"/>
      <c r="B548" s="6"/>
      <c r="C548" s="6"/>
      <c r="D548" s="6"/>
      <c r="E548" s="443"/>
      <c r="F548" s="15"/>
      <c r="G548" s="6"/>
      <c r="H548" s="6"/>
      <c r="I548" s="6"/>
      <c r="J548" s="6"/>
      <c r="K548" s="6"/>
      <c r="L548" s="6"/>
      <c r="M548" s="6"/>
      <c r="N548" s="6"/>
      <c r="O548" s="6"/>
      <c r="P548" s="6"/>
      <c r="Q548" s="6"/>
      <c r="R548" s="6"/>
      <c r="S548" s="6"/>
      <c r="T548" s="6"/>
      <c r="U548" s="6"/>
      <c r="V548" s="6"/>
      <c r="W548" s="6"/>
      <c r="X548" s="6"/>
      <c r="Y548" s="6"/>
      <c r="Z548" s="6"/>
    </row>
    <row r="549" spans="1:26">
      <c r="A549" s="174"/>
      <c r="B549" s="6"/>
      <c r="C549" s="6"/>
      <c r="D549" s="6"/>
      <c r="E549" s="443"/>
      <c r="F549" s="15"/>
      <c r="G549" s="6"/>
      <c r="H549" s="6"/>
      <c r="I549" s="6"/>
      <c r="J549" s="6"/>
      <c r="K549" s="6"/>
      <c r="L549" s="6"/>
      <c r="M549" s="6"/>
      <c r="N549" s="6"/>
      <c r="O549" s="6"/>
      <c r="P549" s="6"/>
      <c r="Q549" s="6"/>
      <c r="R549" s="6"/>
      <c r="S549" s="6"/>
      <c r="T549" s="6"/>
      <c r="U549" s="6"/>
      <c r="V549" s="6"/>
      <c r="W549" s="6"/>
      <c r="X549" s="6"/>
      <c r="Y549" s="6"/>
      <c r="Z549" s="6"/>
    </row>
    <row r="550" spans="1:26">
      <c r="A550" s="174"/>
      <c r="B550" s="6"/>
      <c r="C550" s="6"/>
      <c r="D550" s="6"/>
      <c r="E550" s="443"/>
      <c r="F550" s="15"/>
      <c r="G550" s="6"/>
      <c r="H550" s="6"/>
      <c r="I550" s="6"/>
      <c r="J550" s="6"/>
      <c r="K550" s="6"/>
      <c r="L550" s="6"/>
      <c r="M550" s="6"/>
      <c r="N550" s="6"/>
      <c r="O550" s="6"/>
      <c r="P550" s="6"/>
      <c r="Q550" s="6"/>
      <c r="R550" s="6"/>
      <c r="S550" s="6"/>
      <c r="T550" s="6"/>
      <c r="U550" s="6"/>
      <c r="V550" s="6"/>
      <c r="W550" s="6"/>
      <c r="X550" s="6"/>
      <c r="Y550" s="6"/>
      <c r="Z550" s="6"/>
    </row>
    <row r="551" spans="1:26">
      <c r="A551" s="174"/>
      <c r="B551" s="6"/>
      <c r="C551" s="6"/>
      <c r="D551" s="6"/>
      <c r="E551" s="443"/>
      <c r="F551" s="15"/>
      <c r="G551" s="6"/>
      <c r="H551" s="6"/>
      <c r="I551" s="6"/>
      <c r="J551" s="6"/>
      <c r="K551" s="6"/>
      <c r="L551" s="6"/>
      <c r="M551" s="6"/>
      <c r="N551" s="6"/>
      <c r="O551" s="6"/>
      <c r="P551" s="6"/>
      <c r="Q551" s="6"/>
      <c r="R551" s="6"/>
      <c r="S551" s="6"/>
      <c r="T551" s="6"/>
      <c r="U551" s="6"/>
      <c r="V551" s="6"/>
      <c r="W551" s="6"/>
      <c r="X551" s="6"/>
      <c r="Y551" s="6"/>
      <c r="Z551" s="6"/>
    </row>
    <row r="552" spans="1:26">
      <c r="A552" s="174"/>
      <c r="B552" s="6"/>
      <c r="C552" s="6"/>
      <c r="D552" s="6"/>
      <c r="E552" s="443"/>
      <c r="F552" s="15"/>
      <c r="G552" s="6"/>
      <c r="H552" s="6"/>
      <c r="I552" s="6"/>
      <c r="J552" s="6"/>
      <c r="K552" s="6"/>
      <c r="L552" s="6"/>
      <c r="M552" s="6"/>
      <c r="N552" s="6"/>
      <c r="O552" s="6"/>
      <c r="P552" s="6"/>
      <c r="Q552" s="6"/>
      <c r="R552" s="6"/>
      <c r="S552" s="6"/>
      <c r="T552" s="6"/>
      <c r="U552" s="6"/>
      <c r="V552" s="6"/>
      <c r="W552" s="6"/>
      <c r="X552" s="6"/>
      <c r="Y552" s="6"/>
      <c r="Z552" s="6"/>
    </row>
    <row r="553" spans="1:26">
      <c r="A553" s="174"/>
      <c r="B553" s="6"/>
      <c r="C553" s="6"/>
      <c r="D553" s="6"/>
      <c r="E553" s="443"/>
      <c r="F553" s="15"/>
      <c r="G553" s="6"/>
      <c r="H553" s="6"/>
      <c r="I553" s="6"/>
      <c r="J553" s="6"/>
      <c r="K553" s="6"/>
      <c r="L553" s="6"/>
      <c r="M553" s="6"/>
      <c r="N553" s="6"/>
      <c r="O553" s="6"/>
      <c r="P553" s="6"/>
      <c r="Q553" s="6"/>
      <c r="R553" s="6"/>
      <c r="S553" s="6"/>
      <c r="T553" s="6"/>
      <c r="U553" s="6"/>
      <c r="V553" s="6"/>
      <c r="W553" s="6"/>
      <c r="X553" s="6"/>
      <c r="Y553" s="6"/>
      <c r="Z553" s="6"/>
    </row>
    <row r="554" spans="1:26">
      <c r="A554" s="174"/>
      <c r="B554" s="6"/>
      <c r="C554" s="6"/>
      <c r="D554" s="6"/>
      <c r="E554" s="443"/>
      <c r="F554" s="15"/>
      <c r="G554" s="6"/>
      <c r="H554" s="6"/>
      <c r="I554" s="6"/>
      <c r="J554" s="6"/>
      <c r="K554" s="6"/>
      <c r="L554" s="6"/>
      <c r="M554" s="6"/>
      <c r="N554" s="6"/>
      <c r="O554" s="6"/>
      <c r="P554" s="6"/>
      <c r="Q554" s="6"/>
      <c r="R554" s="6"/>
      <c r="S554" s="6"/>
      <c r="T554" s="6"/>
      <c r="U554" s="6"/>
      <c r="V554" s="6"/>
      <c r="W554" s="6"/>
      <c r="X554" s="6"/>
      <c r="Y554" s="6"/>
      <c r="Z554" s="6"/>
    </row>
    <row r="555" spans="1:26">
      <c r="A555" s="174"/>
      <c r="B555" s="6"/>
      <c r="C555" s="6"/>
      <c r="D555" s="6"/>
      <c r="E555" s="443"/>
      <c r="F555" s="15"/>
      <c r="G555" s="6"/>
      <c r="H555" s="6"/>
      <c r="I555" s="6"/>
      <c r="J555" s="6"/>
      <c r="K555" s="6"/>
      <c r="L555" s="6"/>
      <c r="M555" s="6"/>
      <c r="N555" s="6"/>
      <c r="O555" s="6"/>
      <c r="P555" s="6"/>
      <c r="Q555" s="6"/>
      <c r="R555" s="6"/>
      <c r="S555" s="6"/>
      <c r="T555" s="6"/>
      <c r="U555" s="6"/>
      <c r="V555" s="6"/>
      <c r="W555" s="6"/>
      <c r="X555" s="6"/>
      <c r="Y555" s="6"/>
      <c r="Z555" s="6"/>
    </row>
    <row r="556" spans="1:26">
      <c r="A556" s="174"/>
      <c r="B556" s="6"/>
      <c r="C556" s="6"/>
      <c r="D556" s="6"/>
      <c r="E556" s="443"/>
      <c r="F556" s="15"/>
      <c r="G556" s="6"/>
      <c r="H556" s="6"/>
      <c r="I556" s="6"/>
      <c r="J556" s="6"/>
      <c r="K556" s="6"/>
      <c r="L556" s="6"/>
      <c r="M556" s="6"/>
      <c r="N556" s="6"/>
      <c r="O556" s="6"/>
      <c r="P556" s="6"/>
      <c r="Q556" s="6"/>
      <c r="R556" s="6"/>
      <c r="S556" s="6"/>
      <c r="T556" s="6"/>
      <c r="U556" s="6"/>
      <c r="V556" s="6"/>
      <c r="W556" s="6"/>
      <c r="X556" s="6"/>
      <c r="Y556" s="6"/>
      <c r="Z556" s="6"/>
    </row>
    <row r="557" spans="1:26">
      <c r="A557" s="174"/>
      <c r="B557" s="6"/>
      <c r="C557" s="6"/>
      <c r="D557" s="6"/>
      <c r="E557" s="443"/>
      <c r="F557" s="15"/>
      <c r="G557" s="6"/>
      <c r="H557" s="6"/>
      <c r="I557" s="6"/>
      <c r="J557" s="6"/>
      <c r="K557" s="6"/>
      <c r="L557" s="6"/>
      <c r="M557" s="6"/>
      <c r="N557" s="6"/>
      <c r="O557" s="6"/>
      <c r="P557" s="6"/>
      <c r="Q557" s="6"/>
      <c r="R557" s="6"/>
      <c r="S557" s="6"/>
      <c r="T557" s="6"/>
      <c r="U557" s="6"/>
      <c r="V557" s="6"/>
      <c r="W557" s="6"/>
      <c r="X557" s="6"/>
      <c r="Y557" s="6"/>
      <c r="Z557" s="6"/>
    </row>
    <row r="558" spans="1:26">
      <c r="A558" s="174"/>
      <c r="B558" s="6"/>
      <c r="C558" s="6"/>
      <c r="D558" s="6"/>
      <c r="E558" s="443"/>
      <c r="F558" s="15"/>
      <c r="G558" s="6"/>
      <c r="H558" s="6"/>
      <c r="I558" s="6"/>
      <c r="J558" s="6"/>
      <c r="K558" s="6"/>
      <c r="L558" s="6"/>
      <c r="M558" s="6"/>
      <c r="N558" s="6"/>
      <c r="O558" s="6"/>
      <c r="P558" s="6"/>
      <c r="Q558" s="6"/>
      <c r="R558" s="6"/>
      <c r="S558" s="6"/>
      <c r="T558" s="6"/>
      <c r="U558" s="6"/>
      <c r="V558" s="6"/>
      <c r="W558" s="6"/>
      <c r="X558" s="6"/>
      <c r="Y558" s="6"/>
      <c r="Z558" s="6"/>
    </row>
    <row r="559" spans="1:26">
      <c r="A559" s="174"/>
      <c r="B559" s="6"/>
      <c r="C559" s="6"/>
      <c r="D559" s="6"/>
      <c r="E559" s="443"/>
      <c r="F559" s="15"/>
      <c r="G559" s="6"/>
      <c r="H559" s="6"/>
      <c r="I559" s="6"/>
      <c r="J559" s="6"/>
      <c r="K559" s="6"/>
      <c r="L559" s="6"/>
      <c r="M559" s="6"/>
      <c r="N559" s="6"/>
      <c r="O559" s="6"/>
      <c r="P559" s="6"/>
      <c r="Q559" s="6"/>
      <c r="R559" s="6"/>
      <c r="S559" s="6"/>
      <c r="T559" s="6"/>
      <c r="U559" s="6"/>
      <c r="V559" s="6"/>
      <c r="W559" s="6"/>
      <c r="X559" s="6"/>
      <c r="Y559" s="6"/>
      <c r="Z559" s="6"/>
    </row>
    <row r="560" spans="1:26">
      <c r="A560" s="174"/>
      <c r="B560" s="6"/>
      <c r="C560" s="6"/>
      <c r="D560" s="6"/>
      <c r="E560" s="443"/>
      <c r="F560" s="15"/>
      <c r="G560" s="6"/>
      <c r="H560" s="6"/>
      <c r="I560" s="6"/>
      <c r="J560" s="6"/>
      <c r="K560" s="6"/>
      <c r="L560" s="6"/>
      <c r="M560" s="6"/>
      <c r="N560" s="6"/>
      <c r="O560" s="6"/>
      <c r="P560" s="6"/>
      <c r="Q560" s="6"/>
      <c r="R560" s="6"/>
      <c r="S560" s="6"/>
      <c r="T560" s="6"/>
      <c r="U560" s="6"/>
      <c r="V560" s="6"/>
      <c r="W560" s="6"/>
      <c r="X560" s="6"/>
      <c r="Y560" s="6"/>
      <c r="Z560" s="6"/>
    </row>
    <row r="561" spans="1:26">
      <c r="A561" s="174"/>
      <c r="B561" s="6"/>
      <c r="C561" s="6"/>
      <c r="D561" s="6"/>
      <c r="E561" s="443"/>
      <c r="F561" s="15"/>
      <c r="G561" s="6"/>
      <c r="H561" s="6"/>
      <c r="I561" s="6"/>
      <c r="J561" s="6"/>
      <c r="K561" s="6"/>
      <c r="L561" s="6"/>
      <c r="M561" s="6"/>
      <c r="N561" s="6"/>
      <c r="O561" s="6"/>
      <c r="P561" s="6"/>
      <c r="Q561" s="6"/>
      <c r="R561" s="6"/>
      <c r="S561" s="6"/>
      <c r="T561" s="6"/>
      <c r="U561" s="6"/>
      <c r="V561" s="6"/>
      <c r="W561" s="6"/>
      <c r="X561" s="6"/>
      <c r="Y561" s="6"/>
      <c r="Z561" s="6"/>
    </row>
    <row r="562" spans="1:26">
      <c r="A562" s="174"/>
      <c r="B562" s="6"/>
      <c r="C562" s="6"/>
      <c r="D562" s="6"/>
      <c r="E562" s="443"/>
      <c r="F562" s="15"/>
      <c r="G562" s="6"/>
      <c r="H562" s="6"/>
      <c r="I562" s="6"/>
      <c r="J562" s="6"/>
      <c r="K562" s="6"/>
      <c r="L562" s="6"/>
      <c r="M562" s="6"/>
      <c r="N562" s="6"/>
      <c r="O562" s="6"/>
      <c r="P562" s="6"/>
      <c r="Q562" s="6"/>
      <c r="R562" s="6"/>
      <c r="S562" s="6"/>
      <c r="T562" s="6"/>
      <c r="U562" s="6"/>
      <c r="V562" s="6"/>
      <c r="W562" s="6"/>
      <c r="X562" s="6"/>
      <c r="Y562" s="6"/>
      <c r="Z562" s="6"/>
    </row>
    <row r="563" spans="1:26">
      <c r="A563" s="174"/>
      <c r="B563" s="6"/>
      <c r="C563" s="6"/>
      <c r="D563" s="6"/>
      <c r="E563" s="443"/>
      <c r="F563" s="15"/>
      <c r="G563" s="6"/>
      <c r="H563" s="6"/>
      <c r="I563" s="6"/>
      <c r="J563" s="6"/>
      <c r="K563" s="6"/>
      <c r="L563" s="6"/>
      <c r="M563" s="6"/>
      <c r="N563" s="6"/>
      <c r="O563" s="6"/>
      <c r="P563" s="6"/>
      <c r="Q563" s="6"/>
      <c r="R563" s="6"/>
      <c r="S563" s="6"/>
      <c r="T563" s="6"/>
      <c r="U563" s="6"/>
      <c r="V563" s="6"/>
      <c r="W563" s="6"/>
      <c r="X563" s="6"/>
      <c r="Y563" s="6"/>
      <c r="Z563" s="6"/>
    </row>
    <row r="564" spans="1:26">
      <c r="A564" s="174"/>
      <c r="B564" s="6"/>
      <c r="C564" s="6"/>
      <c r="D564" s="6"/>
      <c r="E564" s="443"/>
      <c r="F564" s="15"/>
      <c r="G564" s="6"/>
      <c r="H564" s="6"/>
      <c r="I564" s="6"/>
      <c r="J564" s="6"/>
      <c r="K564" s="6"/>
      <c r="L564" s="6"/>
      <c r="M564" s="6"/>
      <c r="N564" s="6"/>
      <c r="O564" s="6"/>
      <c r="P564" s="6"/>
      <c r="Q564" s="6"/>
      <c r="R564" s="6"/>
      <c r="S564" s="6"/>
      <c r="T564" s="6"/>
      <c r="U564" s="6"/>
      <c r="V564" s="6"/>
      <c r="W564" s="6"/>
      <c r="X564" s="6"/>
      <c r="Y564" s="6"/>
      <c r="Z564" s="6"/>
    </row>
    <row r="565" spans="1:26">
      <c r="A565" s="174"/>
      <c r="B565" s="6"/>
      <c r="C565" s="6"/>
      <c r="D565" s="6"/>
      <c r="E565" s="443"/>
      <c r="F565" s="15"/>
      <c r="G565" s="6"/>
      <c r="H565" s="6"/>
      <c r="I565" s="6"/>
      <c r="J565" s="6"/>
      <c r="K565" s="6"/>
      <c r="L565" s="6"/>
      <c r="M565" s="6"/>
      <c r="N565" s="6"/>
      <c r="O565" s="6"/>
      <c r="P565" s="6"/>
      <c r="Q565" s="6"/>
      <c r="R565" s="6"/>
      <c r="S565" s="6"/>
      <c r="T565" s="6"/>
      <c r="U565" s="6"/>
      <c r="V565" s="6"/>
      <c r="W565" s="6"/>
      <c r="X565" s="6"/>
      <c r="Y565" s="6"/>
      <c r="Z565" s="6"/>
    </row>
    <row r="566" spans="1:26">
      <c r="A566" s="174"/>
      <c r="B566" s="6"/>
      <c r="C566" s="6"/>
      <c r="D566" s="6"/>
      <c r="E566" s="443"/>
      <c r="F566" s="15"/>
      <c r="G566" s="6"/>
      <c r="H566" s="6"/>
      <c r="I566" s="6"/>
      <c r="J566" s="6"/>
      <c r="K566" s="6"/>
      <c r="L566" s="6"/>
      <c r="M566" s="6"/>
      <c r="N566" s="6"/>
      <c r="O566" s="6"/>
      <c r="P566" s="6"/>
      <c r="Q566" s="6"/>
      <c r="R566" s="6"/>
      <c r="S566" s="6"/>
      <c r="T566" s="6"/>
      <c r="U566" s="6"/>
      <c r="V566" s="6"/>
      <c r="W566" s="6"/>
      <c r="X566" s="6"/>
      <c r="Y566" s="6"/>
      <c r="Z566" s="6"/>
    </row>
    <row r="567" spans="1:26">
      <c r="A567" s="174"/>
      <c r="B567" s="6"/>
      <c r="C567" s="6"/>
      <c r="D567" s="6"/>
      <c r="E567" s="443"/>
      <c r="F567" s="15"/>
      <c r="G567" s="6"/>
      <c r="H567" s="6"/>
      <c r="I567" s="6"/>
      <c r="J567" s="6"/>
      <c r="K567" s="6"/>
      <c r="L567" s="6"/>
      <c r="M567" s="6"/>
      <c r="N567" s="6"/>
      <c r="O567" s="6"/>
      <c r="P567" s="6"/>
      <c r="Q567" s="6"/>
      <c r="R567" s="6"/>
      <c r="S567" s="6"/>
      <c r="T567" s="6"/>
      <c r="U567" s="6"/>
      <c r="V567" s="6"/>
      <c r="W567" s="6"/>
      <c r="X567" s="6"/>
      <c r="Y567" s="6"/>
      <c r="Z567" s="6"/>
    </row>
    <row r="568" spans="1:26">
      <c r="A568" s="174"/>
      <c r="B568" s="6"/>
      <c r="C568" s="6"/>
      <c r="D568" s="6"/>
      <c r="E568" s="443"/>
      <c r="F568" s="15"/>
      <c r="G568" s="6"/>
      <c r="H568" s="6"/>
      <c r="I568" s="6"/>
      <c r="J568" s="6"/>
      <c r="K568" s="6"/>
      <c r="L568" s="6"/>
      <c r="M568" s="6"/>
      <c r="N568" s="6"/>
      <c r="O568" s="6"/>
      <c r="P568" s="6"/>
      <c r="Q568" s="6"/>
      <c r="R568" s="6"/>
      <c r="S568" s="6"/>
      <c r="T568" s="6"/>
      <c r="U568" s="6"/>
      <c r="V568" s="6"/>
      <c r="W568" s="6"/>
      <c r="X568" s="6"/>
      <c r="Y568" s="6"/>
      <c r="Z568" s="6"/>
    </row>
    <row r="569" spans="1:26">
      <c r="A569" s="174"/>
      <c r="B569" s="6"/>
      <c r="C569" s="6"/>
      <c r="D569" s="6"/>
      <c r="E569" s="443"/>
      <c r="F569" s="15"/>
      <c r="G569" s="6"/>
      <c r="H569" s="6"/>
      <c r="I569" s="6"/>
      <c r="J569" s="6"/>
      <c r="K569" s="6"/>
      <c r="L569" s="6"/>
      <c r="M569" s="6"/>
      <c r="N569" s="6"/>
      <c r="O569" s="6"/>
      <c r="P569" s="6"/>
      <c r="Q569" s="6"/>
      <c r="R569" s="6"/>
      <c r="S569" s="6"/>
      <c r="T569" s="6"/>
      <c r="U569" s="6"/>
      <c r="V569" s="6"/>
      <c r="W569" s="6"/>
      <c r="X569" s="6"/>
      <c r="Y569" s="6"/>
      <c r="Z569" s="6"/>
    </row>
    <row r="570" spans="1:26">
      <c r="A570" s="174"/>
      <c r="B570" s="6"/>
      <c r="C570" s="6"/>
      <c r="D570" s="6"/>
      <c r="E570" s="443"/>
      <c r="F570" s="15"/>
      <c r="G570" s="6"/>
      <c r="H570" s="6"/>
      <c r="I570" s="6"/>
      <c r="J570" s="6"/>
      <c r="K570" s="6"/>
      <c r="L570" s="6"/>
      <c r="M570" s="6"/>
      <c r="N570" s="6"/>
      <c r="O570" s="6"/>
      <c r="P570" s="6"/>
      <c r="Q570" s="6"/>
      <c r="R570" s="6"/>
      <c r="S570" s="6"/>
      <c r="T570" s="6"/>
      <c r="U570" s="6"/>
      <c r="V570" s="6"/>
      <c r="W570" s="6"/>
      <c r="X570" s="6"/>
      <c r="Y570" s="6"/>
      <c r="Z570" s="6"/>
    </row>
    <row r="571" spans="1:26">
      <c r="A571" s="174"/>
      <c r="B571" s="6"/>
      <c r="C571" s="6"/>
      <c r="D571" s="6"/>
      <c r="E571" s="443"/>
      <c r="F571" s="15"/>
      <c r="G571" s="6"/>
      <c r="H571" s="6"/>
      <c r="I571" s="6"/>
      <c r="J571" s="6"/>
      <c r="K571" s="6"/>
      <c r="L571" s="6"/>
      <c r="M571" s="6"/>
      <c r="N571" s="6"/>
      <c r="O571" s="6"/>
      <c r="P571" s="6"/>
      <c r="Q571" s="6"/>
      <c r="R571" s="6"/>
      <c r="S571" s="6"/>
      <c r="T571" s="6"/>
      <c r="U571" s="6"/>
      <c r="V571" s="6"/>
      <c r="W571" s="6"/>
      <c r="X571" s="6"/>
      <c r="Y571" s="6"/>
      <c r="Z571" s="6"/>
    </row>
    <row r="572" spans="1:26">
      <c r="A572" s="174"/>
      <c r="B572" s="6"/>
      <c r="C572" s="6"/>
      <c r="D572" s="6"/>
      <c r="E572" s="443"/>
      <c r="F572" s="15"/>
      <c r="G572" s="6"/>
      <c r="H572" s="6"/>
      <c r="I572" s="6"/>
      <c r="J572" s="6"/>
      <c r="K572" s="6"/>
      <c r="L572" s="6"/>
      <c r="M572" s="6"/>
      <c r="N572" s="6"/>
      <c r="O572" s="6"/>
      <c r="P572" s="6"/>
      <c r="Q572" s="6"/>
      <c r="R572" s="6"/>
      <c r="S572" s="6"/>
      <c r="T572" s="6"/>
      <c r="U572" s="6"/>
      <c r="V572" s="6"/>
      <c r="W572" s="6"/>
      <c r="X572" s="6"/>
      <c r="Y572" s="6"/>
      <c r="Z572" s="6"/>
    </row>
    <row r="573" spans="1:26">
      <c r="A573" s="174"/>
      <c r="B573" s="6"/>
      <c r="C573" s="6"/>
      <c r="D573" s="6"/>
      <c r="E573" s="443"/>
      <c r="F573" s="15"/>
      <c r="G573" s="6"/>
      <c r="H573" s="6"/>
      <c r="I573" s="6"/>
      <c r="J573" s="6"/>
      <c r="K573" s="6"/>
      <c r="L573" s="6"/>
      <c r="M573" s="6"/>
      <c r="N573" s="6"/>
      <c r="O573" s="6"/>
      <c r="P573" s="6"/>
      <c r="Q573" s="6"/>
      <c r="R573" s="6"/>
      <c r="S573" s="6"/>
      <c r="T573" s="6"/>
      <c r="U573" s="6"/>
      <c r="V573" s="6"/>
      <c r="W573" s="6"/>
      <c r="X573" s="6"/>
      <c r="Y573" s="6"/>
      <c r="Z573" s="6"/>
    </row>
    <row r="574" spans="1:26">
      <c r="A574" s="174"/>
      <c r="B574" s="6"/>
      <c r="C574" s="6"/>
      <c r="D574" s="6"/>
      <c r="E574" s="443"/>
      <c r="F574" s="15"/>
      <c r="G574" s="6"/>
      <c r="H574" s="6"/>
      <c r="I574" s="6"/>
      <c r="J574" s="6"/>
      <c r="K574" s="6"/>
      <c r="L574" s="6"/>
      <c r="M574" s="6"/>
      <c r="N574" s="6"/>
      <c r="O574" s="6"/>
      <c r="P574" s="6"/>
      <c r="Q574" s="6"/>
      <c r="R574" s="6"/>
      <c r="S574" s="6"/>
      <c r="T574" s="6"/>
      <c r="U574" s="6"/>
      <c r="V574" s="6"/>
      <c r="W574" s="6"/>
      <c r="X574" s="6"/>
      <c r="Y574" s="6"/>
      <c r="Z574" s="6"/>
    </row>
    <row r="575" spans="1:26">
      <c r="A575" s="174"/>
      <c r="B575" s="6"/>
      <c r="C575" s="6"/>
      <c r="D575" s="6"/>
      <c r="E575" s="443"/>
      <c r="F575" s="15"/>
      <c r="G575" s="6"/>
      <c r="H575" s="6"/>
      <c r="I575" s="6"/>
      <c r="J575" s="6"/>
      <c r="K575" s="6"/>
      <c r="L575" s="6"/>
      <c r="M575" s="6"/>
      <c r="N575" s="6"/>
      <c r="O575" s="6"/>
      <c r="P575" s="6"/>
      <c r="Q575" s="6"/>
      <c r="R575" s="6"/>
      <c r="S575" s="6"/>
      <c r="T575" s="6"/>
      <c r="U575" s="6"/>
      <c r="V575" s="6"/>
      <c r="W575" s="6"/>
      <c r="X575" s="6"/>
      <c r="Y575" s="6"/>
      <c r="Z575" s="6"/>
    </row>
    <row r="576" spans="1:26">
      <c r="A576" s="174"/>
      <c r="B576" s="6"/>
      <c r="C576" s="6"/>
      <c r="D576" s="6"/>
      <c r="E576" s="443"/>
      <c r="F576" s="15"/>
      <c r="G576" s="6"/>
      <c r="H576" s="6"/>
      <c r="I576" s="6"/>
      <c r="J576" s="6"/>
      <c r="K576" s="6"/>
      <c r="L576" s="6"/>
      <c r="M576" s="6"/>
      <c r="N576" s="6"/>
      <c r="O576" s="6"/>
      <c r="P576" s="6"/>
      <c r="Q576" s="6"/>
      <c r="R576" s="6"/>
      <c r="S576" s="6"/>
      <c r="T576" s="6"/>
      <c r="U576" s="6"/>
      <c r="V576" s="6"/>
      <c r="W576" s="6"/>
      <c r="X576" s="6"/>
      <c r="Y576" s="6"/>
      <c r="Z576" s="6"/>
    </row>
    <row r="577" spans="1:26">
      <c r="A577" s="174"/>
      <c r="B577" s="6"/>
      <c r="C577" s="6"/>
      <c r="D577" s="6"/>
      <c r="E577" s="443"/>
      <c r="F577" s="15"/>
      <c r="G577" s="6"/>
      <c r="H577" s="6"/>
      <c r="I577" s="6"/>
      <c r="J577" s="6"/>
      <c r="K577" s="6"/>
      <c r="L577" s="6"/>
      <c r="M577" s="6"/>
      <c r="N577" s="6"/>
      <c r="O577" s="6"/>
      <c r="P577" s="6"/>
      <c r="Q577" s="6"/>
      <c r="R577" s="6"/>
      <c r="S577" s="6"/>
      <c r="T577" s="6"/>
      <c r="U577" s="6"/>
      <c r="V577" s="6"/>
      <c r="W577" s="6"/>
      <c r="X577" s="6"/>
      <c r="Y577" s="6"/>
      <c r="Z577" s="6"/>
    </row>
    <row r="578" spans="1:26">
      <c r="A578" s="174"/>
      <c r="B578" s="6"/>
      <c r="C578" s="6"/>
      <c r="D578" s="6"/>
      <c r="E578" s="443"/>
      <c r="F578" s="15"/>
      <c r="G578" s="6"/>
      <c r="H578" s="6"/>
      <c r="I578" s="6"/>
      <c r="J578" s="6"/>
      <c r="K578" s="6"/>
      <c r="L578" s="6"/>
      <c r="M578" s="6"/>
      <c r="N578" s="6"/>
      <c r="O578" s="6"/>
      <c r="P578" s="6"/>
      <c r="Q578" s="6"/>
      <c r="R578" s="6"/>
      <c r="S578" s="6"/>
      <c r="T578" s="6"/>
      <c r="U578" s="6"/>
      <c r="V578" s="6"/>
      <c r="W578" s="6"/>
      <c r="X578" s="6"/>
      <c r="Y578" s="6"/>
      <c r="Z578" s="6"/>
    </row>
    <row r="579" spans="1:26">
      <c r="A579" s="174"/>
      <c r="B579" s="6"/>
      <c r="C579" s="6"/>
      <c r="D579" s="6"/>
      <c r="E579" s="443"/>
      <c r="F579" s="15"/>
      <c r="G579" s="6"/>
      <c r="H579" s="6"/>
      <c r="I579" s="6"/>
      <c r="J579" s="6"/>
      <c r="K579" s="6"/>
      <c r="L579" s="6"/>
      <c r="M579" s="6"/>
      <c r="N579" s="6"/>
      <c r="O579" s="6"/>
      <c r="P579" s="6"/>
      <c r="Q579" s="6"/>
      <c r="R579" s="6"/>
      <c r="S579" s="6"/>
      <c r="T579" s="6"/>
      <c r="U579" s="6"/>
      <c r="V579" s="6"/>
      <c r="W579" s="6"/>
      <c r="X579" s="6"/>
      <c r="Y579" s="6"/>
      <c r="Z579" s="6"/>
    </row>
    <row r="580" spans="1:26">
      <c r="A580" s="174"/>
      <c r="B580" s="6"/>
      <c r="C580" s="6"/>
      <c r="D580" s="6"/>
      <c r="E580" s="443"/>
      <c r="F580" s="15"/>
      <c r="G580" s="6"/>
      <c r="H580" s="6"/>
      <c r="I580" s="6"/>
      <c r="J580" s="6"/>
      <c r="K580" s="6"/>
      <c r="L580" s="6"/>
      <c r="M580" s="6"/>
      <c r="N580" s="6"/>
      <c r="O580" s="6"/>
      <c r="P580" s="6"/>
      <c r="Q580" s="6"/>
      <c r="R580" s="6"/>
      <c r="S580" s="6"/>
      <c r="T580" s="6"/>
      <c r="U580" s="6"/>
      <c r="V580" s="6"/>
      <c r="W580" s="6"/>
      <c r="X580" s="6"/>
      <c r="Y580" s="6"/>
      <c r="Z580" s="6"/>
    </row>
    <row r="581" spans="1:26">
      <c r="A581" s="174"/>
      <c r="B581" s="6"/>
      <c r="C581" s="6"/>
      <c r="D581" s="6"/>
      <c r="E581" s="443"/>
      <c r="F581" s="15"/>
      <c r="G581" s="6"/>
      <c r="H581" s="6"/>
      <c r="I581" s="6"/>
      <c r="J581" s="6"/>
      <c r="K581" s="6"/>
      <c r="L581" s="6"/>
      <c r="M581" s="6"/>
      <c r="N581" s="6"/>
      <c r="O581" s="6"/>
      <c r="P581" s="6"/>
      <c r="Q581" s="6"/>
      <c r="R581" s="6"/>
      <c r="S581" s="6"/>
      <c r="T581" s="6"/>
      <c r="U581" s="6"/>
      <c r="V581" s="6"/>
      <c r="W581" s="6"/>
      <c r="X581" s="6"/>
      <c r="Y581" s="6"/>
      <c r="Z581" s="6"/>
    </row>
    <row r="582" spans="1:26">
      <c r="A582" s="174"/>
      <c r="B582" s="6"/>
      <c r="C582" s="6"/>
      <c r="D582" s="6"/>
      <c r="E582" s="443"/>
      <c r="F582" s="15"/>
      <c r="G582" s="6"/>
      <c r="H582" s="6"/>
      <c r="I582" s="6"/>
      <c r="J582" s="6"/>
      <c r="K582" s="6"/>
      <c r="L582" s="6"/>
      <c r="M582" s="6"/>
      <c r="N582" s="6"/>
      <c r="O582" s="6"/>
      <c r="P582" s="6"/>
      <c r="Q582" s="6"/>
      <c r="R582" s="6"/>
      <c r="S582" s="6"/>
      <c r="T582" s="6"/>
      <c r="U582" s="6"/>
      <c r="V582" s="6"/>
      <c r="W582" s="6"/>
      <c r="X582" s="6"/>
      <c r="Y582" s="6"/>
      <c r="Z582" s="6"/>
    </row>
    <row r="583" spans="1:26">
      <c r="A583" s="174"/>
      <c r="B583" s="6"/>
      <c r="C583" s="6"/>
      <c r="D583" s="6"/>
      <c r="E583" s="443"/>
      <c r="F583" s="15"/>
      <c r="G583" s="6"/>
      <c r="H583" s="6"/>
      <c r="I583" s="6"/>
      <c r="J583" s="6"/>
      <c r="K583" s="6"/>
      <c r="L583" s="6"/>
      <c r="M583" s="6"/>
      <c r="N583" s="6"/>
      <c r="O583" s="6"/>
      <c r="P583" s="6"/>
      <c r="Q583" s="6"/>
      <c r="R583" s="6"/>
      <c r="S583" s="6"/>
      <c r="T583" s="6"/>
      <c r="U583" s="6"/>
      <c r="V583" s="6"/>
      <c r="W583" s="6"/>
      <c r="X583" s="6"/>
      <c r="Y583" s="6"/>
      <c r="Z583" s="6"/>
    </row>
    <row r="584" spans="1:26">
      <c r="A584" s="174"/>
      <c r="B584" s="6"/>
      <c r="C584" s="6"/>
      <c r="D584" s="6"/>
      <c r="E584" s="443"/>
      <c r="F584" s="15"/>
      <c r="G584" s="6"/>
      <c r="H584" s="6"/>
      <c r="I584" s="6"/>
      <c r="J584" s="6"/>
      <c r="K584" s="6"/>
      <c r="L584" s="6"/>
      <c r="M584" s="6"/>
      <c r="N584" s="6"/>
      <c r="O584" s="6"/>
      <c r="P584" s="6"/>
      <c r="Q584" s="6"/>
      <c r="R584" s="6"/>
      <c r="S584" s="6"/>
      <c r="T584" s="6"/>
      <c r="U584" s="6"/>
      <c r="V584" s="6"/>
      <c r="W584" s="6"/>
      <c r="X584" s="6"/>
      <c r="Y584" s="6"/>
      <c r="Z584" s="6"/>
    </row>
    <row r="585" spans="1:26">
      <c r="A585" s="174"/>
      <c r="B585" s="6"/>
      <c r="C585" s="6"/>
      <c r="D585" s="6"/>
      <c r="E585" s="443"/>
      <c r="F585" s="15"/>
      <c r="G585" s="6"/>
      <c r="H585" s="6"/>
      <c r="I585" s="6"/>
      <c r="J585" s="6"/>
      <c r="K585" s="6"/>
      <c r="L585" s="6"/>
      <c r="M585" s="6"/>
      <c r="N585" s="6"/>
      <c r="O585" s="6"/>
      <c r="P585" s="6"/>
      <c r="Q585" s="6"/>
      <c r="R585" s="6"/>
      <c r="S585" s="6"/>
      <c r="T585" s="6"/>
      <c r="U585" s="6"/>
      <c r="V585" s="6"/>
      <c r="W585" s="6"/>
      <c r="X585" s="6"/>
      <c r="Y585" s="6"/>
      <c r="Z585" s="6"/>
    </row>
    <row r="586" spans="1:26">
      <c r="A586" s="174"/>
      <c r="B586" s="6"/>
      <c r="C586" s="6"/>
      <c r="D586" s="6"/>
      <c r="E586" s="443"/>
      <c r="F586" s="15"/>
      <c r="G586" s="6"/>
      <c r="H586" s="6"/>
      <c r="I586" s="6"/>
      <c r="J586" s="6"/>
      <c r="K586" s="6"/>
      <c r="L586" s="6"/>
      <c r="M586" s="6"/>
      <c r="N586" s="6"/>
      <c r="O586" s="6"/>
      <c r="P586" s="6"/>
      <c r="Q586" s="6"/>
      <c r="R586" s="6"/>
      <c r="S586" s="6"/>
      <c r="T586" s="6"/>
      <c r="U586" s="6"/>
      <c r="V586" s="6"/>
      <c r="W586" s="6"/>
      <c r="X586" s="6"/>
      <c r="Y586" s="6"/>
      <c r="Z586" s="6"/>
    </row>
    <row r="587" spans="1:26">
      <c r="A587" s="174"/>
      <c r="B587" s="6"/>
      <c r="C587" s="6"/>
      <c r="D587" s="6"/>
      <c r="E587" s="443"/>
      <c r="F587" s="15"/>
      <c r="G587" s="6"/>
      <c r="H587" s="6"/>
      <c r="I587" s="6"/>
      <c r="J587" s="6"/>
      <c r="K587" s="6"/>
      <c r="L587" s="6"/>
      <c r="M587" s="6"/>
      <c r="N587" s="6"/>
      <c r="O587" s="6"/>
      <c r="P587" s="6"/>
      <c r="Q587" s="6"/>
      <c r="R587" s="6"/>
      <c r="S587" s="6"/>
      <c r="T587" s="6"/>
      <c r="U587" s="6"/>
      <c r="V587" s="6"/>
      <c r="W587" s="6"/>
      <c r="X587" s="6"/>
      <c r="Y587" s="6"/>
      <c r="Z587" s="6"/>
    </row>
    <row r="588" spans="1:26">
      <c r="A588" s="174"/>
      <c r="B588" s="6"/>
      <c r="C588" s="6"/>
      <c r="D588" s="6"/>
      <c r="E588" s="443"/>
      <c r="F588" s="15"/>
      <c r="G588" s="6"/>
      <c r="H588" s="6"/>
      <c r="I588" s="6"/>
      <c r="J588" s="6"/>
      <c r="K588" s="6"/>
      <c r="L588" s="6"/>
      <c r="M588" s="6"/>
      <c r="N588" s="6"/>
      <c r="O588" s="6"/>
      <c r="P588" s="6"/>
      <c r="Q588" s="6"/>
      <c r="R588" s="6"/>
      <c r="S588" s="6"/>
      <c r="T588" s="6"/>
      <c r="U588" s="6"/>
      <c r="V588" s="6"/>
      <c r="W588" s="6"/>
      <c r="X588" s="6"/>
      <c r="Y588" s="6"/>
      <c r="Z588" s="6"/>
    </row>
    <row r="589" spans="1:26">
      <c r="A589" s="174"/>
      <c r="B589" s="6"/>
      <c r="C589" s="6"/>
      <c r="D589" s="6"/>
      <c r="E589" s="443"/>
      <c r="F589" s="15"/>
      <c r="G589" s="6"/>
      <c r="H589" s="6"/>
      <c r="I589" s="6"/>
      <c r="J589" s="6"/>
      <c r="K589" s="6"/>
      <c r="L589" s="6"/>
      <c r="M589" s="6"/>
      <c r="N589" s="6"/>
      <c r="O589" s="6"/>
      <c r="P589" s="6"/>
      <c r="Q589" s="6"/>
      <c r="R589" s="6"/>
      <c r="S589" s="6"/>
      <c r="T589" s="6"/>
      <c r="U589" s="6"/>
      <c r="V589" s="6"/>
      <c r="W589" s="6"/>
      <c r="X589" s="6"/>
      <c r="Y589" s="6"/>
      <c r="Z589" s="6"/>
    </row>
    <row r="590" spans="1:26">
      <c r="A590" s="174"/>
      <c r="B590" s="6"/>
      <c r="C590" s="6"/>
      <c r="D590" s="6"/>
      <c r="E590" s="443"/>
      <c r="F590" s="15"/>
      <c r="G590" s="6"/>
      <c r="H590" s="6"/>
      <c r="I590" s="6"/>
      <c r="J590" s="6"/>
      <c r="K590" s="6"/>
      <c r="L590" s="6"/>
      <c r="M590" s="6"/>
      <c r="N590" s="6"/>
      <c r="O590" s="6"/>
      <c r="P590" s="6"/>
      <c r="Q590" s="6"/>
      <c r="R590" s="6"/>
      <c r="S590" s="6"/>
      <c r="T590" s="6"/>
      <c r="U590" s="6"/>
      <c r="V590" s="6"/>
      <c r="W590" s="6"/>
      <c r="X590" s="6"/>
      <c r="Y590" s="6"/>
      <c r="Z590" s="6"/>
    </row>
    <row r="591" spans="1:26">
      <c r="A591" s="174"/>
      <c r="B591" s="6"/>
      <c r="C591" s="6"/>
      <c r="D591" s="6"/>
      <c r="E591" s="443"/>
      <c r="F591" s="15"/>
      <c r="G591" s="6"/>
      <c r="H591" s="6"/>
      <c r="I591" s="6"/>
      <c r="J591" s="6"/>
      <c r="K591" s="6"/>
      <c r="L591" s="6"/>
      <c r="M591" s="6"/>
      <c r="N591" s="6"/>
      <c r="O591" s="6"/>
      <c r="P591" s="6"/>
      <c r="Q591" s="6"/>
      <c r="R591" s="6"/>
      <c r="S591" s="6"/>
      <c r="T591" s="6"/>
      <c r="U591" s="6"/>
      <c r="V591" s="6"/>
      <c r="W591" s="6"/>
      <c r="X591" s="6"/>
      <c r="Y591" s="6"/>
      <c r="Z591" s="6"/>
    </row>
    <row r="592" spans="1:26">
      <c r="A592" s="174"/>
      <c r="B592" s="6"/>
      <c r="C592" s="6"/>
      <c r="D592" s="6"/>
      <c r="E592" s="443"/>
      <c r="F592" s="15"/>
      <c r="G592" s="6"/>
      <c r="H592" s="6"/>
      <c r="I592" s="6"/>
      <c r="J592" s="6"/>
      <c r="K592" s="6"/>
      <c r="L592" s="6"/>
      <c r="M592" s="6"/>
      <c r="N592" s="6"/>
      <c r="O592" s="6"/>
      <c r="P592" s="6"/>
      <c r="Q592" s="6"/>
      <c r="R592" s="6"/>
      <c r="S592" s="6"/>
      <c r="T592" s="6"/>
      <c r="U592" s="6"/>
      <c r="V592" s="6"/>
      <c r="W592" s="6"/>
      <c r="X592" s="6"/>
      <c r="Y592" s="6"/>
      <c r="Z592" s="6"/>
    </row>
    <row r="593" spans="1:26">
      <c r="A593" s="174"/>
      <c r="B593" s="6"/>
      <c r="C593" s="6"/>
      <c r="D593" s="6"/>
      <c r="E593" s="443"/>
      <c r="F593" s="15"/>
      <c r="G593" s="6"/>
      <c r="H593" s="6"/>
      <c r="I593" s="6"/>
      <c r="J593" s="6"/>
      <c r="K593" s="6"/>
      <c r="L593" s="6"/>
      <c r="M593" s="6"/>
      <c r="N593" s="6"/>
      <c r="O593" s="6"/>
      <c r="P593" s="6"/>
      <c r="Q593" s="6"/>
      <c r="R593" s="6"/>
      <c r="S593" s="6"/>
      <c r="T593" s="6"/>
      <c r="U593" s="6"/>
      <c r="V593" s="6"/>
      <c r="W593" s="6"/>
      <c r="X593" s="6"/>
      <c r="Y593" s="6"/>
      <c r="Z593" s="6"/>
    </row>
    <row r="594" spans="1:26">
      <c r="A594" s="174"/>
      <c r="B594" s="6"/>
      <c r="C594" s="6"/>
      <c r="D594" s="6"/>
      <c r="E594" s="443"/>
      <c r="F594" s="15"/>
      <c r="G594" s="6"/>
      <c r="H594" s="6"/>
      <c r="I594" s="6"/>
      <c r="J594" s="6"/>
      <c r="K594" s="6"/>
      <c r="L594" s="6"/>
      <c r="M594" s="6"/>
      <c r="N594" s="6"/>
      <c r="O594" s="6"/>
      <c r="P594" s="6"/>
      <c r="Q594" s="6"/>
      <c r="R594" s="6"/>
      <c r="S594" s="6"/>
      <c r="T594" s="6"/>
      <c r="U594" s="6"/>
      <c r="V594" s="6"/>
      <c r="W594" s="6"/>
      <c r="X594" s="6"/>
      <c r="Y594" s="6"/>
      <c r="Z594" s="6"/>
    </row>
    <row r="595" spans="1:26">
      <c r="A595" s="174"/>
      <c r="B595" s="6"/>
      <c r="C595" s="6"/>
      <c r="D595" s="6"/>
      <c r="E595" s="443"/>
      <c r="F595" s="15"/>
      <c r="G595" s="6"/>
      <c r="H595" s="6"/>
      <c r="I595" s="6"/>
      <c r="J595" s="6"/>
      <c r="K595" s="6"/>
      <c r="L595" s="6"/>
      <c r="M595" s="6"/>
      <c r="N595" s="6"/>
      <c r="O595" s="6"/>
      <c r="P595" s="6"/>
      <c r="Q595" s="6"/>
      <c r="R595" s="6"/>
      <c r="S595" s="6"/>
      <c r="T595" s="6"/>
      <c r="U595" s="6"/>
      <c r="V595" s="6"/>
      <c r="W595" s="6"/>
      <c r="X595" s="6"/>
      <c r="Y595" s="6"/>
      <c r="Z595" s="6"/>
    </row>
    <row r="596" spans="1:26">
      <c r="A596" s="174"/>
      <c r="B596" s="6"/>
      <c r="C596" s="6"/>
      <c r="D596" s="6"/>
      <c r="E596" s="443"/>
      <c r="F596" s="15"/>
      <c r="G596" s="6"/>
      <c r="H596" s="6"/>
      <c r="I596" s="6"/>
      <c r="J596" s="6"/>
      <c r="K596" s="6"/>
      <c r="L596" s="6"/>
      <c r="M596" s="6"/>
      <c r="N596" s="6"/>
      <c r="O596" s="6"/>
      <c r="P596" s="6"/>
      <c r="Q596" s="6"/>
      <c r="R596" s="6"/>
      <c r="S596" s="6"/>
      <c r="T596" s="6"/>
      <c r="U596" s="6"/>
      <c r="V596" s="6"/>
      <c r="W596" s="6"/>
      <c r="X596" s="6"/>
      <c r="Y596" s="6"/>
      <c r="Z596" s="6"/>
    </row>
    <row r="597" spans="1:26">
      <c r="A597" s="174"/>
      <c r="B597" s="6"/>
      <c r="C597" s="6"/>
      <c r="D597" s="6"/>
      <c r="E597" s="443"/>
      <c r="F597" s="15"/>
      <c r="G597" s="6"/>
      <c r="H597" s="6"/>
      <c r="I597" s="6"/>
      <c r="J597" s="6"/>
      <c r="K597" s="6"/>
      <c r="L597" s="6"/>
      <c r="M597" s="6"/>
      <c r="N597" s="6"/>
      <c r="O597" s="6"/>
      <c r="P597" s="6"/>
      <c r="Q597" s="6"/>
      <c r="R597" s="6"/>
      <c r="S597" s="6"/>
      <c r="T597" s="6"/>
      <c r="U597" s="6"/>
      <c r="V597" s="6"/>
      <c r="W597" s="6"/>
      <c r="X597" s="6"/>
      <c r="Y597" s="6"/>
      <c r="Z597" s="6"/>
    </row>
    <row r="598" spans="1:26">
      <c r="A598" s="174"/>
      <c r="B598" s="6"/>
      <c r="C598" s="6"/>
      <c r="D598" s="6"/>
      <c r="E598" s="443"/>
      <c r="F598" s="15"/>
      <c r="G598" s="6"/>
      <c r="H598" s="6"/>
      <c r="I598" s="6"/>
      <c r="J598" s="6"/>
      <c r="K598" s="6"/>
      <c r="L598" s="6"/>
      <c r="M598" s="6"/>
      <c r="N598" s="6"/>
      <c r="O598" s="6"/>
      <c r="P598" s="6"/>
      <c r="Q598" s="6"/>
      <c r="R598" s="6"/>
      <c r="S598" s="6"/>
      <c r="T598" s="6"/>
      <c r="U598" s="6"/>
      <c r="V598" s="6"/>
      <c r="W598" s="6"/>
      <c r="X598" s="6"/>
      <c r="Y598" s="6"/>
      <c r="Z598" s="6"/>
    </row>
    <row r="599" spans="1:26">
      <c r="A599" s="174"/>
      <c r="B599" s="6"/>
      <c r="C599" s="6"/>
      <c r="D599" s="6"/>
      <c r="E599" s="443"/>
      <c r="F599" s="15"/>
      <c r="G599" s="6"/>
      <c r="H599" s="6"/>
      <c r="I599" s="6"/>
      <c r="J599" s="6"/>
      <c r="K599" s="6"/>
      <c r="L599" s="6"/>
      <c r="M599" s="6"/>
      <c r="N599" s="6"/>
      <c r="O599" s="6"/>
      <c r="P599" s="6"/>
      <c r="Q599" s="6"/>
      <c r="R599" s="6"/>
      <c r="S599" s="6"/>
      <c r="T599" s="6"/>
      <c r="U599" s="6"/>
      <c r="V599" s="6"/>
      <c r="W599" s="6"/>
      <c r="X599" s="6"/>
      <c r="Y599" s="6"/>
      <c r="Z599" s="6"/>
    </row>
    <row r="600" spans="1:26">
      <c r="A600" s="174"/>
      <c r="B600" s="6"/>
      <c r="C600" s="6"/>
      <c r="D600" s="6"/>
      <c r="E600" s="443"/>
      <c r="F600" s="15"/>
      <c r="G600" s="6"/>
      <c r="H600" s="6"/>
      <c r="I600" s="6"/>
      <c r="J600" s="6"/>
      <c r="K600" s="6"/>
      <c r="L600" s="6"/>
      <c r="M600" s="6"/>
      <c r="N600" s="6"/>
      <c r="O600" s="6"/>
      <c r="P600" s="6"/>
      <c r="Q600" s="6"/>
      <c r="R600" s="6"/>
      <c r="S600" s="6"/>
      <c r="T600" s="6"/>
      <c r="U600" s="6"/>
      <c r="V600" s="6"/>
      <c r="W600" s="6"/>
      <c r="X600" s="6"/>
      <c r="Y600" s="6"/>
      <c r="Z600" s="6"/>
    </row>
    <row r="601" spans="1:26">
      <c r="A601" s="174"/>
      <c r="B601" s="6"/>
      <c r="C601" s="6"/>
      <c r="D601" s="6"/>
      <c r="E601" s="443"/>
      <c r="F601" s="15"/>
      <c r="G601" s="6"/>
      <c r="H601" s="6"/>
      <c r="I601" s="6"/>
      <c r="J601" s="6"/>
      <c r="K601" s="6"/>
      <c r="L601" s="6"/>
      <c r="M601" s="6"/>
      <c r="N601" s="6"/>
      <c r="O601" s="6"/>
      <c r="P601" s="6"/>
      <c r="Q601" s="6"/>
      <c r="R601" s="6"/>
      <c r="S601" s="6"/>
      <c r="T601" s="6"/>
      <c r="U601" s="6"/>
      <c r="V601" s="6"/>
      <c r="W601" s="6"/>
      <c r="X601" s="6"/>
      <c r="Y601" s="6"/>
      <c r="Z601" s="6"/>
    </row>
    <row r="602" spans="1:26">
      <c r="A602" s="174"/>
      <c r="B602" s="6"/>
      <c r="C602" s="6"/>
      <c r="D602" s="6"/>
      <c r="E602" s="443"/>
      <c r="F602" s="15"/>
      <c r="G602" s="6"/>
      <c r="H602" s="6"/>
      <c r="I602" s="6"/>
      <c r="J602" s="6"/>
      <c r="K602" s="6"/>
      <c r="L602" s="6"/>
      <c r="M602" s="6"/>
      <c r="N602" s="6"/>
      <c r="O602" s="6"/>
      <c r="P602" s="6"/>
      <c r="Q602" s="6"/>
      <c r="R602" s="6"/>
      <c r="S602" s="6"/>
      <c r="T602" s="6"/>
      <c r="U602" s="6"/>
      <c r="V602" s="6"/>
      <c r="W602" s="6"/>
      <c r="X602" s="6"/>
      <c r="Y602" s="6"/>
      <c r="Z602" s="6"/>
    </row>
    <row r="603" spans="1:26">
      <c r="A603" s="174"/>
      <c r="B603" s="6"/>
      <c r="C603" s="6"/>
      <c r="D603" s="6"/>
      <c r="E603" s="443"/>
      <c r="F603" s="15"/>
      <c r="G603" s="6"/>
      <c r="H603" s="6"/>
      <c r="I603" s="6"/>
      <c r="J603" s="6"/>
      <c r="K603" s="6"/>
      <c r="L603" s="6"/>
      <c r="M603" s="6"/>
      <c r="N603" s="6"/>
      <c r="O603" s="6"/>
      <c r="P603" s="6"/>
      <c r="Q603" s="6"/>
      <c r="R603" s="6"/>
      <c r="S603" s="6"/>
      <c r="T603" s="6"/>
      <c r="U603" s="6"/>
      <c r="V603" s="6"/>
      <c r="W603" s="6"/>
      <c r="X603" s="6"/>
      <c r="Y603" s="6"/>
      <c r="Z603" s="6"/>
    </row>
    <row r="604" spans="1:26">
      <c r="A604" s="174"/>
      <c r="B604" s="6"/>
      <c r="C604" s="6"/>
      <c r="D604" s="6"/>
      <c r="E604" s="443"/>
      <c r="F604" s="15"/>
      <c r="G604" s="6"/>
      <c r="H604" s="6"/>
      <c r="I604" s="6"/>
      <c r="J604" s="6"/>
      <c r="K604" s="6"/>
      <c r="L604" s="6"/>
      <c r="M604" s="6"/>
      <c r="N604" s="6"/>
      <c r="O604" s="6"/>
      <c r="P604" s="6"/>
      <c r="Q604" s="6"/>
      <c r="R604" s="6"/>
      <c r="S604" s="6"/>
      <c r="T604" s="6"/>
      <c r="U604" s="6"/>
      <c r="V604" s="6"/>
      <c r="W604" s="6"/>
      <c r="X604" s="6"/>
      <c r="Y604" s="6"/>
      <c r="Z604" s="6"/>
    </row>
    <row r="605" spans="1:26">
      <c r="A605" s="174"/>
      <c r="B605" s="6"/>
      <c r="C605" s="6"/>
      <c r="D605" s="6"/>
      <c r="E605" s="443"/>
      <c r="F605" s="15"/>
      <c r="G605" s="6"/>
      <c r="H605" s="6"/>
      <c r="I605" s="6"/>
      <c r="J605" s="6"/>
      <c r="K605" s="6"/>
      <c r="L605" s="6"/>
      <c r="M605" s="6"/>
      <c r="N605" s="6"/>
      <c r="O605" s="6"/>
      <c r="P605" s="6"/>
      <c r="Q605" s="6"/>
      <c r="R605" s="6"/>
      <c r="S605" s="6"/>
      <c r="T605" s="6"/>
      <c r="U605" s="6"/>
      <c r="V605" s="6"/>
      <c r="W605" s="6"/>
      <c r="X605" s="6"/>
      <c r="Y605" s="6"/>
      <c r="Z605" s="6"/>
    </row>
    <row r="606" spans="1:26">
      <c r="A606" s="174"/>
      <c r="B606" s="6"/>
      <c r="C606" s="6"/>
      <c r="D606" s="6"/>
      <c r="E606" s="443"/>
      <c r="F606" s="15"/>
      <c r="G606" s="6"/>
      <c r="H606" s="6"/>
      <c r="I606" s="6"/>
      <c r="J606" s="6"/>
      <c r="K606" s="6"/>
      <c r="L606" s="6"/>
      <c r="M606" s="6"/>
      <c r="N606" s="6"/>
      <c r="O606" s="6"/>
      <c r="P606" s="6"/>
      <c r="Q606" s="6"/>
      <c r="R606" s="6"/>
      <c r="S606" s="6"/>
      <c r="T606" s="6"/>
      <c r="U606" s="6"/>
      <c r="V606" s="6"/>
      <c r="W606" s="6"/>
      <c r="X606" s="6"/>
      <c r="Y606" s="6"/>
      <c r="Z606" s="6"/>
    </row>
    <row r="607" spans="1:26">
      <c r="A607" s="174"/>
      <c r="B607" s="6"/>
      <c r="C607" s="6"/>
      <c r="D607" s="6"/>
      <c r="E607" s="443"/>
      <c r="F607" s="15"/>
      <c r="G607" s="6"/>
      <c r="H607" s="6"/>
      <c r="I607" s="6"/>
      <c r="J607" s="6"/>
      <c r="K607" s="6"/>
      <c r="L607" s="6"/>
      <c r="M607" s="6"/>
      <c r="N607" s="6"/>
      <c r="O607" s="6"/>
      <c r="P607" s="6"/>
      <c r="Q607" s="6"/>
      <c r="R607" s="6"/>
      <c r="S607" s="6"/>
      <c r="T607" s="6"/>
      <c r="U607" s="6"/>
      <c r="V607" s="6"/>
      <c r="W607" s="6"/>
      <c r="X607" s="6"/>
      <c r="Y607" s="6"/>
      <c r="Z607" s="6"/>
    </row>
    <row r="608" spans="1:26">
      <c r="A608" s="174"/>
      <c r="B608" s="6"/>
      <c r="C608" s="6"/>
      <c r="D608" s="6"/>
      <c r="E608" s="443"/>
      <c r="F608" s="15"/>
      <c r="G608" s="6"/>
      <c r="H608" s="6"/>
      <c r="I608" s="6"/>
      <c r="J608" s="6"/>
      <c r="K608" s="6"/>
      <c r="L608" s="6"/>
      <c r="M608" s="6"/>
      <c r="N608" s="6"/>
      <c r="O608" s="6"/>
      <c r="P608" s="6"/>
      <c r="Q608" s="6"/>
      <c r="R608" s="6"/>
      <c r="S608" s="6"/>
      <c r="T608" s="6"/>
      <c r="U608" s="6"/>
      <c r="V608" s="6"/>
      <c r="W608" s="6"/>
      <c r="X608" s="6"/>
      <c r="Y608" s="6"/>
      <c r="Z608" s="6"/>
    </row>
    <row r="609" spans="1:26">
      <c r="A609" s="174"/>
      <c r="B609" s="6"/>
      <c r="C609" s="6"/>
      <c r="D609" s="6"/>
      <c r="E609" s="443"/>
      <c r="F609" s="15"/>
      <c r="G609" s="6"/>
      <c r="H609" s="6"/>
      <c r="I609" s="6"/>
      <c r="J609" s="6"/>
      <c r="K609" s="6"/>
      <c r="L609" s="6"/>
      <c r="M609" s="6"/>
      <c r="N609" s="6"/>
      <c r="O609" s="6"/>
      <c r="P609" s="6"/>
      <c r="Q609" s="6"/>
      <c r="R609" s="6"/>
      <c r="S609" s="6"/>
      <c r="T609" s="6"/>
      <c r="U609" s="6"/>
      <c r="V609" s="6"/>
      <c r="W609" s="6"/>
      <c r="X609" s="6"/>
      <c r="Y609" s="6"/>
      <c r="Z609" s="6"/>
    </row>
    <row r="610" spans="1:26">
      <c r="A610" s="174"/>
      <c r="B610" s="6"/>
      <c r="C610" s="6"/>
      <c r="D610" s="6"/>
      <c r="E610" s="443"/>
      <c r="F610" s="15"/>
      <c r="G610" s="6"/>
      <c r="H610" s="6"/>
      <c r="I610" s="6"/>
      <c r="J610" s="6"/>
      <c r="K610" s="6"/>
      <c r="L610" s="6"/>
      <c r="M610" s="6"/>
      <c r="N610" s="6"/>
      <c r="O610" s="6"/>
      <c r="P610" s="6"/>
      <c r="Q610" s="6"/>
      <c r="R610" s="6"/>
      <c r="S610" s="6"/>
      <c r="T610" s="6"/>
      <c r="U610" s="6"/>
      <c r="V610" s="6"/>
      <c r="W610" s="6"/>
      <c r="X610" s="6"/>
      <c r="Y610" s="6"/>
      <c r="Z610" s="6"/>
    </row>
    <row r="611" spans="1:26">
      <c r="A611" s="174"/>
      <c r="B611" s="6"/>
      <c r="C611" s="6"/>
      <c r="D611" s="6"/>
      <c r="E611" s="443"/>
      <c r="F611" s="15"/>
      <c r="G611" s="6"/>
      <c r="H611" s="6"/>
      <c r="I611" s="6"/>
      <c r="J611" s="6"/>
      <c r="K611" s="6"/>
      <c r="L611" s="6"/>
      <c r="M611" s="6"/>
      <c r="N611" s="6"/>
      <c r="O611" s="6"/>
      <c r="P611" s="6"/>
      <c r="Q611" s="6"/>
      <c r="R611" s="6"/>
      <c r="S611" s="6"/>
      <c r="T611" s="6"/>
      <c r="U611" s="6"/>
      <c r="V611" s="6"/>
      <c r="W611" s="6"/>
      <c r="X611" s="6"/>
      <c r="Y611" s="6"/>
      <c r="Z611" s="6"/>
    </row>
    <row r="612" spans="1:26">
      <c r="A612" s="174"/>
      <c r="B612" s="6"/>
      <c r="C612" s="6"/>
      <c r="D612" s="6"/>
      <c r="E612" s="443"/>
      <c r="F612" s="15"/>
      <c r="G612" s="6"/>
      <c r="H612" s="6"/>
      <c r="I612" s="6"/>
      <c r="J612" s="6"/>
      <c r="K612" s="6"/>
      <c r="L612" s="6"/>
      <c r="M612" s="6"/>
      <c r="N612" s="6"/>
      <c r="O612" s="6"/>
      <c r="P612" s="6"/>
      <c r="Q612" s="6"/>
      <c r="R612" s="6"/>
      <c r="S612" s="6"/>
      <c r="T612" s="6"/>
      <c r="U612" s="6"/>
      <c r="V612" s="6"/>
      <c r="W612" s="6"/>
      <c r="X612" s="6"/>
      <c r="Y612" s="6"/>
      <c r="Z612" s="6"/>
    </row>
    <row r="613" spans="1:26">
      <c r="A613" s="174"/>
      <c r="B613" s="6"/>
      <c r="C613" s="6"/>
      <c r="D613" s="6"/>
      <c r="E613" s="443"/>
      <c r="F613" s="15"/>
      <c r="G613" s="6"/>
      <c r="H613" s="6"/>
      <c r="I613" s="6"/>
      <c r="J613" s="6"/>
      <c r="K613" s="6"/>
      <c r="L613" s="6"/>
      <c r="M613" s="6"/>
      <c r="N613" s="6"/>
      <c r="O613" s="6"/>
      <c r="P613" s="6"/>
      <c r="Q613" s="6"/>
      <c r="R613" s="6"/>
      <c r="S613" s="6"/>
      <c r="T613" s="6"/>
      <c r="U613" s="6"/>
      <c r="V613" s="6"/>
      <c r="W613" s="6"/>
      <c r="X613" s="6"/>
      <c r="Y613" s="6"/>
      <c r="Z613" s="6"/>
    </row>
    <row r="614" spans="1:26">
      <c r="A614" s="174"/>
      <c r="B614" s="6"/>
      <c r="C614" s="6"/>
      <c r="D614" s="6"/>
      <c r="E614" s="443"/>
      <c r="F614" s="15"/>
      <c r="G614" s="6"/>
      <c r="H614" s="6"/>
      <c r="I614" s="6"/>
      <c r="J614" s="6"/>
      <c r="K614" s="6"/>
      <c r="L614" s="6"/>
      <c r="M614" s="6"/>
      <c r="N614" s="6"/>
      <c r="O614" s="6"/>
      <c r="P614" s="6"/>
      <c r="Q614" s="6"/>
      <c r="R614" s="6"/>
      <c r="S614" s="6"/>
      <c r="T614" s="6"/>
      <c r="U614" s="6"/>
      <c r="V614" s="6"/>
      <c r="W614" s="6"/>
      <c r="X614" s="6"/>
      <c r="Y614" s="6"/>
      <c r="Z614" s="6"/>
    </row>
    <row r="615" spans="1:26">
      <c r="A615" s="174"/>
      <c r="B615" s="6"/>
      <c r="C615" s="6"/>
      <c r="D615" s="6"/>
      <c r="E615" s="443"/>
      <c r="F615" s="15"/>
      <c r="G615" s="6"/>
      <c r="H615" s="6"/>
      <c r="I615" s="6"/>
      <c r="J615" s="6"/>
      <c r="K615" s="6"/>
      <c r="L615" s="6"/>
      <c r="M615" s="6"/>
      <c r="N615" s="6"/>
      <c r="O615" s="6"/>
      <c r="P615" s="6"/>
      <c r="Q615" s="6"/>
      <c r="R615" s="6"/>
      <c r="S615" s="6"/>
      <c r="T615" s="6"/>
      <c r="U615" s="6"/>
      <c r="V615" s="6"/>
      <c r="W615" s="6"/>
      <c r="X615" s="6"/>
      <c r="Y615" s="6"/>
      <c r="Z615" s="6"/>
    </row>
    <row r="616" spans="1:26">
      <c r="A616" s="174"/>
      <c r="B616" s="6"/>
      <c r="C616" s="6"/>
      <c r="D616" s="6"/>
      <c r="E616" s="443"/>
      <c r="F616" s="15"/>
      <c r="G616" s="6"/>
      <c r="H616" s="6"/>
      <c r="I616" s="6"/>
      <c r="J616" s="6"/>
      <c r="K616" s="6"/>
      <c r="L616" s="6"/>
      <c r="M616" s="6"/>
      <c r="N616" s="6"/>
      <c r="O616" s="6"/>
      <c r="P616" s="6"/>
      <c r="Q616" s="6"/>
      <c r="R616" s="6"/>
      <c r="S616" s="6"/>
      <c r="T616" s="6"/>
      <c r="U616" s="6"/>
      <c r="V616" s="6"/>
      <c r="W616" s="6"/>
      <c r="X616" s="6"/>
      <c r="Y616" s="6"/>
      <c r="Z616" s="6"/>
    </row>
    <row r="617" spans="1:26">
      <c r="A617" s="174"/>
      <c r="B617" s="6"/>
      <c r="C617" s="6"/>
      <c r="D617" s="6"/>
      <c r="E617" s="443"/>
      <c r="F617" s="15"/>
      <c r="G617" s="6"/>
      <c r="H617" s="6"/>
      <c r="I617" s="6"/>
      <c r="J617" s="6"/>
      <c r="K617" s="6"/>
      <c r="L617" s="6"/>
      <c r="M617" s="6"/>
      <c r="N617" s="6"/>
      <c r="O617" s="6"/>
      <c r="P617" s="6"/>
      <c r="Q617" s="6"/>
      <c r="R617" s="6"/>
      <c r="S617" s="6"/>
      <c r="T617" s="6"/>
      <c r="U617" s="6"/>
      <c r="V617" s="6"/>
      <c r="W617" s="6"/>
      <c r="X617" s="6"/>
      <c r="Y617" s="6"/>
      <c r="Z617" s="6"/>
    </row>
    <row r="618" spans="1:26">
      <c r="A618" s="174"/>
      <c r="B618" s="6"/>
      <c r="C618" s="6"/>
      <c r="D618" s="6"/>
      <c r="E618" s="443"/>
      <c r="F618" s="15"/>
      <c r="G618" s="6"/>
      <c r="H618" s="6"/>
      <c r="I618" s="6"/>
      <c r="J618" s="6"/>
      <c r="K618" s="6"/>
      <c r="L618" s="6"/>
      <c r="M618" s="6"/>
      <c r="N618" s="6"/>
      <c r="O618" s="6"/>
      <c r="P618" s="6"/>
      <c r="Q618" s="6"/>
      <c r="R618" s="6"/>
      <c r="S618" s="6"/>
      <c r="T618" s="6"/>
      <c r="U618" s="6"/>
      <c r="V618" s="6"/>
      <c r="W618" s="6"/>
      <c r="X618" s="6"/>
      <c r="Y618" s="6"/>
      <c r="Z618" s="6"/>
    </row>
    <row r="619" spans="1:26">
      <c r="A619" s="174"/>
      <c r="B619" s="6"/>
      <c r="C619" s="6"/>
      <c r="D619" s="6"/>
      <c r="E619" s="443"/>
      <c r="F619" s="15"/>
      <c r="G619" s="6"/>
      <c r="H619" s="6"/>
      <c r="I619" s="6"/>
      <c r="J619" s="6"/>
      <c r="K619" s="6"/>
      <c r="L619" s="6"/>
      <c r="M619" s="6"/>
      <c r="N619" s="6"/>
      <c r="O619" s="6"/>
      <c r="P619" s="6"/>
      <c r="Q619" s="6"/>
      <c r="R619" s="6"/>
      <c r="S619" s="6"/>
      <c r="T619" s="6"/>
      <c r="U619" s="6"/>
      <c r="V619" s="6"/>
      <c r="W619" s="6"/>
      <c r="X619" s="6"/>
      <c r="Y619" s="6"/>
      <c r="Z619" s="6"/>
    </row>
    <row r="620" spans="1:26">
      <c r="A620" s="174"/>
      <c r="B620" s="6"/>
      <c r="C620" s="6"/>
      <c r="D620" s="6"/>
      <c r="E620" s="443"/>
      <c r="F620" s="15"/>
      <c r="G620" s="6"/>
      <c r="H620" s="6"/>
      <c r="I620" s="6"/>
      <c r="J620" s="6"/>
      <c r="K620" s="6"/>
      <c r="L620" s="6"/>
      <c r="M620" s="6"/>
      <c r="N620" s="6"/>
      <c r="O620" s="6"/>
      <c r="P620" s="6"/>
      <c r="Q620" s="6"/>
      <c r="R620" s="6"/>
      <c r="S620" s="6"/>
      <c r="T620" s="6"/>
      <c r="U620" s="6"/>
      <c r="V620" s="6"/>
      <c r="W620" s="6"/>
      <c r="X620" s="6"/>
      <c r="Y620" s="6"/>
      <c r="Z620" s="6"/>
    </row>
    <row r="621" spans="1:26">
      <c r="A621" s="174"/>
      <c r="B621" s="6"/>
      <c r="C621" s="6"/>
      <c r="D621" s="6"/>
      <c r="E621" s="443"/>
      <c r="F621" s="15"/>
      <c r="G621" s="6"/>
      <c r="H621" s="6"/>
      <c r="I621" s="6"/>
      <c r="J621" s="6"/>
      <c r="K621" s="6"/>
      <c r="L621" s="6"/>
      <c r="M621" s="6"/>
      <c r="N621" s="6"/>
      <c r="O621" s="6"/>
      <c r="P621" s="6"/>
      <c r="Q621" s="6"/>
      <c r="R621" s="6"/>
      <c r="S621" s="6"/>
      <c r="T621" s="6"/>
      <c r="U621" s="6"/>
      <c r="V621" s="6"/>
      <c r="W621" s="6"/>
      <c r="X621" s="6"/>
      <c r="Y621" s="6"/>
      <c r="Z621" s="6"/>
    </row>
    <row r="622" spans="1:26">
      <c r="A622" s="174"/>
      <c r="B622" s="6"/>
      <c r="C622" s="6"/>
      <c r="D622" s="6"/>
      <c r="E622" s="443"/>
      <c r="F622" s="15"/>
      <c r="G622" s="6"/>
      <c r="H622" s="6"/>
      <c r="I622" s="6"/>
      <c r="J622" s="6"/>
      <c r="K622" s="6"/>
      <c r="L622" s="6"/>
      <c r="M622" s="6"/>
      <c r="N622" s="6"/>
      <c r="O622" s="6"/>
      <c r="P622" s="6"/>
      <c r="Q622" s="6"/>
      <c r="R622" s="6"/>
      <c r="S622" s="6"/>
      <c r="T622" s="6"/>
      <c r="U622" s="6"/>
      <c r="V622" s="6"/>
      <c r="W622" s="6"/>
      <c r="X622" s="6"/>
      <c r="Y622" s="6"/>
      <c r="Z622" s="6"/>
    </row>
    <row r="623" spans="1:26">
      <c r="A623" s="174"/>
      <c r="B623" s="6"/>
      <c r="C623" s="6"/>
      <c r="D623" s="6"/>
      <c r="E623" s="443"/>
      <c r="F623" s="15"/>
      <c r="G623" s="6"/>
      <c r="H623" s="6"/>
      <c r="I623" s="6"/>
      <c r="J623" s="6"/>
      <c r="K623" s="6"/>
      <c r="L623" s="6"/>
      <c r="M623" s="6"/>
      <c r="N623" s="6"/>
      <c r="O623" s="6"/>
      <c r="P623" s="6"/>
      <c r="Q623" s="6"/>
      <c r="R623" s="6"/>
      <c r="S623" s="6"/>
      <c r="T623" s="6"/>
      <c r="U623" s="6"/>
      <c r="V623" s="6"/>
      <c r="W623" s="6"/>
      <c r="X623" s="6"/>
      <c r="Y623" s="6"/>
      <c r="Z623" s="6"/>
    </row>
    <row r="624" spans="1:26">
      <c r="A624" s="174"/>
      <c r="B624" s="6"/>
      <c r="C624" s="6"/>
      <c r="D624" s="6"/>
      <c r="E624" s="443"/>
      <c r="F624" s="15"/>
      <c r="G624" s="6"/>
      <c r="H624" s="6"/>
      <c r="I624" s="6"/>
      <c r="J624" s="6"/>
      <c r="K624" s="6"/>
      <c r="L624" s="6"/>
      <c r="M624" s="6"/>
      <c r="N624" s="6"/>
      <c r="O624" s="6"/>
      <c r="P624" s="6"/>
      <c r="Q624" s="6"/>
      <c r="R624" s="6"/>
      <c r="S624" s="6"/>
      <c r="T624" s="6"/>
      <c r="U624" s="6"/>
      <c r="V624" s="6"/>
      <c r="W624" s="6"/>
      <c r="X624" s="6"/>
      <c r="Y624" s="6"/>
      <c r="Z624" s="6"/>
    </row>
    <row r="625" spans="1:26">
      <c r="A625" s="174"/>
      <c r="B625" s="6"/>
      <c r="C625" s="6"/>
      <c r="D625" s="6"/>
      <c r="E625" s="443"/>
      <c r="F625" s="15"/>
      <c r="G625" s="6"/>
      <c r="H625" s="6"/>
      <c r="I625" s="6"/>
      <c r="J625" s="6"/>
      <c r="K625" s="6"/>
      <c r="L625" s="6"/>
      <c r="M625" s="6"/>
      <c r="N625" s="6"/>
      <c r="O625" s="6"/>
      <c r="P625" s="6"/>
      <c r="Q625" s="6"/>
      <c r="R625" s="6"/>
      <c r="S625" s="6"/>
      <c r="T625" s="6"/>
      <c r="U625" s="6"/>
      <c r="V625" s="6"/>
      <c r="W625" s="6"/>
      <c r="X625" s="6"/>
      <c r="Y625" s="6"/>
      <c r="Z625" s="6"/>
    </row>
    <row r="626" spans="1:26">
      <c r="A626" s="174"/>
      <c r="B626" s="6"/>
      <c r="C626" s="6"/>
      <c r="D626" s="6"/>
      <c r="E626" s="443"/>
      <c r="F626" s="15"/>
      <c r="G626" s="6"/>
      <c r="H626" s="6"/>
      <c r="I626" s="6"/>
      <c r="J626" s="6"/>
      <c r="K626" s="6"/>
      <c r="L626" s="6"/>
      <c r="M626" s="6"/>
      <c r="N626" s="6"/>
      <c r="O626" s="6"/>
      <c r="P626" s="6"/>
      <c r="Q626" s="6"/>
      <c r="R626" s="6"/>
      <c r="S626" s="6"/>
      <c r="T626" s="6"/>
      <c r="U626" s="6"/>
      <c r="V626" s="6"/>
      <c r="W626" s="6"/>
      <c r="X626" s="6"/>
      <c r="Y626" s="6"/>
      <c r="Z626" s="6"/>
    </row>
    <row r="627" spans="1:26">
      <c r="A627" s="174"/>
      <c r="B627" s="6"/>
      <c r="C627" s="6"/>
      <c r="D627" s="6"/>
      <c r="E627" s="443"/>
      <c r="F627" s="15"/>
      <c r="G627" s="6"/>
      <c r="H627" s="6"/>
      <c r="I627" s="6"/>
      <c r="J627" s="6"/>
      <c r="K627" s="6"/>
      <c r="L627" s="6"/>
      <c r="M627" s="6"/>
      <c r="N627" s="6"/>
      <c r="O627" s="6"/>
      <c r="P627" s="6"/>
      <c r="Q627" s="6"/>
      <c r="R627" s="6"/>
      <c r="S627" s="6"/>
      <c r="T627" s="6"/>
      <c r="U627" s="6"/>
      <c r="V627" s="6"/>
      <c r="W627" s="6"/>
      <c r="X627" s="6"/>
      <c r="Y627" s="6"/>
      <c r="Z627" s="6"/>
    </row>
    <row r="628" spans="1:26">
      <c r="A628" s="174"/>
      <c r="B628" s="6"/>
      <c r="C628" s="6"/>
      <c r="D628" s="6"/>
      <c r="E628" s="443"/>
      <c r="F628" s="15"/>
      <c r="G628" s="6"/>
      <c r="H628" s="6"/>
      <c r="I628" s="6"/>
      <c r="J628" s="6"/>
      <c r="K628" s="6"/>
      <c r="L628" s="6"/>
      <c r="M628" s="6"/>
      <c r="N628" s="6"/>
      <c r="O628" s="6"/>
      <c r="P628" s="6"/>
      <c r="Q628" s="6"/>
      <c r="R628" s="6"/>
      <c r="S628" s="6"/>
      <c r="T628" s="6"/>
      <c r="U628" s="6"/>
      <c r="V628" s="6"/>
      <c r="W628" s="6"/>
      <c r="X628" s="6"/>
      <c r="Y628" s="6"/>
      <c r="Z628" s="6"/>
    </row>
    <row r="629" spans="1:26">
      <c r="A629" s="174"/>
      <c r="B629" s="6"/>
      <c r="C629" s="6"/>
      <c r="D629" s="6"/>
      <c r="E629" s="443"/>
      <c r="F629" s="15"/>
      <c r="G629" s="6"/>
      <c r="H629" s="6"/>
      <c r="I629" s="6"/>
      <c r="J629" s="6"/>
      <c r="K629" s="6"/>
      <c r="L629" s="6"/>
      <c r="M629" s="6"/>
      <c r="N629" s="6"/>
      <c r="O629" s="6"/>
      <c r="P629" s="6"/>
      <c r="Q629" s="6"/>
      <c r="R629" s="6"/>
      <c r="S629" s="6"/>
      <c r="T629" s="6"/>
      <c r="U629" s="6"/>
      <c r="V629" s="6"/>
      <c r="W629" s="6"/>
      <c r="X629" s="6"/>
      <c r="Y629" s="6"/>
      <c r="Z629" s="6"/>
    </row>
    <row r="630" spans="1:26">
      <c r="A630" s="174"/>
      <c r="B630" s="6"/>
      <c r="C630" s="6"/>
      <c r="D630" s="6"/>
      <c r="E630" s="443"/>
      <c r="F630" s="15"/>
      <c r="G630" s="6"/>
      <c r="H630" s="6"/>
      <c r="I630" s="6"/>
      <c r="J630" s="6"/>
      <c r="K630" s="6"/>
      <c r="L630" s="6"/>
      <c r="M630" s="6"/>
      <c r="N630" s="6"/>
      <c r="O630" s="6"/>
      <c r="P630" s="6"/>
      <c r="Q630" s="6"/>
      <c r="R630" s="6"/>
      <c r="S630" s="6"/>
      <c r="T630" s="6"/>
      <c r="U630" s="6"/>
      <c r="V630" s="6"/>
      <c r="W630" s="6"/>
      <c r="X630" s="6"/>
      <c r="Y630" s="6"/>
      <c r="Z630" s="6"/>
    </row>
    <row r="631" spans="1:26">
      <c r="A631" s="174"/>
      <c r="B631" s="6"/>
      <c r="C631" s="6"/>
      <c r="D631" s="6"/>
      <c r="E631" s="443"/>
      <c r="F631" s="15"/>
      <c r="G631" s="6"/>
      <c r="H631" s="6"/>
      <c r="I631" s="6"/>
      <c r="J631" s="6"/>
      <c r="K631" s="6"/>
      <c r="L631" s="6"/>
      <c r="M631" s="6"/>
      <c r="N631" s="6"/>
      <c r="O631" s="6"/>
      <c r="P631" s="6"/>
      <c r="Q631" s="6"/>
      <c r="R631" s="6"/>
      <c r="S631" s="6"/>
      <c r="T631" s="6"/>
      <c r="U631" s="6"/>
      <c r="V631" s="6"/>
      <c r="W631" s="6"/>
      <c r="X631" s="6"/>
      <c r="Y631" s="6"/>
      <c r="Z631" s="6"/>
    </row>
    <row r="632" spans="1:26">
      <c r="A632" s="174"/>
      <c r="B632" s="6"/>
      <c r="C632" s="6"/>
      <c r="D632" s="6"/>
      <c r="E632" s="443"/>
      <c r="F632" s="15"/>
      <c r="G632" s="6"/>
      <c r="H632" s="6"/>
      <c r="I632" s="6"/>
      <c r="J632" s="6"/>
      <c r="K632" s="6"/>
      <c r="L632" s="6"/>
      <c r="M632" s="6"/>
      <c r="N632" s="6"/>
      <c r="O632" s="6"/>
      <c r="P632" s="6"/>
      <c r="Q632" s="6"/>
      <c r="R632" s="6"/>
      <c r="S632" s="6"/>
      <c r="T632" s="6"/>
      <c r="U632" s="6"/>
      <c r="V632" s="6"/>
      <c r="W632" s="6"/>
      <c r="X632" s="6"/>
      <c r="Y632" s="6"/>
      <c r="Z632" s="6"/>
    </row>
    <row r="633" spans="1:26">
      <c r="A633" s="174"/>
      <c r="B633" s="6"/>
      <c r="C633" s="6"/>
      <c r="D633" s="6"/>
      <c r="E633" s="443"/>
      <c r="F633" s="15"/>
      <c r="G633" s="6"/>
      <c r="H633" s="6"/>
      <c r="I633" s="6"/>
      <c r="J633" s="6"/>
      <c r="K633" s="6"/>
      <c r="L633" s="6"/>
      <c r="M633" s="6"/>
      <c r="N633" s="6"/>
      <c r="O633" s="6"/>
      <c r="P633" s="6"/>
      <c r="Q633" s="6"/>
      <c r="R633" s="6"/>
      <c r="S633" s="6"/>
      <c r="T633" s="6"/>
      <c r="U633" s="6"/>
      <c r="V633" s="6"/>
      <c r="W633" s="6"/>
      <c r="X633" s="6"/>
      <c r="Y633" s="6"/>
      <c r="Z633" s="6"/>
    </row>
    <row r="634" spans="1:26">
      <c r="A634" s="174"/>
      <c r="B634" s="6"/>
      <c r="C634" s="6"/>
      <c r="D634" s="6"/>
      <c r="E634" s="443"/>
      <c r="F634" s="15"/>
      <c r="G634" s="6"/>
      <c r="H634" s="6"/>
      <c r="I634" s="6"/>
      <c r="J634" s="6"/>
      <c r="K634" s="6"/>
      <c r="L634" s="6"/>
      <c r="M634" s="6"/>
      <c r="N634" s="6"/>
      <c r="O634" s="6"/>
      <c r="P634" s="6"/>
      <c r="Q634" s="6"/>
      <c r="R634" s="6"/>
      <c r="S634" s="6"/>
      <c r="T634" s="6"/>
      <c r="U634" s="6"/>
      <c r="V634" s="6"/>
      <c r="W634" s="6"/>
      <c r="X634" s="6"/>
      <c r="Y634" s="6"/>
      <c r="Z634" s="6"/>
    </row>
    <row r="635" spans="1:26">
      <c r="A635" s="174"/>
      <c r="B635" s="6"/>
      <c r="C635" s="6"/>
      <c r="D635" s="6"/>
      <c r="E635" s="443"/>
      <c r="F635" s="15"/>
      <c r="G635" s="6"/>
      <c r="H635" s="6"/>
      <c r="I635" s="6"/>
      <c r="J635" s="6"/>
      <c r="K635" s="6"/>
      <c r="L635" s="6"/>
      <c r="M635" s="6"/>
      <c r="N635" s="6"/>
      <c r="O635" s="6"/>
      <c r="P635" s="6"/>
      <c r="Q635" s="6"/>
      <c r="R635" s="6"/>
      <c r="S635" s="6"/>
      <c r="T635" s="6"/>
      <c r="U635" s="6"/>
      <c r="V635" s="6"/>
      <c r="W635" s="6"/>
      <c r="X635" s="6"/>
      <c r="Y635" s="6"/>
      <c r="Z635" s="6"/>
    </row>
    <row r="636" spans="1:26">
      <c r="A636" s="174"/>
      <c r="B636" s="6"/>
      <c r="C636" s="6"/>
      <c r="D636" s="6"/>
      <c r="E636" s="443"/>
      <c r="F636" s="15"/>
      <c r="G636" s="6"/>
      <c r="H636" s="6"/>
      <c r="I636" s="6"/>
      <c r="J636" s="6"/>
      <c r="K636" s="6"/>
      <c r="L636" s="6"/>
      <c r="M636" s="6"/>
      <c r="N636" s="6"/>
      <c r="O636" s="6"/>
      <c r="P636" s="6"/>
      <c r="Q636" s="6"/>
      <c r="R636" s="6"/>
      <c r="S636" s="6"/>
      <c r="T636" s="6"/>
      <c r="U636" s="6"/>
      <c r="V636" s="6"/>
      <c r="W636" s="6"/>
      <c r="X636" s="6"/>
      <c r="Y636" s="6"/>
      <c r="Z636" s="6"/>
    </row>
    <row r="637" spans="1:26">
      <c r="A637" s="174"/>
      <c r="B637" s="6"/>
      <c r="C637" s="6"/>
      <c r="D637" s="6"/>
      <c r="E637" s="443"/>
      <c r="F637" s="15"/>
      <c r="G637" s="6"/>
      <c r="H637" s="6"/>
      <c r="I637" s="6"/>
      <c r="J637" s="6"/>
      <c r="K637" s="6"/>
      <c r="L637" s="6"/>
      <c r="M637" s="6"/>
      <c r="N637" s="6"/>
      <c r="O637" s="6"/>
      <c r="P637" s="6"/>
      <c r="Q637" s="6"/>
      <c r="R637" s="6"/>
      <c r="S637" s="6"/>
      <c r="T637" s="6"/>
      <c r="U637" s="6"/>
      <c r="V637" s="6"/>
      <c r="W637" s="6"/>
      <c r="X637" s="6"/>
      <c r="Y637" s="6"/>
      <c r="Z637" s="6"/>
    </row>
    <row r="638" spans="1:26">
      <c r="A638" s="174"/>
      <c r="B638" s="6"/>
      <c r="C638" s="6"/>
      <c r="D638" s="6"/>
      <c r="E638" s="443"/>
      <c r="F638" s="15"/>
      <c r="G638" s="6"/>
      <c r="H638" s="6"/>
      <c r="I638" s="6"/>
      <c r="J638" s="6"/>
      <c r="K638" s="6"/>
      <c r="L638" s="6"/>
      <c r="M638" s="6"/>
      <c r="N638" s="6"/>
      <c r="O638" s="6"/>
      <c r="P638" s="6"/>
      <c r="Q638" s="6"/>
      <c r="R638" s="6"/>
      <c r="S638" s="6"/>
      <c r="T638" s="6"/>
      <c r="U638" s="6"/>
      <c r="V638" s="6"/>
      <c r="W638" s="6"/>
      <c r="X638" s="6"/>
      <c r="Y638" s="6"/>
      <c r="Z638" s="6"/>
    </row>
    <row r="639" spans="1:26">
      <c r="A639" s="174"/>
      <c r="B639" s="6"/>
      <c r="C639" s="6"/>
      <c r="D639" s="6"/>
      <c r="E639" s="443"/>
      <c r="F639" s="15"/>
      <c r="G639" s="6"/>
      <c r="H639" s="6"/>
      <c r="I639" s="6"/>
      <c r="J639" s="6"/>
      <c r="K639" s="6"/>
      <c r="L639" s="6"/>
      <c r="M639" s="6"/>
      <c r="N639" s="6"/>
      <c r="O639" s="6"/>
      <c r="P639" s="6"/>
      <c r="Q639" s="6"/>
      <c r="R639" s="6"/>
      <c r="S639" s="6"/>
      <c r="T639" s="6"/>
      <c r="U639" s="6"/>
      <c r="V639" s="6"/>
      <c r="W639" s="6"/>
      <c r="X639" s="6"/>
      <c r="Y639" s="6"/>
      <c r="Z639" s="6"/>
    </row>
    <row r="640" spans="1:26">
      <c r="A640" s="174"/>
      <c r="B640" s="6"/>
      <c r="C640" s="6"/>
      <c r="D640" s="6"/>
      <c r="E640" s="443"/>
      <c r="F640" s="15"/>
      <c r="G640" s="6"/>
      <c r="H640" s="6"/>
      <c r="I640" s="6"/>
      <c r="J640" s="6"/>
      <c r="K640" s="6"/>
      <c r="L640" s="6"/>
      <c r="M640" s="6"/>
      <c r="N640" s="6"/>
      <c r="O640" s="6"/>
      <c r="P640" s="6"/>
      <c r="Q640" s="6"/>
      <c r="R640" s="6"/>
      <c r="S640" s="6"/>
      <c r="T640" s="6"/>
      <c r="U640" s="6"/>
      <c r="V640" s="6"/>
      <c r="W640" s="6"/>
      <c r="X640" s="6"/>
      <c r="Y640" s="6"/>
      <c r="Z640" s="6"/>
    </row>
    <row r="641" spans="1:26">
      <c r="A641" s="174"/>
      <c r="B641" s="6"/>
      <c r="C641" s="6"/>
      <c r="D641" s="6"/>
      <c r="E641" s="443"/>
      <c r="F641" s="15"/>
      <c r="G641" s="6"/>
      <c r="H641" s="6"/>
      <c r="I641" s="6"/>
      <c r="J641" s="6"/>
      <c r="K641" s="6"/>
      <c r="L641" s="6"/>
      <c r="M641" s="6"/>
      <c r="N641" s="6"/>
      <c r="O641" s="6"/>
      <c r="P641" s="6"/>
      <c r="Q641" s="6"/>
      <c r="R641" s="6"/>
      <c r="S641" s="6"/>
      <c r="T641" s="6"/>
      <c r="U641" s="6"/>
      <c r="V641" s="6"/>
      <c r="W641" s="6"/>
      <c r="X641" s="6"/>
      <c r="Y641" s="6"/>
      <c r="Z641" s="6"/>
    </row>
    <row r="642" spans="1:26">
      <c r="A642" s="174"/>
      <c r="B642" s="6"/>
      <c r="C642" s="6"/>
      <c r="D642" s="6"/>
      <c r="E642" s="443"/>
      <c r="F642" s="15"/>
      <c r="G642" s="6"/>
      <c r="H642" s="6"/>
      <c r="I642" s="6"/>
      <c r="J642" s="6"/>
      <c r="K642" s="6"/>
      <c r="L642" s="6"/>
      <c r="M642" s="6"/>
      <c r="N642" s="6"/>
      <c r="O642" s="6"/>
      <c r="P642" s="6"/>
      <c r="Q642" s="6"/>
      <c r="R642" s="6"/>
      <c r="S642" s="6"/>
      <c r="T642" s="6"/>
      <c r="U642" s="6"/>
      <c r="V642" s="6"/>
      <c r="W642" s="6"/>
      <c r="X642" s="6"/>
      <c r="Y642" s="6"/>
      <c r="Z642" s="6"/>
    </row>
    <row r="643" spans="1:26">
      <c r="A643" s="174"/>
      <c r="B643" s="6"/>
      <c r="C643" s="6"/>
      <c r="D643" s="6"/>
      <c r="E643" s="443"/>
      <c r="F643" s="15"/>
      <c r="G643" s="6"/>
      <c r="H643" s="6"/>
      <c r="I643" s="6"/>
      <c r="J643" s="6"/>
      <c r="K643" s="6"/>
      <c r="L643" s="6"/>
      <c r="M643" s="6"/>
      <c r="N643" s="6"/>
      <c r="O643" s="6"/>
      <c r="P643" s="6"/>
      <c r="Q643" s="6"/>
      <c r="R643" s="6"/>
      <c r="S643" s="6"/>
      <c r="T643" s="6"/>
      <c r="U643" s="6"/>
      <c r="V643" s="6"/>
      <c r="W643" s="6"/>
      <c r="X643" s="6"/>
      <c r="Y643" s="6"/>
      <c r="Z643" s="6"/>
    </row>
    <row r="644" spans="1:26">
      <c r="A644" s="174"/>
      <c r="B644" s="6"/>
      <c r="C644" s="6"/>
      <c r="D644" s="6"/>
      <c r="E644" s="443"/>
      <c r="F644" s="15"/>
      <c r="G644" s="6"/>
      <c r="H644" s="6"/>
      <c r="I644" s="6"/>
      <c r="J644" s="6"/>
      <c r="K644" s="6"/>
      <c r="L644" s="6"/>
      <c r="M644" s="6"/>
      <c r="N644" s="6"/>
      <c r="O644" s="6"/>
      <c r="P644" s="6"/>
      <c r="Q644" s="6"/>
      <c r="R644" s="6"/>
      <c r="S644" s="6"/>
      <c r="T644" s="6"/>
      <c r="U644" s="6"/>
      <c r="V644" s="6"/>
      <c r="W644" s="6"/>
      <c r="X644" s="6"/>
      <c r="Y644" s="6"/>
      <c r="Z644" s="6"/>
    </row>
    <row r="645" spans="1:26">
      <c r="A645" s="174"/>
      <c r="B645" s="6"/>
      <c r="C645" s="6"/>
      <c r="D645" s="6"/>
      <c r="E645" s="443"/>
      <c r="F645" s="15"/>
      <c r="G645" s="6"/>
      <c r="H645" s="6"/>
      <c r="I645" s="6"/>
      <c r="J645" s="6"/>
      <c r="K645" s="6"/>
      <c r="L645" s="6"/>
      <c r="M645" s="6"/>
      <c r="N645" s="6"/>
      <c r="O645" s="6"/>
      <c r="P645" s="6"/>
      <c r="Q645" s="6"/>
      <c r="R645" s="6"/>
      <c r="S645" s="6"/>
      <c r="T645" s="6"/>
      <c r="U645" s="6"/>
      <c r="V645" s="6"/>
      <c r="W645" s="6"/>
      <c r="X645" s="6"/>
      <c r="Y645" s="6"/>
      <c r="Z645" s="6"/>
    </row>
    <row r="646" spans="1:26">
      <c r="A646" s="174"/>
      <c r="B646" s="6"/>
      <c r="C646" s="6"/>
      <c r="D646" s="6"/>
      <c r="E646" s="443"/>
      <c r="F646" s="15"/>
      <c r="G646" s="6"/>
      <c r="H646" s="6"/>
      <c r="I646" s="6"/>
      <c r="J646" s="6"/>
      <c r="K646" s="6"/>
      <c r="L646" s="6"/>
      <c r="M646" s="6"/>
      <c r="N646" s="6"/>
      <c r="O646" s="6"/>
      <c r="P646" s="6"/>
      <c r="Q646" s="6"/>
      <c r="R646" s="6"/>
      <c r="S646" s="6"/>
      <c r="T646" s="6"/>
      <c r="U646" s="6"/>
      <c r="V646" s="6"/>
      <c r="W646" s="6"/>
      <c r="X646" s="6"/>
      <c r="Y646" s="6"/>
      <c r="Z646" s="6"/>
    </row>
    <row r="647" spans="1:26">
      <c r="A647" s="174"/>
      <c r="B647" s="6"/>
      <c r="C647" s="6"/>
      <c r="D647" s="6"/>
      <c r="E647" s="443"/>
      <c r="F647" s="15"/>
      <c r="G647" s="6"/>
      <c r="H647" s="6"/>
      <c r="I647" s="6"/>
      <c r="J647" s="6"/>
      <c r="K647" s="6"/>
      <c r="L647" s="6"/>
      <c r="M647" s="6"/>
      <c r="N647" s="6"/>
      <c r="O647" s="6"/>
      <c r="P647" s="6"/>
      <c r="Q647" s="6"/>
      <c r="R647" s="6"/>
      <c r="S647" s="6"/>
      <c r="T647" s="6"/>
      <c r="U647" s="6"/>
      <c r="V647" s="6"/>
      <c r="W647" s="6"/>
      <c r="X647" s="6"/>
      <c r="Y647" s="6"/>
      <c r="Z647" s="6"/>
    </row>
    <row r="648" spans="1:26">
      <c r="A648" s="174"/>
      <c r="B648" s="6"/>
      <c r="C648" s="6"/>
      <c r="D648" s="6"/>
      <c r="E648" s="443"/>
      <c r="F648" s="15"/>
      <c r="G648" s="6"/>
      <c r="H648" s="6"/>
      <c r="I648" s="6"/>
      <c r="J648" s="6"/>
      <c r="K648" s="6"/>
      <c r="L648" s="6"/>
      <c r="M648" s="6"/>
      <c r="N648" s="6"/>
      <c r="O648" s="6"/>
      <c r="P648" s="6"/>
      <c r="Q648" s="6"/>
      <c r="R648" s="6"/>
      <c r="S648" s="6"/>
      <c r="T648" s="6"/>
      <c r="U648" s="6"/>
      <c r="V648" s="6"/>
      <c r="W648" s="6"/>
      <c r="X648" s="6"/>
      <c r="Y648" s="6"/>
      <c r="Z648" s="6"/>
    </row>
    <row r="649" spans="1:26">
      <c r="A649" s="174"/>
      <c r="B649" s="6"/>
      <c r="C649" s="6"/>
      <c r="D649" s="6"/>
      <c r="E649" s="443"/>
      <c r="F649" s="15"/>
      <c r="G649" s="6"/>
      <c r="H649" s="6"/>
      <c r="I649" s="6"/>
      <c r="J649" s="6"/>
      <c r="K649" s="6"/>
      <c r="L649" s="6"/>
      <c r="M649" s="6"/>
      <c r="N649" s="6"/>
      <c r="O649" s="6"/>
      <c r="P649" s="6"/>
      <c r="Q649" s="6"/>
      <c r="R649" s="6"/>
      <c r="S649" s="6"/>
      <c r="T649" s="6"/>
      <c r="U649" s="6"/>
      <c r="V649" s="6"/>
      <c r="W649" s="6"/>
      <c r="X649" s="6"/>
      <c r="Y649" s="6"/>
      <c r="Z649" s="6"/>
    </row>
    <row r="650" spans="1:26">
      <c r="A650" s="174"/>
      <c r="B650" s="6"/>
      <c r="C650" s="6"/>
      <c r="D650" s="6"/>
      <c r="E650" s="443"/>
      <c r="F650" s="15"/>
      <c r="G650" s="6"/>
      <c r="H650" s="6"/>
      <c r="I650" s="6"/>
      <c r="J650" s="6"/>
      <c r="K650" s="6"/>
      <c r="L650" s="6"/>
      <c r="M650" s="6"/>
      <c r="N650" s="6"/>
      <c r="O650" s="6"/>
      <c r="P650" s="6"/>
      <c r="Q650" s="6"/>
      <c r="R650" s="6"/>
      <c r="S650" s="6"/>
      <c r="T650" s="6"/>
      <c r="U650" s="6"/>
      <c r="V650" s="6"/>
      <c r="W650" s="6"/>
      <c r="X650" s="6"/>
      <c r="Y650" s="6"/>
      <c r="Z650" s="6"/>
    </row>
    <row r="651" spans="1:26">
      <c r="A651" s="174"/>
      <c r="B651" s="6"/>
      <c r="C651" s="6"/>
      <c r="D651" s="6"/>
      <c r="E651" s="443"/>
      <c r="F651" s="15"/>
      <c r="G651" s="6"/>
      <c r="H651" s="6"/>
      <c r="I651" s="6"/>
      <c r="J651" s="6"/>
      <c r="K651" s="6"/>
      <c r="L651" s="6"/>
      <c r="M651" s="6"/>
      <c r="N651" s="6"/>
      <c r="O651" s="6"/>
      <c r="P651" s="6"/>
      <c r="Q651" s="6"/>
      <c r="R651" s="6"/>
      <c r="S651" s="6"/>
      <c r="T651" s="6"/>
      <c r="U651" s="6"/>
      <c r="V651" s="6"/>
      <c r="W651" s="6"/>
      <c r="X651" s="6"/>
      <c r="Y651" s="6"/>
      <c r="Z651" s="6"/>
    </row>
    <row r="652" spans="1:26">
      <c r="A652" s="174"/>
      <c r="B652" s="6"/>
      <c r="C652" s="6"/>
      <c r="D652" s="6"/>
      <c r="E652" s="443"/>
      <c r="F652" s="15"/>
      <c r="G652" s="6"/>
      <c r="H652" s="6"/>
      <c r="I652" s="6"/>
      <c r="J652" s="6"/>
      <c r="K652" s="6"/>
      <c r="L652" s="6"/>
      <c r="M652" s="6"/>
      <c r="N652" s="6"/>
      <c r="O652" s="6"/>
      <c r="P652" s="6"/>
      <c r="Q652" s="6"/>
      <c r="R652" s="6"/>
      <c r="S652" s="6"/>
      <c r="T652" s="6"/>
      <c r="U652" s="6"/>
      <c r="V652" s="6"/>
      <c r="W652" s="6"/>
      <c r="X652" s="6"/>
      <c r="Y652" s="6"/>
      <c r="Z652" s="6"/>
    </row>
    <row r="653" spans="1:26">
      <c r="A653" s="174"/>
      <c r="B653" s="6"/>
      <c r="C653" s="6"/>
      <c r="D653" s="6"/>
      <c r="E653" s="443"/>
      <c r="F653" s="15"/>
      <c r="G653" s="6"/>
      <c r="H653" s="6"/>
      <c r="I653" s="6"/>
      <c r="J653" s="6"/>
      <c r="K653" s="6"/>
      <c r="L653" s="6"/>
      <c r="M653" s="6"/>
      <c r="N653" s="6"/>
      <c r="O653" s="6"/>
      <c r="P653" s="6"/>
      <c r="Q653" s="6"/>
      <c r="R653" s="6"/>
      <c r="S653" s="6"/>
      <c r="T653" s="6"/>
      <c r="U653" s="6"/>
      <c r="V653" s="6"/>
      <c r="W653" s="6"/>
      <c r="X653" s="6"/>
      <c r="Y653" s="6"/>
      <c r="Z653" s="6"/>
    </row>
    <row r="654" spans="1:26">
      <c r="A654" s="174"/>
      <c r="B654" s="6"/>
      <c r="C654" s="6"/>
      <c r="D654" s="6"/>
      <c r="E654" s="443"/>
      <c r="F654" s="15"/>
      <c r="G654" s="6"/>
      <c r="H654" s="6"/>
      <c r="I654" s="6"/>
      <c r="J654" s="6"/>
      <c r="K654" s="6"/>
      <c r="L654" s="6"/>
      <c r="M654" s="6"/>
      <c r="N654" s="6"/>
      <c r="O654" s="6"/>
      <c r="P654" s="6"/>
      <c r="Q654" s="6"/>
      <c r="R654" s="6"/>
      <c r="S654" s="6"/>
      <c r="T654" s="6"/>
      <c r="U654" s="6"/>
      <c r="V654" s="6"/>
      <c r="W654" s="6"/>
      <c r="X654" s="6"/>
      <c r="Y654" s="6"/>
      <c r="Z654" s="6"/>
    </row>
    <row r="655" spans="1:26">
      <c r="A655" s="174"/>
      <c r="B655" s="6"/>
      <c r="C655" s="6"/>
      <c r="D655" s="6"/>
      <c r="E655" s="443"/>
      <c r="F655" s="15"/>
      <c r="G655" s="6"/>
      <c r="H655" s="6"/>
      <c r="I655" s="6"/>
      <c r="J655" s="6"/>
      <c r="K655" s="6"/>
      <c r="L655" s="6"/>
      <c r="M655" s="6"/>
      <c r="N655" s="6"/>
      <c r="O655" s="6"/>
      <c r="P655" s="6"/>
      <c r="Q655" s="6"/>
      <c r="R655" s="6"/>
      <c r="S655" s="6"/>
      <c r="T655" s="6"/>
      <c r="U655" s="6"/>
      <c r="V655" s="6"/>
      <c r="W655" s="6"/>
      <c r="X655" s="6"/>
      <c r="Y655" s="6"/>
      <c r="Z655" s="6"/>
    </row>
    <row r="656" spans="1:26">
      <c r="A656" s="174"/>
      <c r="B656" s="6"/>
      <c r="C656" s="6"/>
      <c r="D656" s="6"/>
      <c r="E656" s="443"/>
      <c r="F656" s="15"/>
      <c r="G656" s="6"/>
      <c r="H656" s="6"/>
      <c r="I656" s="6"/>
      <c r="J656" s="6"/>
      <c r="K656" s="6"/>
      <c r="L656" s="6"/>
      <c r="M656" s="6"/>
      <c r="N656" s="6"/>
      <c r="O656" s="6"/>
      <c r="P656" s="6"/>
      <c r="Q656" s="6"/>
      <c r="R656" s="6"/>
      <c r="S656" s="6"/>
      <c r="T656" s="6"/>
      <c r="U656" s="6"/>
      <c r="V656" s="6"/>
      <c r="W656" s="6"/>
      <c r="X656" s="6"/>
      <c r="Y656" s="6"/>
      <c r="Z656" s="6"/>
    </row>
    <row r="657" spans="1:26">
      <c r="A657" s="174"/>
      <c r="B657" s="6"/>
      <c r="C657" s="6"/>
      <c r="D657" s="6"/>
      <c r="E657" s="443"/>
      <c r="F657" s="15"/>
      <c r="G657" s="6"/>
      <c r="H657" s="6"/>
      <c r="I657" s="6"/>
      <c r="J657" s="6"/>
      <c r="K657" s="6"/>
      <c r="L657" s="6"/>
      <c r="M657" s="6"/>
      <c r="N657" s="6"/>
      <c r="O657" s="6"/>
      <c r="P657" s="6"/>
      <c r="Q657" s="6"/>
      <c r="R657" s="6"/>
      <c r="S657" s="6"/>
      <c r="T657" s="6"/>
      <c r="U657" s="6"/>
      <c r="V657" s="6"/>
      <c r="W657" s="6"/>
      <c r="X657" s="6"/>
      <c r="Y657" s="6"/>
      <c r="Z657" s="6"/>
    </row>
    <row r="658" spans="1:26">
      <c r="A658" s="174"/>
      <c r="B658" s="6"/>
      <c r="C658" s="6"/>
      <c r="D658" s="6"/>
      <c r="E658" s="443"/>
      <c r="F658" s="15"/>
      <c r="G658" s="6"/>
      <c r="H658" s="6"/>
      <c r="I658" s="6"/>
      <c r="J658" s="6"/>
      <c r="K658" s="6"/>
      <c r="L658" s="6"/>
      <c r="M658" s="6"/>
      <c r="N658" s="6"/>
      <c r="O658" s="6"/>
      <c r="P658" s="6"/>
      <c r="Q658" s="6"/>
      <c r="R658" s="6"/>
      <c r="S658" s="6"/>
      <c r="T658" s="6"/>
      <c r="U658" s="6"/>
      <c r="V658" s="6"/>
      <c r="W658" s="6"/>
      <c r="X658" s="6"/>
      <c r="Y658" s="6"/>
      <c r="Z658" s="6"/>
    </row>
    <row r="659" spans="1:26">
      <c r="A659" s="174"/>
      <c r="B659" s="6"/>
      <c r="C659" s="6"/>
      <c r="D659" s="6"/>
      <c r="E659" s="443"/>
      <c r="F659" s="15"/>
      <c r="G659" s="6"/>
      <c r="H659" s="6"/>
      <c r="I659" s="6"/>
      <c r="J659" s="6"/>
      <c r="K659" s="6"/>
      <c r="L659" s="6"/>
      <c r="M659" s="6"/>
      <c r="N659" s="6"/>
      <c r="O659" s="6"/>
      <c r="P659" s="6"/>
      <c r="Q659" s="6"/>
      <c r="R659" s="6"/>
      <c r="S659" s="6"/>
      <c r="T659" s="6"/>
      <c r="U659" s="6"/>
      <c r="V659" s="6"/>
      <c r="W659" s="6"/>
      <c r="X659" s="6"/>
      <c r="Y659" s="6"/>
      <c r="Z659" s="6"/>
    </row>
    <row r="660" spans="1:26">
      <c r="A660" s="174"/>
      <c r="B660" s="6"/>
      <c r="C660" s="6"/>
      <c r="D660" s="6"/>
      <c r="E660" s="443"/>
      <c r="F660" s="15"/>
      <c r="G660" s="6"/>
      <c r="H660" s="6"/>
      <c r="I660" s="6"/>
      <c r="J660" s="6"/>
      <c r="K660" s="6"/>
      <c r="L660" s="6"/>
      <c r="M660" s="6"/>
      <c r="N660" s="6"/>
      <c r="O660" s="6"/>
      <c r="P660" s="6"/>
      <c r="Q660" s="6"/>
      <c r="R660" s="6"/>
      <c r="S660" s="6"/>
      <c r="T660" s="6"/>
      <c r="U660" s="6"/>
      <c r="V660" s="6"/>
      <c r="W660" s="6"/>
      <c r="X660" s="6"/>
      <c r="Y660" s="6"/>
      <c r="Z660" s="6"/>
    </row>
    <row r="661" spans="1:26">
      <c r="A661" s="174"/>
      <c r="B661" s="6"/>
      <c r="C661" s="6"/>
      <c r="D661" s="6"/>
      <c r="E661" s="443"/>
      <c r="F661" s="15"/>
      <c r="G661" s="6"/>
      <c r="H661" s="6"/>
      <c r="I661" s="6"/>
      <c r="J661" s="6"/>
      <c r="K661" s="6"/>
      <c r="L661" s="6"/>
      <c r="M661" s="6"/>
      <c r="N661" s="6"/>
      <c r="O661" s="6"/>
      <c r="P661" s="6"/>
      <c r="Q661" s="6"/>
      <c r="R661" s="6"/>
      <c r="S661" s="6"/>
      <c r="T661" s="6"/>
      <c r="U661" s="6"/>
      <c r="V661" s="6"/>
      <c r="W661" s="6"/>
      <c r="X661" s="6"/>
      <c r="Y661" s="6"/>
      <c r="Z661" s="6"/>
    </row>
    <row r="662" spans="1:26">
      <c r="A662" s="174"/>
      <c r="B662" s="6"/>
      <c r="C662" s="6"/>
      <c r="D662" s="6"/>
      <c r="E662" s="443"/>
      <c r="F662" s="15"/>
      <c r="G662" s="6"/>
      <c r="H662" s="6"/>
      <c r="I662" s="6"/>
      <c r="J662" s="6"/>
      <c r="K662" s="6"/>
      <c r="L662" s="6"/>
      <c r="M662" s="6"/>
      <c r="N662" s="6"/>
      <c r="O662" s="6"/>
      <c r="P662" s="6"/>
      <c r="Q662" s="6"/>
      <c r="R662" s="6"/>
      <c r="S662" s="6"/>
      <c r="T662" s="6"/>
      <c r="U662" s="6"/>
      <c r="V662" s="6"/>
      <c r="W662" s="6"/>
      <c r="X662" s="6"/>
      <c r="Y662" s="6"/>
      <c r="Z662" s="6"/>
    </row>
    <row r="663" spans="1:26">
      <c r="A663" s="174"/>
      <c r="B663" s="6"/>
      <c r="C663" s="6"/>
      <c r="D663" s="6"/>
      <c r="E663" s="443"/>
      <c r="F663" s="15"/>
      <c r="G663" s="6"/>
      <c r="H663" s="6"/>
      <c r="I663" s="6"/>
      <c r="J663" s="6"/>
      <c r="K663" s="6"/>
      <c r="L663" s="6"/>
      <c r="M663" s="6"/>
      <c r="N663" s="6"/>
      <c r="O663" s="6"/>
      <c r="P663" s="6"/>
      <c r="Q663" s="6"/>
      <c r="R663" s="6"/>
      <c r="S663" s="6"/>
      <c r="T663" s="6"/>
      <c r="U663" s="6"/>
      <c r="V663" s="6"/>
      <c r="W663" s="6"/>
      <c r="X663" s="6"/>
      <c r="Y663" s="6"/>
      <c r="Z663" s="6"/>
    </row>
    <row r="664" spans="1:26">
      <c r="A664" s="174"/>
      <c r="B664" s="6"/>
      <c r="C664" s="6"/>
      <c r="D664" s="6"/>
      <c r="E664" s="443"/>
      <c r="F664" s="15"/>
      <c r="G664" s="6"/>
      <c r="H664" s="6"/>
      <c r="I664" s="6"/>
      <c r="J664" s="6"/>
      <c r="K664" s="6"/>
      <c r="L664" s="6"/>
      <c r="M664" s="6"/>
      <c r="N664" s="6"/>
      <c r="O664" s="6"/>
      <c r="P664" s="6"/>
      <c r="Q664" s="6"/>
      <c r="R664" s="6"/>
      <c r="S664" s="6"/>
      <c r="T664" s="6"/>
      <c r="U664" s="6"/>
      <c r="V664" s="6"/>
      <c r="W664" s="6"/>
      <c r="X664" s="6"/>
      <c r="Y664" s="6"/>
      <c r="Z664" s="6"/>
    </row>
    <row r="665" spans="1:26">
      <c r="A665" s="174"/>
      <c r="B665" s="6"/>
      <c r="C665" s="6"/>
      <c r="D665" s="6"/>
      <c r="E665" s="443"/>
      <c r="F665" s="15"/>
      <c r="G665" s="6"/>
      <c r="H665" s="6"/>
      <c r="I665" s="6"/>
      <c r="J665" s="6"/>
      <c r="K665" s="6"/>
      <c r="L665" s="6"/>
      <c r="M665" s="6"/>
      <c r="N665" s="6"/>
      <c r="O665" s="6"/>
      <c r="P665" s="6"/>
      <c r="Q665" s="6"/>
      <c r="R665" s="6"/>
      <c r="S665" s="6"/>
      <c r="T665" s="6"/>
      <c r="U665" s="6"/>
      <c r="V665" s="6"/>
      <c r="W665" s="6"/>
      <c r="X665" s="6"/>
      <c r="Y665" s="6"/>
      <c r="Z665" s="6"/>
    </row>
    <row r="666" spans="1:26">
      <c r="A666" s="174"/>
      <c r="B666" s="6"/>
      <c r="C666" s="6"/>
      <c r="D666" s="6"/>
      <c r="E666" s="443"/>
      <c r="F666" s="15"/>
      <c r="G666" s="6"/>
      <c r="H666" s="6"/>
      <c r="I666" s="6"/>
      <c r="J666" s="6"/>
      <c r="K666" s="6"/>
      <c r="L666" s="6"/>
      <c r="M666" s="6"/>
      <c r="N666" s="6"/>
      <c r="O666" s="6"/>
      <c r="P666" s="6"/>
      <c r="Q666" s="6"/>
      <c r="R666" s="6"/>
      <c r="S666" s="6"/>
      <c r="T666" s="6"/>
      <c r="U666" s="6"/>
      <c r="V666" s="6"/>
      <c r="W666" s="6"/>
      <c r="X666" s="6"/>
      <c r="Y666" s="6"/>
      <c r="Z666" s="6"/>
    </row>
    <row r="667" spans="1:26">
      <c r="A667" s="174"/>
      <c r="B667" s="6"/>
      <c r="C667" s="6"/>
      <c r="D667" s="6"/>
      <c r="E667" s="443"/>
      <c r="F667" s="15"/>
      <c r="G667" s="6"/>
      <c r="H667" s="6"/>
      <c r="I667" s="6"/>
      <c r="J667" s="6"/>
      <c r="K667" s="6"/>
      <c r="L667" s="6"/>
      <c r="M667" s="6"/>
      <c r="N667" s="6"/>
      <c r="O667" s="6"/>
      <c r="P667" s="6"/>
      <c r="Q667" s="6"/>
      <c r="R667" s="6"/>
      <c r="S667" s="6"/>
      <c r="T667" s="6"/>
      <c r="U667" s="6"/>
      <c r="V667" s="6"/>
      <c r="W667" s="6"/>
      <c r="X667" s="6"/>
      <c r="Y667" s="6"/>
      <c r="Z667" s="6"/>
    </row>
    <row r="668" spans="1:26">
      <c r="A668" s="174"/>
      <c r="B668" s="6"/>
      <c r="C668" s="6"/>
      <c r="D668" s="6"/>
      <c r="E668" s="443"/>
      <c r="F668" s="15"/>
      <c r="G668" s="6"/>
      <c r="H668" s="6"/>
      <c r="I668" s="6"/>
      <c r="J668" s="6"/>
      <c r="K668" s="6"/>
      <c r="L668" s="6"/>
      <c r="M668" s="6"/>
      <c r="N668" s="6"/>
      <c r="O668" s="6"/>
      <c r="P668" s="6"/>
      <c r="Q668" s="6"/>
      <c r="R668" s="6"/>
      <c r="S668" s="6"/>
      <c r="T668" s="6"/>
      <c r="U668" s="6"/>
      <c r="V668" s="6"/>
      <c r="W668" s="6"/>
      <c r="X668" s="6"/>
      <c r="Y668" s="6"/>
      <c r="Z668" s="6"/>
    </row>
    <row r="669" spans="1:26">
      <c r="A669" s="174"/>
      <c r="B669" s="6"/>
      <c r="C669" s="6"/>
      <c r="D669" s="6"/>
      <c r="E669" s="443"/>
      <c r="F669" s="15"/>
      <c r="G669" s="6"/>
      <c r="H669" s="6"/>
      <c r="I669" s="6"/>
      <c r="J669" s="6"/>
      <c r="K669" s="6"/>
      <c r="L669" s="6"/>
      <c r="M669" s="6"/>
      <c r="N669" s="6"/>
      <c r="O669" s="6"/>
      <c r="P669" s="6"/>
      <c r="Q669" s="6"/>
      <c r="R669" s="6"/>
      <c r="S669" s="6"/>
      <c r="T669" s="6"/>
      <c r="U669" s="6"/>
      <c r="V669" s="6"/>
      <c r="W669" s="6"/>
      <c r="X669" s="6"/>
      <c r="Y669" s="6"/>
      <c r="Z669" s="6"/>
    </row>
    <row r="670" spans="1:26">
      <c r="A670" s="174"/>
      <c r="B670" s="6"/>
      <c r="C670" s="6"/>
      <c r="D670" s="6"/>
      <c r="E670" s="443"/>
      <c r="F670" s="15"/>
      <c r="G670" s="6"/>
      <c r="H670" s="6"/>
      <c r="I670" s="6"/>
      <c r="J670" s="6"/>
      <c r="K670" s="6"/>
      <c r="L670" s="6"/>
      <c r="M670" s="6"/>
      <c r="N670" s="6"/>
      <c r="O670" s="6"/>
      <c r="P670" s="6"/>
      <c r="Q670" s="6"/>
      <c r="R670" s="6"/>
      <c r="S670" s="6"/>
      <c r="T670" s="6"/>
      <c r="U670" s="6"/>
      <c r="V670" s="6"/>
      <c r="W670" s="6"/>
      <c r="X670" s="6"/>
      <c r="Y670" s="6"/>
      <c r="Z670" s="6"/>
    </row>
    <row r="671" spans="1:26">
      <c r="A671" s="174"/>
      <c r="B671" s="6"/>
      <c r="C671" s="6"/>
      <c r="D671" s="6"/>
      <c r="E671" s="443"/>
      <c r="F671" s="15"/>
      <c r="G671" s="6"/>
      <c r="H671" s="6"/>
      <c r="I671" s="6"/>
      <c r="J671" s="6"/>
      <c r="K671" s="6"/>
      <c r="L671" s="6"/>
      <c r="M671" s="6"/>
      <c r="N671" s="6"/>
      <c r="O671" s="6"/>
      <c r="P671" s="6"/>
      <c r="Q671" s="6"/>
      <c r="R671" s="6"/>
      <c r="S671" s="6"/>
      <c r="T671" s="6"/>
      <c r="U671" s="6"/>
      <c r="V671" s="6"/>
      <c r="W671" s="6"/>
      <c r="X671" s="6"/>
      <c r="Y671" s="6"/>
      <c r="Z671" s="6"/>
    </row>
    <row r="672" spans="1:26">
      <c r="A672" s="174"/>
      <c r="B672" s="6"/>
      <c r="C672" s="6"/>
      <c r="D672" s="6"/>
      <c r="E672" s="443"/>
      <c r="F672" s="15"/>
      <c r="G672" s="6"/>
      <c r="H672" s="6"/>
      <c r="I672" s="6"/>
      <c r="J672" s="6"/>
      <c r="K672" s="6"/>
      <c r="L672" s="6"/>
      <c r="M672" s="6"/>
      <c r="N672" s="6"/>
      <c r="O672" s="6"/>
      <c r="P672" s="6"/>
      <c r="Q672" s="6"/>
      <c r="R672" s="6"/>
      <c r="S672" s="6"/>
      <c r="T672" s="6"/>
      <c r="U672" s="6"/>
      <c r="V672" s="6"/>
      <c r="W672" s="6"/>
      <c r="X672" s="6"/>
      <c r="Y672" s="6"/>
      <c r="Z672" s="6"/>
    </row>
    <row r="673" spans="1:26">
      <c r="A673" s="174"/>
      <c r="B673" s="6"/>
      <c r="C673" s="6"/>
      <c r="D673" s="6"/>
      <c r="E673" s="443"/>
      <c r="F673" s="15"/>
      <c r="G673" s="6"/>
      <c r="H673" s="6"/>
      <c r="I673" s="6"/>
      <c r="J673" s="6"/>
      <c r="K673" s="6"/>
      <c r="L673" s="6"/>
      <c r="M673" s="6"/>
      <c r="N673" s="6"/>
      <c r="O673" s="6"/>
      <c r="P673" s="6"/>
      <c r="Q673" s="6"/>
      <c r="R673" s="6"/>
      <c r="S673" s="6"/>
      <c r="T673" s="6"/>
      <c r="U673" s="6"/>
      <c r="V673" s="6"/>
      <c r="W673" s="6"/>
      <c r="X673" s="6"/>
      <c r="Y673" s="6"/>
      <c r="Z673" s="6"/>
    </row>
    <row r="674" spans="1:26">
      <c r="A674" s="174"/>
      <c r="B674" s="6"/>
      <c r="C674" s="6"/>
      <c r="D674" s="6"/>
      <c r="E674" s="443"/>
      <c r="F674" s="15"/>
      <c r="G674" s="6"/>
      <c r="H674" s="6"/>
      <c r="I674" s="6"/>
      <c r="J674" s="6"/>
      <c r="K674" s="6"/>
      <c r="L674" s="6"/>
      <c r="M674" s="6"/>
      <c r="N674" s="6"/>
      <c r="O674" s="6"/>
      <c r="P674" s="6"/>
      <c r="Q674" s="6"/>
      <c r="R674" s="6"/>
      <c r="S674" s="6"/>
      <c r="T674" s="6"/>
      <c r="U674" s="6"/>
      <c r="V674" s="6"/>
      <c r="W674" s="6"/>
      <c r="X674" s="6"/>
      <c r="Y674" s="6"/>
      <c r="Z674" s="6"/>
    </row>
    <row r="675" spans="1:26">
      <c r="A675" s="174"/>
      <c r="B675" s="6"/>
      <c r="C675" s="6"/>
      <c r="D675" s="6"/>
      <c r="E675" s="443"/>
      <c r="F675" s="15"/>
      <c r="G675" s="6"/>
      <c r="H675" s="6"/>
      <c r="I675" s="6"/>
      <c r="J675" s="6"/>
      <c r="K675" s="6"/>
      <c r="L675" s="6"/>
      <c r="M675" s="6"/>
      <c r="N675" s="6"/>
      <c r="O675" s="6"/>
      <c r="P675" s="6"/>
      <c r="Q675" s="6"/>
      <c r="R675" s="6"/>
      <c r="S675" s="6"/>
      <c r="T675" s="6"/>
      <c r="U675" s="6"/>
      <c r="V675" s="6"/>
      <c r="W675" s="6"/>
      <c r="X675" s="6"/>
      <c r="Y675" s="6"/>
      <c r="Z675" s="6"/>
    </row>
    <row r="676" spans="1:26">
      <c r="A676" s="174"/>
      <c r="B676" s="6"/>
      <c r="C676" s="6"/>
      <c r="D676" s="6"/>
      <c r="E676" s="443"/>
      <c r="F676" s="15"/>
      <c r="G676" s="6"/>
      <c r="H676" s="6"/>
      <c r="I676" s="6"/>
      <c r="J676" s="6"/>
      <c r="K676" s="6"/>
      <c r="L676" s="6"/>
      <c r="M676" s="6"/>
      <c r="N676" s="6"/>
      <c r="O676" s="6"/>
      <c r="P676" s="6"/>
      <c r="Q676" s="6"/>
      <c r="R676" s="6"/>
      <c r="S676" s="6"/>
      <c r="T676" s="6"/>
      <c r="U676" s="6"/>
      <c r="V676" s="6"/>
      <c r="W676" s="6"/>
      <c r="X676" s="6"/>
      <c r="Y676" s="6"/>
      <c r="Z676" s="6"/>
    </row>
    <row r="677" spans="1:26">
      <c r="A677" s="174"/>
      <c r="B677" s="6"/>
      <c r="C677" s="6"/>
      <c r="D677" s="6"/>
      <c r="E677" s="443"/>
      <c r="F677" s="15"/>
      <c r="G677" s="6"/>
      <c r="H677" s="6"/>
      <c r="I677" s="6"/>
      <c r="J677" s="6"/>
      <c r="K677" s="6"/>
      <c r="L677" s="6"/>
      <c r="M677" s="6"/>
      <c r="N677" s="6"/>
      <c r="O677" s="6"/>
      <c r="P677" s="6"/>
      <c r="Q677" s="6"/>
      <c r="R677" s="6"/>
      <c r="S677" s="6"/>
      <c r="T677" s="6"/>
      <c r="U677" s="6"/>
      <c r="V677" s="6"/>
      <c r="W677" s="6"/>
      <c r="X677" s="6"/>
      <c r="Y677" s="6"/>
      <c r="Z677" s="6"/>
    </row>
    <row r="678" spans="1:26">
      <c r="A678" s="174"/>
      <c r="B678" s="6"/>
      <c r="C678" s="6"/>
      <c r="D678" s="6"/>
      <c r="E678" s="443"/>
      <c r="F678" s="15"/>
      <c r="G678" s="6"/>
      <c r="H678" s="6"/>
      <c r="I678" s="6"/>
      <c r="J678" s="6"/>
      <c r="K678" s="6"/>
      <c r="L678" s="6"/>
      <c r="M678" s="6"/>
      <c r="N678" s="6"/>
      <c r="O678" s="6"/>
      <c r="P678" s="6"/>
      <c r="Q678" s="6"/>
      <c r="R678" s="6"/>
      <c r="S678" s="6"/>
      <c r="T678" s="6"/>
      <c r="U678" s="6"/>
      <c r="V678" s="6"/>
      <c r="W678" s="6"/>
      <c r="X678" s="6"/>
      <c r="Y678" s="6"/>
      <c r="Z678" s="6"/>
    </row>
    <row r="679" spans="1:26">
      <c r="A679" s="174"/>
      <c r="B679" s="6"/>
      <c r="C679" s="6"/>
      <c r="D679" s="6"/>
      <c r="E679" s="443"/>
      <c r="F679" s="15"/>
      <c r="G679" s="6"/>
      <c r="H679" s="6"/>
      <c r="I679" s="6"/>
      <c r="J679" s="6"/>
      <c r="K679" s="6"/>
      <c r="L679" s="6"/>
      <c r="M679" s="6"/>
      <c r="N679" s="6"/>
      <c r="O679" s="6"/>
      <c r="P679" s="6"/>
      <c r="Q679" s="6"/>
      <c r="R679" s="6"/>
      <c r="S679" s="6"/>
      <c r="T679" s="6"/>
      <c r="U679" s="6"/>
      <c r="V679" s="6"/>
      <c r="W679" s="6"/>
      <c r="X679" s="6"/>
      <c r="Y679" s="6"/>
      <c r="Z679" s="6"/>
    </row>
    <row r="680" spans="1:26">
      <c r="A680" s="174"/>
      <c r="B680" s="6"/>
      <c r="C680" s="6"/>
      <c r="D680" s="6"/>
      <c r="E680" s="443"/>
      <c r="F680" s="15"/>
      <c r="G680" s="6"/>
      <c r="H680" s="6"/>
      <c r="I680" s="6"/>
      <c r="J680" s="6"/>
      <c r="K680" s="6"/>
      <c r="L680" s="6"/>
      <c r="M680" s="6"/>
      <c r="N680" s="6"/>
      <c r="O680" s="6"/>
      <c r="P680" s="6"/>
      <c r="Q680" s="6"/>
      <c r="R680" s="6"/>
      <c r="S680" s="6"/>
      <c r="T680" s="6"/>
      <c r="U680" s="6"/>
      <c r="V680" s="6"/>
      <c r="W680" s="6"/>
      <c r="X680" s="6"/>
      <c r="Y680" s="6"/>
      <c r="Z680" s="6"/>
    </row>
    <row r="681" spans="1:26">
      <c r="A681" s="174"/>
      <c r="B681" s="6"/>
      <c r="C681" s="6"/>
      <c r="D681" s="6"/>
      <c r="E681" s="443"/>
      <c r="F681" s="15"/>
      <c r="G681" s="6"/>
      <c r="H681" s="6"/>
      <c r="I681" s="6"/>
      <c r="J681" s="6"/>
      <c r="K681" s="6"/>
      <c r="L681" s="6"/>
      <c r="M681" s="6"/>
      <c r="N681" s="6"/>
      <c r="O681" s="6"/>
      <c r="P681" s="6"/>
      <c r="Q681" s="6"/>
      <c r="R681" s="6"/>
      <c r="S681" s="6"/>
      <c r="T681" s="6"/>
      <c r="U681" s="6"/>
      <c r="V681" s="6"/>
      <c r="W681" s="6"/>
      <c r="X681" s="6"/>
      <c r="Y681" s="6"/>
      <c r="Z681" s="6"/>
    </row>
    <row r="682" spans="1:26">
      <c r="A682" s="174"/>
      <c r="B682" s="6"/>
      <c r="C682" s="6"/>
      <c r="D682" s="6"/>
      <c r="E682" s="443"/>
      <c r="F682" s="15"/>
      <c r="G682" s="6"/>
      <c r="H682" s="6"/>
      <c r="I682" s="6"/>
      <c r="J682" s="6"/>
      <c r="K682" s="6"/>
      <c r="L682" s="6"/>
      <c r="M682" s="6"/>
      <c r="N682" s="6"/>
      <c r="O682" s="6"/>
      <c r="P682" s="6"/>
      <c r="Q682" s="6"/>
      <c r="R682" s="6"/>
      <c r="S682" s="6"/>
      <c r="T682" s="6"/>
      <c r="U682" s="6"/>
      <c r="V682" s="6"/>
      <c r="W682" s="6"/>
      <c r="X682" s="6"/>
      <c r="Y682" s="6"/>
      <c r="Z682" s="6"/>
    </row>
    <row r="683" spans="1:26">
      <c r="A683" s="174"/>
      <c r="B683" s="6"/>
      <c r="C683" s="6"/>
      <c r="D683" s="6"/>
      <c r="E683" s="443"/>
      <c r="F683" s="15"/>
      <c r="G683" s="6"/>
      <c r="H683" s="6"/>
      <c r="I683" s="6"/>
      <c r="J683" s="6"/>
      <c r="K683" s="6"/>
      <c r="L683" s="6"/>
      <c r="M683" s="6"/>
      <c r="N683" s="6"/>
      <c r="O683" s="6"/>
      <c r="P683" s="6"/>
      <c r="Q683" s="6"/>
      <c r="R683" s="6"/>
      <c r="S683" s="6"/>
      <c r="T683" s="6"/>
      <c r="U683" s="6"/>
      <c r="V683" s="6"/>
      <c r="W683" s="6"/>
      <c r="X683" s="6"/>
      <c r="Y683" s="6"/>
      <c r="Z683" s="6"/>
    </row>
    <row r="684" spans="1:26">
      <c r="A684" s="174"/>
      <c r="B684" s="6"/>
      <c r="C684" s="6"/>
      <c r="D684" s="6"/>
      <c r="E684" s="443"/>
      <c r="F684" s="15"/>
      <c r="G684" s="6"/>
      <c r="H684" s="6"/>
      <c r="I684" s="6"/>
      <c r="J684" s="6"/>
      <c r="K684" s="6"/>
      <c r="L684" s="6"/>
      <c r="M684" s="6"/>
      <c r="N684" s="6"/>
      <c r="O684" s="6"/>
      <c r="P684" s="6"/>
      <c r="Q684" s="6"/>
      <c r="R684" s="6"/>
      <c r="S684" s="6"/>
      <c r="T684" s="6"/>
      <c r="U684" s="6"/>
      <c r="V684" s="6"/>
      <c r="W684" s="6"/>
      <c r="X684" s="6"/>
      <c r="Y684" s="6"/>
      <c r="Z684" s="6"/>
    </row>
    <row r="685" spans="1:26">
      <c r="A685" s="174"/>
      <c r="B685" s="6"/>
      <c r="C685" s="6"/>
      <c r="D685" s="6"/>
      <c r="E685" s="443"/>
      <c r="F685" s="15"/>
      <c r="G685" s="6"/>
      <c r="H685" s="6"/>
      <c r="I685" s="6"/>
      <c r="J685" s="6"/>
      <c r="K685" s="6"/>
      <c r="L685" s="6"/>
      <c r="M685" s="6"/>
      <c r="N685" s="6"/>
      <c r="O685" s="6"/>
      <c r="P685" s="6"/>
      <c r="Q685" s="6"/>
      <c r="R685" s="6"/>
      <c r="S685" s="6"/>
      <c r="T685" s="6"/>
      <c r="U685" s="6"/>
      <c r="V685" s="6"/>
      <c r="W685" s="6"/>
      <c r="X685" s="6"/>
      <c r="Y685" s="6"/>
      <c r="Z685" s="6"/>
    </row>
    <row r="686" spans="1:26">
      <c r="A686" s="174"/>
      <c r="B686" s="6"/>
      <c r="C686" s="6"/>
      <c r="D686" s="6"/>
      <c r="E686" s="443"/>
      <c r="F686" s="15"/>
      <c r="G686" s="6"/>
      <c r="H686" s="6"/>
      <c r="I686" s="6"/>
      <c r="J686" s="6"/>
      <c r="K686" s="6"/>
      <c r="L686" s="6"/>
      <c r="M686" s="6"/>
      <c r="N686" s="6"/>
      <c r="O686" s="6"/>
      <c r="P686" s="6"/>
      <c r="Q686" s="6"/>
      <c r="R686" s="6"/>
      <c r="S686" s="6"/>
      <c r="T686" s="6"/>
      <c r="U686" s="6"/>
      <c r="V686" s="6"/>
      <c r="W686" s="6"/>
      <c r="X686" s="6"/>
      <c r="Y686" s="6"/>
      <c r="Z686" s="6"/>
    </row>
    <row r="687" spans="1:26">
      <c r="A687" s="174"/>
      <c r="B687" s="6"/>
      <c r="C687" s="6"/>
      <c r="D687" s="6"/>
      <c r="E687" s="443"/>
      <c r="F687" s="15"/>
      <c r="G687" s="6"/>
      <c r="H687" s="6"/>
      <c r="I687" s="6"/>
      <c r="J687" s="6"/>
      <c r="K687" s="6"/>
      <c r="L687" s="6"/>
      <c r="M687" s="6"/>
      <c r="N687" s="6"/>
      <c r="O687" s="6"/>
      <c r="P687" s="6"/>
      <c r="Q687" s="6"/>
      <c r="R687" s="6"/>
      <c r="S687" s="6"/>
      <c r="T687" s="6"/>
      <c r="U687" s="6"/>
      <c r="V687" s="6"/>
      <c r="W687" s="6"/>
      <c r="X687" s="6"/>
      <c r="Y687" s="6"/>
      <c r="Z687" s="6"/>
    </row>
    <row r="688" spans="1:26">
      <c r="A688" s="174"/>
      <c r="B688" s="6"/>
      <c r="C688" s="6"/>
      <c r="D688" s="6"/>
      <c r="E688" s="443"/>
      <c r="F688" s="15"/>
      <c r="G688" s="6"/>
      <c r="H688" s="6"/>
      <c r="I688" s="6"/>
      <c r="J688" s="6"/>
      <c r="K688" s="6"/>
      <c r="L688" s="6"/>
      <c r="M688" s="6"/>
      <c r="N688" s="6"/>
      <c r="O688" s="6"/>
      <c r="P688" s="6"/>
      <c r="Q688" s="6"/>
      <c r="R688" s="6"/>
      <c r="S688" s="6"/>
      <c r="T688" s="6"/>
      <c r="U688" s="6"/>
      <c r="V688" s="6"/>
      <c r="W688" s="6"/>
      <c r="X688" s="6"/>
      <c r="Y688" s="6"/>
      <c r="Z688" s="6"/>
    </row>
    <row r="689" spans="1:26">
      <c r="A689" s="174"/>
      <c r="B689" s="6"/>
      <c r="C689" s="6"/>
      <c r="D689" s="6"/>
      <c r="E689" s="443"/>
      <c r="F689" s="15"/>
      <c r="G689" s="6"/>
      <c r="H689" s="6"/>
      <c r="I689" s="6"/>
      <c r="J689" s="6"/>
      <c r="K689" s="6"/>
      <c r="L689" s="6"/>
      <c r="M689" s="6"/>
      <c r="N689" s="6"/>
      <c r="O689" s="6"/>
      <c r="P689" s="6"/>
      <c r="Q689" s="6"/>
      <c r="R689" s="6"/>
      <c r="S689" s="6"/>
      <c r="T689" s="6"/>
      <c r="U689" s="6"/>
      <c r="V689" s="6"/>
      <c r="W689" s="6"/>
      <c r="X689" s="6"/>
      <c r="Y689" s="6"/>
      <c r="Z689" s="6"/>
    </row>
    <row r="690" spans="1:26">
      <c r="A690" s="174"/>
      <c r="B690" s="6"/>
      <c r="C690" s="6"/>
      <c r="D690" s="6"/>
      <c r="E690" s="443"/>
      <c r="F690" s="15"/>
      <c r="G690" s="6"/>
      <c r="H690" s="6"/>
      <c r="I690" s="6"/>
      <c r="J690" s="6"/>
      <c r="K690" s="6"/>
      <c r="L690" s="6"/>
      <c r="M690" s="6"/>
      <c r="N690" s="6"/>
      <c r="O690" s="6"/>
      <c r="P690" s="6"/>
      <c r="Q690" s="6"/>
      <c r="R690" s="6"/>
      <c r="S690" s="6"/>
      <c r="T690" s="6"/>
      <c r="U690" s="6"/>
      <c r="V690" s="6"/>
      <c r="W690" s="6"/>
      <c r="X690" s="6"/>
      <c r="Y690" s="6"/>
      <c r="Z690" s="6"/>
    </row>
    <row r="691" spans="1:26">
      <c r="A691" s="174"/>
      <c r="B691" s="6"/>
      <c r="C691" s="6"/>
      <c r="D691" s="6"/>
      <c r="E691" s="443"/>
      <c r="F691" s="15"/>
      <c r="G691" s="6"/>
      <c r="H691" s="6"/>
      <c r="I691" s="6"/>
      <c r="J691" s="6"/>
      <c r="K691" s="6"/>
      <c r="L691" s="6"/>
      <c r="M691" s="6"/>
      <c r="N691" s="6"/>
      <c r="O691" s="6"/>
      <c r="P691" s="6"/>
      <c r="Q691" s="6"/>
      <c r="R691" s="6"/>
      <c r="S691" s="6"/>
      <c r="T691" s="6"/>
      <c r="U691" s="6"/>
      <c r="V691" s="6"/>
      <c r="W691" s="6"/>
      <c r="X691" s="6"/>
      <c r="Y691" s="6"/>
      <c r="Z691" s="6"/>
    </row>
    <row r="692" spans="1:26">
      <c r="A692" s="174"/>
      <c r="B692" s="6"/>
      <c r="C692" s="6"/>
      <c r="D692" s="6"/>
      <c r="E692" s="443"/>
      <c r="F692" s="15"/>
      <c r="G692" s="6"/>
      <c r="H692" s="6"/>
      <c r="I692" s="6"/>
      <c r="J692" s="6"/>
      <c r="K692" s="6"/>
      <c r="L692" s="6"/>
      <c r="M692" s="6"/>
      <c r="N692" s="6"/>
      <c r="O692" s="6"/>
      <c r="P692" s="6"/>
      <c r="Q692" s="6"/>
      <c r="R692" s="6"/>
      <c r="S692" s="6"/>
      <c r="T692" s="6"/>
      <c r="U692" s="6"/>
      <c r="V692" s="6"/>
      <c r="W692" s="6"/>
      <c r="X692" s="6"/>
      <c r="Y692" s="6"/>
      <c r="Z692" s="6"/>
    </row>
    <row r="693" spans="1:26">
      <c r="A693" s="174"/>
      <c r="B693" s="6"/>
      <c r="C693" s="6"/>
      <c r="D693" s="6"/>
      <c r="E693" s="443"/>
      <c r="F693" s="15"/>
      <c r="G693" s="6"/>
      <c r="H693" s="6"/>
      <c r="I693" s="6"/>
      <c r="J693" s="6"/>
      <c r="K693" s="6"/>
      <c r="L693" s="6"/>
      <c r="M693" s="6"/>
      <c r="N693" s="6"/>
      <c r="O693" s="6"/>
      <c r="P693" s="6"/>
      <c r="Q693" s="6"/>
      <c r="R693" s="6"/>
      <c r="S693" s="6"/>
      <c r="T693" s="6"/>
      <c r="U693" s="6"/>
      <c r="V693" s="6"/>
      <c r="W693" s="6"/>
      <c r="X693" s="6"/>
      <c r="Y693" s="6"/>
      <c r="Z693" s="6"/>
    </row>
    <row r="694" spans="1:26">
      <c r="A694" s="174"/>
      <c r="B694" s="6"/>
      <c r="C694" s="6"/>
      <c r="D694" s="6"/>
      <c r="E694" s="443"/>
      <c r="F694" s="15"/>
      <c r="G694" s="6"/>
      <c r="H694" s="6"/>
      <c r="I694" s="6"/>
      <c r="J694" s="6"/>
      <c r="K694" s="6"/>
      <c r="L694" s="6"/>
      <c r="M694" s="6"/>
      <c r="N694" s="6"/>
      <c r="O694" s="6"/>
      <c r="P694" s="6"/>
      <c r="Q694" s="6"/>
      <c r="R694" s="6"/>
      <c r="S694" s="6"/>
      <c r="T694" s="6"/>
      <c r="U694" s="6"/>
      <c r="V694" s="6"/>
      <c r="W694" s="6"/>
      <c r="X694" s="6"/>
      <c r="Y694" s="6"/>
      <c r="Z694" s="6"/>
    </row>
    <row r="695" spans="1:26">
      <c r="A695" s="174"/>
      <c r="B695" s="6"/>
      <c r="C695" s="6"/>
      <c r="D695" s="6"/>
      <c r="E695" s="443"/>
      <c r="F695" s="15"/>
      <c r="G695" s="6"/>
      <c r="H695" s="6"/>
      <c r="I695" s="6"/>
      <c r="J695" s="6"/>
      <c r="K695" s="6"/>
      <c r="L695" s="6"/>
      <c r="M695" s="6"/>
      <c r="N695" s="6"/>
      <c r="O695" s="6"/>
      <c r="P695" s="6"/>
      <c r="Q695" s="6"/>
      <c r="R695" s="6"/>
      <c r="S695" s="6"/>
      <c r="T695" s="6"/>
      <c r="U695" s="6"/>
      <c r="V695" s="6"/>
      <c r="W695" s="6"/>
      <c r="X695" s="6"/>
      <c r="Y695" s="6"/>
      <c r="Z695" s="6"/>
    </row>
    <row r="696" spans="1:26">
      <c r="A696" s="174"/>
      <c r="B696" s="6"/>
      <c r="C696" s="6"/>
      <c r="D696" s="6"/>
      <c r="E696" s="443"/>
      <c r="F696" s="15"/>
      <c r="G696" s="6"/>
      <c r="H696" s="6"/>
      <c r="I696" s="6"/>
      <c r="J696" s="6"/>
      <c r="K696" s="6"/>
      <c r="L696" s="6"/>
      <c r="M696" s="6"/>
      <c r="N696" s="6"/>
      <c r="O696" s="6"/>
      <c r="P696" s="6"/>
      <c r="Q696" s="6"/>
      <c r="R696" s="6"/>
      <c r="S696" s="6"/>
      <c r="T696" s="6"/>
      <c r="U696" s="6"/>
      <c r="V696" s="6"/>
      <c r="W696" s="6"/>
      <c r="X696" s="6"/>
      <c r="Y696" s="6"/>
      <c r="Z696" s="6"/>
    </row>
    <row r="697" spans="1:26">
      <c r="A697" s="174"/>
      <c r="B697" s="6"/>
      <c r="C697" s="6"/>
      <c r="D697" s="6"/>
      <c r="E697" s="443"/>
      <c r="F697" s="15"/>
      <c r="G697" s="6"/>
      <c r="H697" s="6"/>
      <c r="I697" s="6"/>
      <c r="J697" s="6"/>
      <c r="K697" s="6"/>
      <c r="L697" s="6"/>
      <c r="M697" s="6"/>
      <c r="N697" s="6"/>
      <c r="O697" s="6"/>
      <c r="P697" s="6"/>
      <c r="Q697" s="6"/>
      <c r="R697" s="6"/>
      <c r="S697" s="6"/>
      <c r="T697" s="6"/>
      <c r="U697" s="6"/>
      <c r="V697" s="6"/>
      <c r="W697" s="6"/>
      <c r="X697" s="6"/>
      <c r="Y697" s="6"/>
      <c r="Z697" s="6"/>
    </row>
    <row r="698" spans="1:26">
      <c r="A698" s="174"/>
      <c r="B698" s="6"/>
      <c r="C698" s="6"/>
      <c r="D698" s="6"/>
      <c r="E698" s="443"/>
      <c r="F698" s="15"/>
      <c r="G698" s="6"/>
      <c r="H698" s="6"/>
      <c r="I698" s="6"/>
      <c r="J698" s="6"/>
      <c r="K698" s="6"/>
      <c r="L698" s="6"/>
      <c r="M698" s="6"/>
      <c r="N698" s="6"/>
      <c r="O698" s="6"/>
      <c r="P698" s="6"/>
      <c r="Q698" s="6"/>
      <c r="R698" s="6"/>
      <c r="S698" s="6"/>
      <c r="T698" s="6"/>
      <c r="U698" s="6"/>
      <c r="V698" s="6"/>
      <c r="W698" s="6"/>
      <c r="X698" s="6"/>
      <c r="Y698" s="6"/>
      <c r="Z698" s="6"/>
    </row>
    <row r="699" spans="1:26">
      <c r="A699" s="174"/>
      <c r="B699" s="6"/>
      <c r="C699" s="6"/>
      <c r="D699" s="6"/>
      <c r="E699" s="443"/>
      <c r="F699" s="15"/>
      <c r="G699" s="6"/>
      <c r="H699" s="6"/>
      <c r="I699" s="6"/>
      <c r="J699" s="6"/>
      <c r="K699" s="6"/>
      <c r="L699" s="6"/>
      <c r="M699" s="6"/>
      <c r="N699" s="6"/>
      <c r="O699" s="6"/>
      <c r="P699" s="6"/>
      <c r="Q699" s="6"/>
      <c r="R699" s="6"/>
      <c r="S699" s="6"/>
      <c r="T699" s="6"/>
      <c r="U699" s="6"/>
      <c r="V699" s="6"/>
      <c r="W699" s="6"/>
      <c r="X699" s="6"/>
      <c r="Y699" s="6"/>
      <c r="Z699" s="6"/>
    </row>
    <row r="700" spans="1:26">
      <c r="A700" s="174"/>
      <c r="B700" s="6"/>
      <c r="C700" s="6"/>
      <c r="D700" s="6"/>
      <c r="E700" s="443"/>
      <c r="F700" s="15"/>
      <c r="G700" s="6"/>
      <c r="H700" s="6"/>
      <c r="I700" s="6"/>
      <c r="J700" s="6"/>
      <c r="K700" s="6"/>
      <c r="L700" s="6"/>
      <c r="M700" s="6"/>
      <c r="N700" s="6"/>
      <c r="O700" s="6"/>
      <c r="P700" s="6"/>
      <c r="Q700" s="6"/>
      <c r="R700" s="6"/>
      <c r="S700" s="6"/>
      <c r="T700" s="6"/>
      <c r="U700" s="6"/>
      <c r="V700" s="6"/>
      <c r="W700" s="6"/>
      <c r="X700" s="6"/>
      <c r="Y700" s="6"/>
      <c r="Z700" s="6"/>
    </row>
    <row r="701" spans="1:26">
      <c r="A701" s="174"/>
      <c r="B701" s="6"/>
      <c r="C701" s="6"/>
      <c r="D701" s="6"/>
      <c r="E701" s="443"/>
      <c r="F701" s="15"/>
      <c r="G701" s="6"/>
      <c r="H701" s="6"/>
      <c r="I701" s="6"/>
      <c r="J701" s="6"/>
      <c r="K701" s="6"/>
      <c r="L701" s="6"/>
      <c r="M701" s="6"/>
      <c r="N701" s="6"/>
      <c r="O701" s="6"/>
      <c r="P701" s="6"/>
      <c r="Q701" s="6"/>
      <c r="R701" s="6"/>
      <c r="S701" s="6"/>
      <c r="T701" s="6"/>
      <c r="U701" s="6"/>
      <c r="V701" s="6"/>
      <c r="W701" s="6"/>
      <c r="X701" s="6"/>
      <c r="Y701" s="6"/>
      <c r="Z701" s="6"/>
    </row>
    <row r="702" spans="1:26">
      <c r="A702" s="174"/>
      <c r="B702" s="6"/>
      <c r="C702" s="6"/>
      <c r="D702" s="6"/>
      <c r="E702" s="443"/>
      <c r="F702" s="15"/>
      <c r="G702" s="6"/>
      <c r="H702" s="6"/>
      <c r="I702" s="6"/>
      <c r="J702" s="6"/>
      <c r="K702" s="6"/>
      <c r="L702" s="6"/>
      <c r="M702" s="6"/>
      <c r="N702" s="6"/>
      <c r="O702" s="6"/>
      <c r="P702" s="6"/>
      <c r="Q702" s="6"/>
      <c r="R702" s="6"/>
      <c r="S702" s="6"/>
      <c r="T702" s="6"/>
      <c r="U702" s="6"/>
      <c r="V702" s="6"/>
      <c r="W702" s="6"/>
      <c r="X702" s="6"/>
      <c r="Y702" s="6"/>
      <c r="Z702" s="6"/>
    </row>
    <row r="703" spans="1:26">
      <c r="A703" s="174"/>
      <c r="B703" s="6"/>
      <c r="C703" s="6"/>
      <c r="D703" s="6"/>
      <c r="E703" s="443"/>
      <c r="F703" s="15"/>
      <c r="G703" s="6"/>
      <c r="H703" s="6"/>
      <c r="I703" s="6"/>
      <c r="J703" s="6"/>
      <c r="K703" s="6"/>
      <c r="L703" s="6"/>
      <c r="M703" s="6"/>
      <c r="N703" s="6"/>
      <c r="O703" s="6"/>
      <c r="P703" s="6"/>
      <c r="Q703" s="6"/>
      <c r="R703" s="6"/>
      <c r="S703" s="6"/>
      <c r="T703" s="6"/>
      <c r="U703" s="6"/>
      <c r="V703" s="6"/>
      <c r="W703" s="6"/>
      <c r="X703" s="6"/>
      <c r="Y703" s="6"/>
      <c r="Z703" s="6"/>
    </row>
    <row r="704" spans="1:26">
      <c r="A704" s="174"/>
      <c r="B704" s="6"/>
      <c r="C704" s="6"/>
      <c r="D704" s="6"/>
      <c r="E704" s="443"/>
      <c r="F704" s="15"/>
      <c r="G704" s="6"/>
      <c r="H704" s="6"/>
      <c r="I704" s="6"/>
      <c r="J704" s="6"/>
      <c r="K704" s="6"/>
      <c r="L704" s="6"/>
      <c r="M704" s="6"/>
      <c r="N704" s="6"/>
      <c r="O704" s="6"/>
      <c r="P704" s="6"/>
      <c r="Q704" s="6"/>
      <c r="R704" s="6"/>
      <c r="S704" s="6"/>
      <c r="T704" s="6"/>
      <c r="U704" s="6"/>
      <c r="V704" s="6"/>
      <c r="W704" s="6"/>
      <c r="X704" s="6"/>
      <c r="Y704" s="6"/>
      <c r="Z704" s="6"/>
    </row>
    <row r="705" spans="1:26">
      <c r="A705" s="174"/>
      <c r="B705" s="6"/>
      <c r="C705" s="6"/>
      <c r="D705" s="6"/>
      <c r="E705" s="443"/>
      <c r="F705" s="15"/>
      <c r="G705" s="6"/>
      <c r="H705" s="6"/>
      <c r="I705" s="6"/>
      <c r="J705" s="6"/>
      <c r="K705" s="6"/>
      <c r="L705" s="6"/>
      <c r="M705" s="6"/>
      <c r="N705" s="6"/>
      <c r="O705" s="6"/>
      <c r="P705" s="6"/>
      <c r="Q705" s="6"/>
      <c r="R705" s="6"/>
      <c r="S705" s="6"/>
      <c r="T705" s="6"/>
      <c r="U705" s="6"/>
      <c r="V705" s="6"/>
      <c r="W705" s="6"/>
      <c r="X705" s="6"/>
      <c r="Y705" s="6"/>
      <c r="Z705" s="6"/>
    </row>
    <row r="706" spans="1:26">
      <c r="A706" s="174"/>
      <c r="B706" s="6"/>
      <c r="C706" s="6"/>
      <c r="D706" s="6"/>
      <c r="E706" s="443"/>
      <c r="F706" s="15"/>
      <c r="G706" s="6"/>
      <c r="H706" s="6"/>
      <c r="I706" s="6"/>
      <c r="J706" s="6"/>
      <c r="K706" s="6"/>
      <c r="L706" s="6"/>
      <c r="M706" s="6"/>
      <c r="N706" s="6"/>
      <c r="O706" s="6"/>
      <c r="P706" s="6"/>
      <c r="Q706" s="6"/>
      <c r="R706" s="6"/>
      <c r="S706" s="6"/>
      <c r="T706" s="6"/>
      <c r="U706" s="6"/>
      <c r="V706" s="6"/>
      <c r="W706" s="6"/>
      <c r="X706" s="6"/>
      <c r="Y706" s="6"/>
      <c r="Z706" s="6"/>
    </row>
    <row r="707" spans="1:26">
      <c r="A707" s="174"/>
      <c r="B707" s="6"/>
      <c r="C707" s="6"/>
      <c r="D707" s="6"/>
      <c r="E707" s="443"/>
      <c r="F707" s="15"/>
      <c r="G707" s="6"/>
      <c r="H707" s="6"/>
      <c r="I707" s="6"/>
      <c r="J707" s="6"/>
      <c r="K707" s="6"/>
      <c r="L707" s="6"/>
      <c r="M707" s="6"/>
      <c r="N707" s="6"/>
      <c r="O707" s="6"/>
      <c r="P707" s="6"/>
      <c r="Q707" s="6"/>
      <c r="R707" s="6"/>
      <c r="S707" s="6"/>
      <c r="T707" s="6"/>
      <c r="U707" s="6"/>
      <c r="V707" s="6"/>
      <c r="W707" s="6"/>
      <c r="X707" s="6"/>
      <c r="Y707" s="6"/>
      <c r="Z707" s="6"/>
    </row>
    <row r="708" spans="1:26">
      <c r="A708" s="174"/>
      <c r="B708" s="6"/>
      <c r="C708" s="6"/>
      <c r="D708" s="6"/>
      <c r="E708" s="443"/>
      <c r="F708" s="15"/>
      <c r="G708" s="6"/>
      <c r="H708" s="6"/>
      <c r="I708" s="6"/>
      <c r="J708" s="6"/>
      <c r="K708" s="6"/>
      <c r="L708" s="6"/>
      <c r="M708" s="6"/>
      <c r="N708" s="6"/>
      <c r="O708" s="6"/>
      <c r="P708" s="6"/>
      <c r="Q708" s="6"/>
      <c r="R708" s="6"/>
      <c r="S708" s="6"/>
      <c r="T708" s="6"/>
      <c r="U708" s="6"/>
      <c r="V708" s="6"/>
      <c r="W708" s="6"/>
      <c r="X708" s="6"/>
      <c r="Y708" s="6"/>
      <c r="Z708" s="6"/>
    </row>
    <row r="709" spans="1:26">
      <c r="A709" s="174"/>
      <c r="B709" s="6"/>
      <c r="C709" s="6"/>
      <c r="D709" s="6"/>
      <c r="E709" s="443"/>
      <c r="F709" s="15"/>
      <c r="G709" s="6"/>
      <c r="H709" s="6"/>
      <c r="I709" s="6"/>
      <c r="J709" s="6"/>
      <c r="K709" s="6"/>
      <c r="L709" s="6"/>
      <c r="M709" s="6"/>
      <c r="N709" s="6"/>
      <c r="O709" s="6"/>
      <c r="P709" s="6"/>
      <c r="Q709" s="6"/>
      <c r="R709" s="6"/>
      <c r="S709" s="6"/>
      <c r="T709" s="6"/>
      <c r="U709" s="6"/>
      <c r="V709" s="6"/>
      <c r="W709" s="6"/>
      <c r="X709" s="6"/>
      <c r="Y709" s="6"/>
      <c r="Z709" s="6"/>
    </row>
    <row r="710" spans="1:26">
      <c r="A710" s="174"/>
      <c r="B710" s="6"/>
      <c r="C710" s="6"/>
      <c r="D710" s="6"/>
      <c r="E710" s="443"/>
      <c r="F710" s="15"/>
      <c r="G710" s="6"/>
      <c r="H710" s="6"/>
      <c r="I710" s="6"/>
      <c r="J710" s="6"/>
      <c r="K710" s="6"/>
      <c r="L710" s="6"/>
      <c r="M710" s="6"/>
      <c r="N710" s="6"/>
      <c r="O710" s="6"/>
      <c r="P710" s="6"/>
      <c r="Q710" s="6"/>
      <c r="R710" s="6"/>
      <c r="S710" s="6"/>
      <c r="T710" s="6"/>
      <c r="U710" s="6"/>
      <c r="V710" s="6"/>
      <c r="W710" s="6"/>
      <c r="X710" s="6"/>
      <c r="Y710" s="6"/>
      <c r="Z710" s="6"/>
    </row>
    <row r="711" spans="1:26">
      <c r="A711" s="174"/>
      <c r="B711" s="6"/>
      <c r="C711" s="6"/>
      <c r="D711" s="6"/>
      <c r="E711" s="443"/>
      <c r="F711" s="15"/>
      <c r="G711" s="6"/>
      <c r="H711" s="6"/>
      <c r="I711" s="6"/>
      <c r="J711" s="6"/>
      <c r="K711" s="6"/>
      <c r="L711" s="6"/>
      <c r="M711" s="6"/>
      <c r="N711" s="6"/>
      <c r="O711" s="6"/>
      <c r="P711" s="6"/>
      <c r="Q711" s="6"/>
      <c r="R711" s="6"/>
      <c r="S711" s="6"/>
      <c r="T711" s="6"/>
      <c r="U711" s="6"/>
      <c r="V711" s="6"/>
      <c r="W711" s="6"/>
      <c r="X711" s="6"/>
      <c r="Y711" s="6"/>
      <c r="Z711" s="6"/>
    </row>
    <row r="712" spans="1:26">
      <c r="A712" s="174"/>
      <c r="B712" s="6"/>
      <c r="C712" s="6"/>
      <c r="D712" s="6"/>
      <c r="E712" s="443"/>
      <c r="F712" s="15"/>
      <c r="G712" s="6"/>
      <c r="H712" s="6"/>
      <c r="I712" s="6"/>
      <c r="J712" s="6"/>
      <c r="K712" s="6"/>
      <c r="L712" s="6"/>
      <c r="M712" s="6"/>
      <c r="N712" s="6"/>
      <c r="O712" s="6"/>
      <c r="P712" s="6"/>
      <c r="Q712" s="6"/>
      <c r="R712" s="6"/>
      <c r="S712" s="6"/>
      <c r="T712" s="6"/>
      <c r="U712" s="6"/>
      <c r="V712" s="6"/>
      <c r="W712" s="6"/>
      <c r="X712" s="6"/>
      <c r="Y712" s="6"/>
      <c r="Z712" s="6"/>
    </row>
    <row r="713" spans="1:26">
      <c r="A713" s="174"/>
      <c r="B713" s="6"/>
      <c r="C713" s="6"/>
      <c r="D713" s="6"/>
      <c r="E713" s="443"/>
      <c r="F713" s="15"/>
      <c r="G713" s="6"/>
      <c r="H713" s="6"/>
      <c r="I713" s="6"/>
      <c r="J713" s="6"/>
      <c r="K713" s="6"/>
      <c r="L713" s="6"/>
      <c r="M713" s="6"/>
      <c r="N713" s="6"/>
      <c r="O713" s="6"/>
      <c r="P713" s="6"/>
      <c r="Q713" s="6"/>
      <c r="R713" s="6"/>
      <c r="S713" s="6"/>
      <c r="T713" s="6"/>
      <c r="U713" s="6"/>
      <c r="V713" s="6"/>
      <c r="W713" s="6"/>
      <c r="X713" s="6"/>
      <c r="Y713" s="6"/>
      <c r="Z713" s="6"/>
    </row>
    <row r="714" spans="1:26">
      <c r="A714" s="174"/>
      <c r="B714" s="6"/>
      <c r="C714" s="6"/>
      <c r="D714" s="6"/>
      <c r="E714" s="443"/>
      <c r="F714" s="15"/>
      <c r="G714" s="6"/>
      <c r="H714" s="6"/>
      <c r="I714" s="6"/>
      <c r="J714" s="6"/>
      <c r="K714" s="6"/>
      <c r="L714" s="6"/>
      <c r="M714" s="6"/>
      <c r="N714" s="6"/>
      <c r="O714" s="6"/>
      <c r="P714" s="6"/>
      <c r="Q714" s="6"/>
      <c r="R714" s="6"/>
      <c r="S714" s="6"/>
      <c r="T714" s="6"/>
      <c r="U714" s="6"/>
      <c r="V714" s="6"/>
      <c r="W714" s="6"/>
      <c r="X714" s="6"/>
      <c r="Y714" s="6"/>
      <c r="Z714" s="6"/>
    </row>
    <row r="715" spans="1:26">
      <c r="A715" s="174"/>
      <c r="B715" s="6"/>
      <c r="C715" s="6"/>
      <c r="D715" s="6"/>
      <c r="E715" s="443"/>
      <c r="F715" s="15"/>
      <c r="G715" s="6"/>
      <c r="H715" s="6"/>
      <c r="I715" s="6"/>
      <c r="J715" s="6"/>
      <c r="K715" s="6"/>
      <c r="L715" s="6"/>
      <c r="M715" s="6"/>
      <c r="N715" s="6"/>
      <c r="O715" s="6"/>
      <c r="P715" s="6"/>
      <c r="Q715" s="6"/>
      <c r="R715" s="6"/>
      <c r="S715" s="6"/>
      <c r="T715" s="6"/>
      <c r="U715" s="6"/>
      <c r="V715" s="6"/>
      <c r="W715" s="6"/>
      <c r="X715" s="6"/>
      <c r="Y715" s="6"/>
      <c r="Z715" s="6"/>
    </row>
    <row r="716" spans="1:26">
      <c r="A716" s="174"/>
      <c r="B716" s="6"/>
      <c r="C716" s="6"/>
      <c r="D716" s="6"/>
      <c r="E716" s="443"/>
      <c r="F716" s="15"/>
      <c r="G716" s="6"/>
      <c r="H716" s="6"/>
      <c r="I716" s="6"/>
      <c r="J716" s="6"/>
      <c r="K716" s="6"/>
      <c r="L716" s="6"/>
      <c r="M716" s="6"/>
      <c r="N716" s="6"/>
      <c r="O716" s="6"/>
      <c r="P716" s="6"/>
      <c r="Q716" s="6"/>
      <c r="R716" s="6"/>
      <c r="S716" s="6"/>
      <c r="T716" s="6"/>
      <c r="U716" s="6"/>
      <c r="V716" s="6"/>
      <c r="W716" s="6"/>
      <c r="X716" s="6"/>
      <c r="Y716" s="6"/>
      <c r="Z716" s="6"/>
    </row>
    <row r="717" spans="1:26">
      <c r="A717" s="174"/>
      <c r="B717" s="6"/>
      <c r="C717" s="6"/>
      <c r="D717" s="6"/>
      <c r="E717" s="443"/>
      <c r="F717" s="15"/>
      <c r="G717" s="6"/>
      <c r="H717" s="6"/>
      <c r="I717" s="6"/>
      <c r="J717" s="6"/>
      <c r="K717" s="6"/>
      <c r="L717" s="6"/>
      <c r="M717" s="6"/>
      <c r="N717" s="6"/>
      <c r="O717" s="6"/>
      <c r="P717" s="6"/>
      <c r="Q717" s="6"/>
      <c r="R717" s="6"/>
      <c r="S717" s="6"/>
      <c r="T717" s="6"/>
      <c r="U717" s="6"/>
      <c r="V717" s="6"/>
      <c r="W717" s="6"/>
      <c r="X717" s="6"/>
      <c r="Y717" s="6"/>
      <c r="Z717" s="6"/>
    </row>
    <row r="718" spans="1:26">
      <c r="A718" s="174"/>
      <c r="B718" s="6"/>
      <c r="C718" s="6"/>
      <c r="D718" s="6"/>
      <c r="E718" s="443"/>
      <c r="F718" s="15"/>
      <c r="G718" s="6"/>
      <c r="H718" s="6"/>
      <c r="I718" s="6"/>
      <c r="J718" s="6"/>
      <c r="K718" s="6"/>
      <c r="L718" s="6"/>
      <c r="M718" s="6"/>
      <c r="N718" s="6"/>
      <c r="O718" s="6"/>
      <c r="P718" s="6"/>
      <c r="Q718" s="6"/>
      <c r="R718" s="6"/>
      <c r="S718" s="6"/>
      <c r="T718" s="6"/>
      <c r="U718" s="6"/>
      <c r="V718" s="6"/>
      <c r="W718" s="6"/>
      <c r="X718" s="6"/>
      <c r="Y718" s="6"/>
      <c r="Z718" s="6"/>
    </row>
    <row r="719" spans="1:26">
      <c r="A719" s="174"/>
      <c r="B719" s="6"/>
      <c r="C719" s="6"/>
      <c r="D719" s="6"/>
      <c r="E719" s="443"/>
      <c r="F719" s="15"/>
      <c r="G719" s="6"/>
      <c r="H719" s="6"/>
      <c r="I719" s="6"/>
      <c r="J719" s="6"/>
      <c r="K719" s="6"/>
      <c r="L719" s="6"/>
      <c r="M719" s="6"/>
      <c r="N719" s="6"/>
      <c r="O719" s="6"/>
      <c r="P719" s="6"/>
      <c r="Q719" s="6"/>
      <c r="R719" s="6"/>
      <c r="S719" s="6"/>
      <c r="T719" s="6"/>
      <c r="U719" s="6"/>
      <c r="V719" s="6"/>
      <c r="W719" s="6"/>
      <c r="X719" s="6"/>
      <c r="Y719" s="6"/>
      <c r="Z719" s="6"/>
    </row>
    <row r="720" spans="1:26">
      <c r="A720" s="174"/>
      <c r="B720" s="6"/>
      <c r="C720" s="6"/>
      <c r="D720" s="6"/>
      <c r="E720" s="443"/>
      <c r="F720" s="15"/>
      <c r="G720" s="6"/>
      <c r="H720" s="6"/>
      <c r="I720" s="6"/>
      <c r="J720" s="6"/>
      <c r="K720" s="6"/>
      <c r="L720" s="6"/>
      <c r="M720" s="6"/>
      <c r="N720" s="6"/>
      <c r="O720" s="6"/>
      <c r="P720" s="6"/>
      <c r="Q720" s="6"/>
      <c r="R720" s="6"/>
      <c r="S720" s="6"/>
      <c r="T720" s="6"/>
      <c r="U720" s="6"/>
      <c r="V720" s="6"/>
      <c r="W720" s="6"/>
      <c r="X720" s="6"/>
      <c r="Y720" s="6"/>
      <c r="Z720" s="6"/>
    </row>
    <row r="721" spans="1:26">
      <c r="A721" s="174"/>
      <c r="B721" s="6"/>
      <c r="C721" s="6"/>
      <c r="D721" s="6"/>
      <c r="E721" s="443"/>
      <c r="F721" s="15"/>
      <c r="G721" s="6"/>
      <c r="H721" s="6"/>
      <c r="I721" s="6"/>
      <c r="J721" s="6"/>
      <c r="K721" s="6"/>
      <c r="L721" s="6"/>
      <c r="M721" s="6"/>
      <c r="N721" s="6"/>
      <c r="O721" s="6"/>
      <c r="P721" s="6"/>
      <c r="Q721" s="6"/>
      <c r="R721" s="6"/>
      <c r="S721" s="6"/>
      <c r="T721" s="6"/>
      <c r="U721" s="6"/>
      <c r="V721" s="6"/>
      <c r="W721" s="6"/>
      <c r="X721" s="6"/>
      <c r="Y721" s="6"/>
      <c r="Z721" s="6"/>
    </row>
    <row r="722" spans="1:26">
      <c r="A722" s="174"/>
      <c r="B722" s="6"/>
      <c r="C722" s="6"/>
      <c r="D722" s="6"/>
      <c r="E722" s="443"/>
      <c r="F722" s="15"/>
      <c r="G722" s="6"/>
      <c r="H722" s="6"/>
      <c r="I722" s="6"/>
      <c r="J722" s="6"/>
      <c r="K722" s="6"/>
      <c r="L722" s="6"/>
      <c r="M722" s="6"/>
      <c r="N722" s="6"/>
      <c r="O722" s="6"/>
      <c r="P722" s="6"/>
      <c r="Q722" s="6"/>
      <c r="R722" s="6"/>
      <c r="S722" s="6"/>
      <c r="T722" s="6"/>
      <c r="U722" s="6"/>
      <c r="V722" s="6"/>
      <c r="W722" s="6"/>
      <c r="X722" s="6"/>
      <c r="Y722" s="6"/>
      <c r="Z722" s="6"/>
    </row>
    <row r="723" spans="1:26">
      <c r="A723" s="174"/>
      <c r="B723" s="6"/>
      <c r="C723" s="6"/>
      <c r="D723" s="6"/>
      <c r="E723" s="443"/>
      <c r="F723" s="15"/>
      <c r="G723" s="6"/>
      <c r="H723" s="6"/>
      <c r="I723" s="6"/>
      <c r="J723" s="6"/>
      <c r="K723" s="6"/>
      <c r="L723" s="6"/>
      <c r="M723" s="6"/>
      <c r="N723" s="6"/>
      <c r="O723" s="6"/>
      <c r="P723" s="6"/>
      <c r="Q723" s="6"/>
      <c r="R723" s="6"/>
      <c r="S723" s="6"/>
      <c r="T723" s="6"/>
      <c r="U723" s="6"/>
      <c r="V723" s="6"/>
      <c r="W723" s="6"/>
      <c r="X723" s="6"/>
      <c r="Y723" s="6"/>
      <c r="Z723" s="6"/>
    </row>
    <row r="724" spans="1:26">
      <c r="A724" s="174"/>
      <c r="B724" s="6"/>
      <c r="C724" s="6"/>
      <c r="D724" s="6"/>
      <c r="E724" s="443"/>
      <c r="F724" s="15"/>
      <c r="G724" s="6"/>
      <c r="H724" s="6"/>
      <c r="I724" s="6"/>
      <c r="J724" s="6"/>
      <c r="K724" s="6"/>
      <c r="L724" s="6"/>
      <c r="M724" s="6"/>
      <c r="N724" s="6"/>
      <c r="O724" s="6"/>
      <c r="P724" s="6"/>
      <c r="Q724" s="6"/>
      <c r="R724" s="6"/>
      <c r="S724" s="6"/>
      <c r="T724" s="6"/>
      <c r="U724" s="6"/>
      <c r="V724" s="6"/>
      <c r="W724" s="6"/>
      <c r="X724" s="6"/>
      <c r="Y724" s="6"/>
      <c r="Z724" s="6"/>
    </row>
    <row r="725" spans="1:26">
      <c r="A725" s="174"/>
      <c r="B725" s="6"/>
      <c r="C725" s="6"/>
      <c r="D725" s="6"/>
      <c r="E725" s="443"/>
      <c r="F725" s="15"/>
      <c r="G725" s="6"/>
      <c r="H725" s="6"/>
      <c r="I725" s="6"/>
      <c r="J725" s="6"/>
      <c r="K725" s="6"/>
      <c r="L725" s="6"/>
      <c r="M725" s="6"/>
      <c r="N725" s="6"/>
      <c r="O725" s="6"/>
      <c r="P725" s="6"/>
      <c r="Q725" s="6"/>
      <c r="R725" s="6"/>
      <c r="S725" s="6"/>
      <c r="T725" s="6"/>
      <c r="U725" s="6"/>
      <c r="V725" s="6"/>
      <c r="W725" s="6"/>
      <c r="X725" s="6"/>
      <c r="Y725" s="6"/>
      <c r="Z725" s="6"/>
    </row>
    <row r="726" spans="1:26">
      <c r="A726" s="174"/>
      <c r="B726" s="6"/>
      <c r="C726" s="6"/>
      <c r="D726" s="6"/>
      <c r="E726" s="443"/>
      <c r="F726" s="15"/>
      <c r="G726" s="6"/>
      <c r="H726" s="6"/>
      <c r="I726" s="6"/>
      <c r="J726" s="6"/>
      <c r="K726" s="6"/>
      <c r="L726" s="6"/>
      <c r="M726" s="6"/>
      <c r="N726" s="6"/>
      <c r="O726" s="6"/>
      <c r="P726" s="6"/>
      <c r="Q726" s="6"/>
      <c r="R726" s="6"/>
      <c r="S726" s="6"/>
      <c r="T726" s="6"/>
      <c r="U726" s="6"/>
      <c r="V726" s="6"/>
      <c r="W726" s="6"/>
      <c r="X726" s="6"/>
      <c r="Y726" s="6"/>
      <c r="Z726" s="6"/>
    </row>
    <row r="727" spans="1:26">
      <c r="A727" s="174"/>
      <c r="B727" s="6"/>
      <c r="C727" s="6"/>
      <c r="D727" s="6"/>
      <c r="E727" s="443"/>
      <c r="F727" s="15"/>
      <c r="G727" s="6"/>
      <c r="H727" s="6"/>
      <c r="I727" s="6"/>
      <c r="J727" s="6"/>
      <c r="K727" s="6"/>
      <c r="L727" s="6"/>
      <c r="M727" s="6"/>
      <c r="N727" s="6"/>
      <c r="O727" s="6"/>
      <c r="P727" s="6"/>
      <c r="Q727" s="6"/>
      <c r="R727" s="6"/>
      <c r="S727" s="6"/>
      <c r="T727" s="6"/>
      <c r="U727" s="6"/>
      <c r="V727" s="6"/>
      <c r="W727" s="6"/>
      <c r="X727" s="6"/>
      <c r="Y727" s="6"/>
      <c r="Z727" s="6"/>
    </row>
    <row r="728" spans="1:26">
      <c r="A728" s="174"/>
      <c r="B728" s="6"/>
      <c r="C728" s="6"/>
      <c r="D728" s="6"/>
      <c r="E728" s="443"/>
      <c r="F728" s="15"/>
      <c r="G728" s="6"/>
      <c r="H728" s="6"/>
      <c r="I728" s="6"/>
      <c r="J728" s="6"/>
      <c r="K728" s="6"/>
      <c r="L728" s="6"/>
      <c r="M728" s="6"/>
      <c r="N728" s="6"/>
      <c r="O728" s="6"/>
      <c r="P728" s="6"/>
      <c r="Q728" s="6"/>
      <c r="R728" s="6"/>
      <c r="S728" s="6"/>
      <c r="T728" s="6"/>
      <c r="U728" s="6"/>
      <c r="V728" s="6"/>
      <c r="W728" s="6"/>
      <c r="X728" s="6"/>
      <c r="Y728" s="6"/>
      <c r="Z728" s="6"/>
    </row>
    <row r="729" spans="1:26">
      <c r="A729" s="174"/>
      <c r="B729" s="6"/>
      <c r="C729" s="6"/>
      <c r="D729" s="6"/>
      <c r="E729" s="443"/>
      <c r="F729" s="15"/>
      <c r="G729" s="6"/>
      <c r="H729" s="6"/>
      <c r="I729" s="6"/>
      <c r="J729" s="6"/>
      <c r="K729" s="6"/>
      <c r="L729" s="6"/>
      <c r="M729" s="6"/>
      <c r="N729" s="6"/>
      <c r="O729" s="6"/>
      <c r="P729" s="6"/>
      <c r="Q729" s="6"/>
      <c r="R729" s="6"/>
      <c r="S729" s="6"/>
      <c r="T729" s="6"/>
      <c r="U729" s="6"/>
      <c r="V729" s="6"/>
      <c r="W729" s="6"/>
      <c r="X729" s="6"/>
      <c r="Y729" s="6"/>
      <c r="Z729" s="6"/>
    </row>
    <row r="730" spans="1:26">
      <c r="A730" s="174"/>
      <c r="B730" s="6"/>
      <c r="C730" s="6"/>
      <c r="D730" s="6"/>
      <c r="E730" s="443"/>
      <c r="F730" s="15"/>
      <c r="G730" s="6"/>
      <c r="H730" s="6"/>
      <c r="I730" s="6"/>
      <c r="J730" s="6"/>
      <c r="K730" s="6"/>
      <c r="L730" s="6"/>
      <c r="M730" s="6"/>
      <c r="N730" s="6"/>
      <c r="O730" s="6"/>
      <c r="P730" s="6"/>
      <c r="Q730" s="6"/>
      <c r="R730" s="6"/>
      <c r="S730" s="6"/>
      <c r="T730" s="6"/>
      <c r="U730" s="6"/>
      <c r="V730" s="6"/>
      <c r="W730" s="6"/>
      <c r="X730" s="6"/>
      <c r="Y730" s="6"/>
      <c r="Z730" s="6"/>
    </row>
    <row r="731" spans="1:26">
      <c r="A731" s="174"/>
      <c r="B731" s="6"/>
      <c r="C731" s="6"/>
      <c r="D731" s="6"/>
      <c r="E731" s="443"/>
      <c r="F731" s="15"/>
      <c r="G731" s="6"/>
      <c r="H731" s="6"/>
      <c r="I731" s="6"/>
      <c r="J731" s="6"/>
      <c r="K731" s="6"/>
      <c r="L731" s="6"/>
      <c r="M731" s="6"/>
      <c r="N731" s="6"/>
      <c r="O731" s="6"/>
      <c r="P731" s="6"/>
      <c r="Q731" s="6"/>
      <c r="R731" s="6"/>
      <c r="S731" s="6"/>
      <c r="T731" s="6"/>
      <c r="U731" s="6"/>
      <c r="V731" s="6"/>
      <c r="W731" s="6"/>
      <c r="X731" s="6"/>
      <c r="Y731" s="6"/>
      <c r="Z731" s="6"/>
    </row>
    <row r="732" spans="1:26">
      <c r="A732" s="174"/>
      <c r="B732" s="6"/>
      <c r="C732" s="6"/>
      <c r="D732" s="6"/>
      <c r="E732" s="443"/>
      <c r="F732" s="15"/>
      <c r="G732" s="6"/>
      <c r="H732" s="6"/>
      <c r="I732" s="6"/>
      <c r="J732" s="6"/>
      <c r="K732" s="6"/>
      <c r="L732" s="6"/>
      <c r="M732" s="6"/>
      <c r="N732" s="6"/>
      <c r="O732" s="6"/>
      <c r="P732" s="6"/>
      <c r="Q732" s="6"/>
      <c r="R732" s="6"/>
      <c r="S732" s="6"/>
      <c r="T732" s="6"/>
      <c r="U732" s="6"/>
      <c r="V732" s="6"/>
      <c r="W732" s="6"/>
      <c r="X732" s="6"/>
      <c r="Y732" s="6"/>
      <c r="Z732" s="6"/>
    </row>
    <row r="733" spans="1:26">
      <c r="A733" s="174"/>
      <c r="B733" s="6"/>
      <c r="C733" s="6"/>
      <c r="D733" s="6"/>
      <c r="E733" s="443"/>
      <c r="F733" s="15"/>
      <c r="G733" s="6"/>
      <c r="H733" s="6"/>
      <c r="I733" s="6"/>
      <c r="J733" s="6"/>
      <c r="K733" s="6"/>
      <c r="L733" s="6"/>
      <c r="M733" s="6"/>
      <c r="N733" s="6"/>
      <c r="O733" s="6"/>
      <c r="P733" s="6"/>
      <c r="Q733" s="6"/>
      <c r="R733" s="6"/>
      <c r="S733" s="6"/>
      <c r="T733" s="6"/>
      <c r="U733" s="6"/>
      <c r="V733" s="6"/>
      <c r="W733" s="6"/>
      <c r="X733" s="6"/>
      <c r="Y733" s="6"/>
      <c r="Z733" s="6"/>
    </row>
    <row r="734" spans="1:26">
      <c r="A734" s="174"/>
      <c r="B734" s="6"/>
      <c r="C734" s="6"/>
      <c r="D734" s="6"/>
      <c r="E734" s="443"/>
      <c r="F734" s="15"/>
      <c r="G734" s="6"/>
      <c r="H734" s="6"/>
      <c r="I734" s="6"/>
      <c r="J734" s="6"/>
      <c r="K734" s="6"/>
      <c r="L734" s="6"/>
      <c r="M734" s="6"/>
      <c r="N734" s="6"/>
      <c r="O734" s="6"/>
      <c r="P734" s="6"/>
      <c r="Q734" s="6"/>
      <c r="R734" s="6"/>
      <c r="S734" s="6"/>
      <c r="T734" s="6"/>
      <c r="U734" s="6"/>
      <c r="V734" s="6"/>
      <c r="W734" s="6"/>
      <c r="X734" s="6"/>
      <c r="Y734" s="6"/>
      <c r="Z734" s="6"/>
    </row>
    <row r="735" spans="1:26">
      <c r="A735" s="174"/>
      <c r="B735" s="6"/>
      <c r="C735" s="6"/>
      <c r="D735" s="6"/>
      <c r="E735" s="443"/>
      <c r="F735" s="15"/>
      <c r="G735" s="6"/>
      <c r="H735" s="6"/>
      <c r="I735" s="6"/>
      <c r="J735" s="6"/>
      <c r="K735" s="6"/>
      <c r="L735" s="6"/>
      <c r="M735" s="6"/>
      <c r="N735" s="6"/>
      <c r="O735" s="6"/>
      <c r="P735" s="6"/>
      <c r="Q735" s="6"/>
      <c r="R735" s="6"/>
      <c r="S735" s="6"/>
      <c r="T735" s="6"/>
      <c r="U735" s="6"/>
      <c r="V735" s="6"/>
      <c r="W735" s="6"/>
      <c r="X735" s="6"/>
      <c r="Y735" s="6"/>
      <c r="Z735" s="6"/>
    </row>
    <row r="736" spans="1:26">
      <c r="A736" s="174"/>
      <c r="B736" s="6"/>
      <c r="C736" s="6"/>
      <c r="D736" s="6"/>
      <c r="E736" s="443"/>
      <c r="F736" s="15"/>
      <c r="G736" s="6"/>
      <c r="H736" s="6"/>
      <c r="I736" s="6"/>
      <c r="J736" s="6"/>
      <c r="K736" s="6"/>
      <c r="L736" s="6"/>
      <c r="M736" s="6"/>
      <c r="N736" s="6"/>
      <c r="O736" s="6"/>
      <c r="P736" s="6"/>
      <c r="Q736" s="6"/>
      <c r="R736" s="6"/>
      <c r="S736" s="6"/>
      <c r="T736" s="6"/>
      <c r="U736" s="6"/>
      <c r="V736" s="6"/>
      <c r="W736" s="6"/>
      <c r="X736" s="6"/>
      <c r="Y736" s="6"/>
      <c r="Z736" s="6"/>
    </row>
    <row r="737" spans="1:26">
      <c r="A737" s="174"/>
      <c r="B737" s="6"/>
      <c r="C737" s="6"/>
      <c r="D737" s="6"/>
      <c r="E737" s="443"/>
      <c r="F737" s="15"/>
      <c r="G737" s="6"/>
      <c r="H737" s="6"/>
      <c r="I737" s="6"/>
      <c r="J737" s="6"/>
      <c r="K737" s="6"/>
      <c r="L737" s="6"/>
      <c r="M737" s="6"/>
      <c r="N737" s="6"/>
      <c r="O737" s="6"/>
      <c r="P737" s="6"/>
      <c r="Q737" s="6"/>
      <c r="R737" s="6"/>
      <c r="S737" s="6"/>
      <c r="T737" s="6"/>
      <c r="U737" s="6"/>
      <c r="V737" s="6"/>
      <c r="W737" s="6"/>
      <c r="X737" s="6"/>
      <c r="Y737" s="6"/>
      <c r="Z737" s="6"/>
    </row>
    <row r="738" spans="1:26">
      <c r="A738" s="174"/>
      <c r="B738" s="6"/>
      <c r="C738" s="6"/>
      <c r="D738" s="6"/>
      <c r="E738" s="443"/>
      <c r="F738" s="15"/>
      <c r="G738" s="6"/>
      <c r="H738" s="6"/>
      <c r="I738" s="6"/>
      <c r="J738" s="6"/>
      <c r="K738" s="6"/>
      <c r="L738" s="6"/>
      <c r="M738" s="6"/>
      <c r="N738" s="6"/>
      <c r="O738" s="6"/>
      <c r="P738" s="6"/>
      <c r="Q738" s="6"/>
      <c r="R738" s="6"/>
      <c r="S738" s="6"/>
      <c r="T738" s="6"/>
      <c r="U738" s="6"/>
      <c r="V738" s="6"/>
      <c r="W738" s="6"/>
      <c r="X738" s="6"/>
      <c r="Y738" s="6"/>
      <c r="Z738" s="6"/>
    </row>
    <row r="739" spans="1:26">
      <c r="A739" s="174"/>
      <c r="B739" s="6"/>
      <c r="C739" s="6"/>
      <c r="D739" s="6"/>
      <c r="E739" s="443"/>
      <c r="F739" s="15"/>
      <c r="G739" s="6"/>
      <c r="H739" s="6"/>
      <c r="I739" s="6"/>
      <c r="J739" s="6"/>
      <c r="K739" s="6"/>
      <c r="L739" s="6"/>
      <c r="M739" s="6"/>
      <c r="N739" s="6"/>
      <c r="O739" s="6"/>
      <c r="P739" s="6"/>
      <c r="Q739" s="6"/>
      <c r="R739" s="6"/>
      <c r="S739" s="6"/>
      <c r="T739" s="6"/>
      <c r="U739" s="6"/>
      <c r="V739" s="6"/>
      <c r="W739" s="6"/>
      <c r="X739" s="6"/>
      <c r="Y739" s="6"/>
      <c r="Z739" s="6"/>
    </row>
    <row r="740" spans="1:26">
      <c r="A740" s="174"/>
      <c r="B740" s="6"/>
      <c r="C740" s="6"/>
      <c r="D740" s="6"/>
      <c r="E740" s="443"/>
      <c r="F740" s="15"/>
      <c r="G740" s="6"/>
      <c r="H740" s="6"/>
      <c r="I740" s="6"/>
      <c r="J740" s="6"/>
      <c r="K740" s="6"/>
      <c r="L740" s="6"/>
      <c r="M740" s="6"/>
      <c r="N740" s="6"/>
      <c r="O740" s="6"/>
      <c r="P740" s="6"/>
      <c r="Q740" s="6"/>
      <c r="R740" s="6"/>
      <c r="S740" s="6"/>
      <c r="T740" s="6"/>
      <c r="U740" s="6"/>
      <c r="V740" s="6"/>
      <c r="W740" s="6"/>
      <c r="X740" s="6"/>
      <c r="Y740" s="6"/>
      <c r="Z740" s="6"/>
    </row>
    <row r="741" spans="1:26">
      <c r="A741" s="174"/>
      <c r="B741" s="6"/>
      <c r="C741" s="6"/>
      <c r="D741" s="6"/>
      <c r="E741" s="443"/>
      <c r="F741" s="15"/>
      <c r="G741" s="6"/>
      <c r="H741" s="6"/>
      <c r="I741" s="6"/>
      <c r="J741" s="6"/>
      <c r="K741" s="6"/>
      <c r="L741" s="6"/>
      <c r="M741" s="6"/>
      <c r="N741" s="6"/>
      <c r="O741" s="6"/>
      <c r="P741" s="6"/>
      <c r="Q741" s="6"/>
      <c r="R741" s="6"/>
      <c r="S741" s="6"/>
      <c r="T741" s="6"/>
      <c r="U741" s="6"/>
      <c r="V741" s="6"/>
      <c r="W741" s="6"/>
      <c r="X741" s="6"/>
      <c r="Y741" s="6"/>
      <c r="Z741" s="6"/>
    </row>
    <row r="742" spans="1:26">
      <c r="A742" s="174"/>
      <c r="B742" s="6"/>
      <c r="C742" s="6"/>
      <c r="D742" s="6"/>
      <c r="E742" s="443"/>
      <c r="F742" s="15"/>
      <c r="G742" s="6"/>
      <c r="H742" s="6"/>
      <c r="I742" s="6"/>
      <c r="J742" s="6"/>
      <c r="K742" s="6"/>
      <c r="L742" s="6"/>
      <c r="M742" s="6"/>
      <c r="N742" s="6"/>
      <c r="O742" s="6"/>
      <c r="P742" s="6"/>
      <c r="Q742" s="6"/>
      <c r="R742" s="6"/>
      <c r="S742" s="6"/>
      <c r="T742" s="6"/>
      <c r="U742" s="6"/>
      <c r="V742" s="6"/>
      <c r="W742" s="6"/>
      <c r="X742" s="6"/>
      <c r="Y742" s="6"/>
      <c r="Z742" s="6"/>
    </row>
    <row r="743" spans="1:26">
      <c r="A743" s="174"/>
      <c r="B743" s="6"/>
      <c r="C743" s="6"/>
      <c r="D743" s="6"/>
      <c r="E743" s="443"/>
      <c r="F743" s="15"/>
      <c r="G743" s="6"/>
      <c r="H743" s="6"/>
      <c r="I743" s="6"/>
      <c r="J743" s="6"/>
      <c r="K743" s="6"/>
      <c r="L743" s="6"/>
      <c r="M743" s="6"/>
      <c r="N743" s="6"/>
      <c r="O743" s="6"/>
      <c r="P743" s="6"/>
      <c r="Q743" s="6"/>
      <c r="R743" s="6"/>
      <c r="S743" s="6"/>
      <c r="T743" s="6"/>
      <c r="U743" s="6"/>
      <c r="V743" s="6"/>
      <c r="W743" s="6"/>
      <c r="X743" s="6"/>
      <c r="Y743" s="6"/>
      <c r="Z743" s="6"/>
    </row>
    <row r="744" spans="1:26">
      <c r="A744" s="174"/>
      <c r="B744" s="6"/>
      <c r="C744" s="6"/>
      <c r="D744" s="6"/>
      <c r="E744" s="443"/>
      <c r="F744" s="15"/>
      <c r="G744" s="6"/>
      <c r="H744" s="6"/>
      <c r="I744" s="6"/>
      <c r="J744" s="6"/>
      <c r="K744" s="6"/>
      <c r="L744" s="6"/>
      <c r="M744" s="6"/>
      <c r="N744" s="6"/>
      <c r="O744" s="6"/>
      <c r="P744" s="6"/>
      <c r="Q744" s="6"/>
      <c r="R744" s="6"/>
      <c r="S744" s="6"/>
      <c r="T744" s="6"/>
      <c r="U744" s="6"/>
      <c r="V744" s="6"/>
      <c r="W744" s="6"/>
      <c r="X744" s="6"/>
      <c r="Y744" s="6"/>
      <c r="Z744" s="6"/>
    </row>
    <row r="745" spans="1:26">
      <c r="A745" s="174"/>
      <c r="B745" s="6"/>
      <c r="C745" s="6"/>
      <c r="D745" s="6"/>
      <c r="E745" s="443"/>
      <c r="F745" s="15"/>
      <c r="G745" s="6"/>
      <c r="H745" s="6"/>
      <c r="I745" s="6"/>
      <c r="J745" s="6"/>
      <c r="K745" s="6"/>
      <c r="L745" s="6"/>
      <c r="M745" s="6"/>
      <c r="N745" s="6"/>
      <c r="O745" s="6"/>
      <c r="P745" s="6"/>
      <c r="Q745" s="6"/>
      <c r="R745" s="6"/>
      <c r="S745" s="6"/>
      <c r="T745" s="6"/>
      <c r="U745" s="6"/>
      <c r="V745" s="6"/>
      <c r="W745" s="6"/>
      <c r="X745" s="6"/>
      <c r="Y745" s="6"/>
      <c r="Z745" s="6"/>
    </row>
    <row r="746" spans="1:26">
      <c r="A746" s="174"/>
      <c r="B746" s="6"/>
      <c r="C746" s="6"/>
      <c r="D746" s="6"/>
      <c r="E746" s="443"/>
      <c r="F746" s="15"/>
      <c r="G746" s="6"/>
      <c r="H746" s="6"/>
      <c r="I746" s="6"/>
      <c r="J746" s="6"/>
      <c r="K746" s="6"/>
      <c r="L746" s="6"/>
      <c r="M746" s="6"/>
      <c r="N746" s="6"/>
      <c r="O746" s="6"/>
      <c r="P746" s="6"/>
      <c r="Q746" s="6"/>
      <c r="R746" s="6"/>
      <c r="S746" s="6"/>
      <c r="T746" s="6"/>
      <c r="U746" s="6"/>
      <c r="V746" s="6"/>
      <c r="W746" s="6"/>
      <c r="X746" s="6"/>
      <c r="Y746" s="6"/>
      <c r="Z746" s="6"/>
    </row>
    <row r="747" spans="1:26">
      <c r="A747" s="174"/>
      <c r="B747" s="6"/>
      <c r="C747" s="6"/>
      <c r="D747" s="6"/>
      <c r="E747" s="443"/>
      <c r="F747" s="15"/>
      <c r="G747" s="6"/>
      <c r="H747" s="6"/>
      <c r="I747" s="6"/>
      <c r="J747" s="6"/>
      <c r="K747" s="6"/>
      <c r="L747" s="6"/>
      <c r="M747" s="6"/>
      <c r="N747" s="6"/>
      <c r="O747" s="6"/>
      <c r="P747" s="6"/>
      <c r="Q747" s="6"/>
      <c r="R747" s="6"/>
      <c r="S747" s="6"/>
      <c r="T747" s="6"/>
      <c r="U747" s="6"/>
      <c r="V747" s="6"/>
      <c r="W747" s="6"/>
      <c r="X747" s="6"/>
      <c r="Y747" s="6"/>
      <c r="Z747" s="6"/>
    </row>
    <row r="748" spans="1:26">
      <c r="A748" s="174"/>
      <c r="B748" s="6"/>
      <c r="C748" s="6"/>
      <c r="D748" s="6"/>
      <c r="E748" s="443"/>
      <c r="F748" s="15"/>
      <c r="G748" s="6"/>
      <c r="H748" s="6"/>
      <c r="I748" s="6"/>
      <c r="J748" s="6"/>
      <c r="K748" s="6"/>
      <c r="L748" s="6"/>
      <c r="M748" s="6"/>
      <c r="N748" s="6"/>
      <c r="O748" s="6"/>
      <c r="P748" s="6"/>
      <c r="Q748" s="6"/>
      <c r="R748" s="6"/>
      <c r="S748" s="6"/>
      <c r="T748" s="6"/>
      <c r="U748" s="6"/>
      <c r="V748" s="6"/>
      <c r="W748" s="6"/>
      <c r="X748" s="6"/>
      <c r="Y748" s="6"/>
      <c r="Z748" s="6"/>
    </row>
    <row r="749" spans="1:26">
      <c r="A749" s="174"/>
      <c r="B749" s="6"/>
      <c r="C749" s="6"/>
      <c r="D749" s="6"/>
      <c r="E749" s="443"/>
      <c r="F749" s="15"/>
      <c r="G749" s="6"/>
      <c r="H749" s="6"/>
      <c r="I749" s="6"/>
      <c r="J749" s="6"/>
      <c r="K749" s="6"/>
      <c r="L749" s="6"/>
      <c r="M749" s="6"/>
      <c r="N749" s="6"/>
      <c r="O749" s="6"/>
      <c r="P749" s="6"/>
      <c r="Q749" s="6"/>
      <c r="R749" s="6"/>
      <c r="S749" s="6"/>
      <c r="T749" s="6"/>
      <c r="U749" s="6"/>
      <c r="V749" s="6"/>
      <c r="W749" s="6"/>
      <c r="X749" s="6"/>
      <c r="Y749" s="6"/>
      <c r="Z749" s="6"/>
    </row>
    <row r="750" spans="1:26">
      <c r="A750" s="174"/>
      <c r="B750" s="6"/>
      <c r="C750" s="6"/>
      <c r="D750" s="6"/>
      <c r="E750" s="443"/>
      <c r="F750" s="15"/>
      <c r="G750" s="6"/>
      <c r="H750" s="6"/>
      <c r="I750" s="6"/>
      <c r="J750" s="6"/>
      <c r="K750" s="6"/>
      <c r="L750" s="6"/>
      <c r="M750" s="6"/>
      <c r="N750" s="6"/>
      <c r="O750" s="6"/>
      <c r="P750" s="6"/>
      <c r="Q750" s="6"/>
      <c r="R750" s="6"/>
      <c r="S750" s="6"/>
      <c r="T750" s="6"/>
      <c r="U750" s="6"/>
      <c r="V750" s="6"/>
      <c r="W750" s="6"/>
      <c r="X750" s="6"/>
      <c r="Y750" s="6"/>
      <c r="Z750" s="6"/>
    </row>
    <row r="751" spans="1:26">
      <c r="A751" s="174"/>
      <c r="B751" s="6"/>
      <c r="C751" s="6"/>
      <c r="D751" s="6"/>
      <c r="E751" s="443"/>
      <c r="F751" s="15"/>
      <c r="G751" s="6"/>
      <c r="H751" s="6"/>
      <c r="I751" s="6"/>
      <c r="J751" s="6"/>
      <c r="K751" s="6"/>
      <c r="L751" s="6"/>
      <c r="M751" s="6"/>
      <c r="N751" s="6"/>
      <c r="O751" s="6"/>
      <c r="P751" s="6"/>
      <c r="Q751" s="6"/>
      <c r="R751" s="6"/>
      <c r="S751" s="6"/>
      <c r="T751" s="6"/>
      <c r="U751" s="6"/>
      <c r="V751" s="6"/>
      <c r="W751" s="6"/>
      <c r="X751" s="6"/>
      <c r="Y751" s="6"/>
      <c r="Z751" s="6"/>
    </row>
    <row r="752" spans="1:26">
      <c r="A752" s="174"/>
      <c r="B752" s="6"/>
      <c r="C752" s="6"/>
      <c r="D752" s="6"/>
      <c r="E752" s="443"/>
      <c r="F752" s="15"/>
      <c r="G752" s="6"/>
      <c r="H752" s="6"/>
      <c r="I752" s="6"/>
      <c r="J752" s="6"/>
      <c r="K752" s="6"/>
      <c r="L752" s="6"/>
      <c r="M752" s="6"/>
      <c r="N752" s="6"/>
      <c r="O752" s="6"/>
      <c r="P752" s="6"/>
      <c r="Q752" s="6"/>
      <c r="R752" s="6"/>
      <c r="S752" s="6"/>
      <c r="T752" s="6"/>
      <c r="U752" s="6"/>
      <c r="V752" s="6"/>
      <c r="W752" s="6"/>
      <c r="X752" s="6"/>
      <c r="Y752" s="6"/>
      <c r="Z752" s="6"/>
    </row>
    <row r="753" spans="1:26">
      <c r="A753" s="174"/>
      <c r="B753" s="6"/>
      <c r="C753" s="6"/>
      <c r="D753" s="6"/>
      <c r="E753" s="443"/>
      <c r="F753" s="15"/>
      <c r="G753" s="6"/>
      <c r="H753" s="6"/>
      <c r="I753" s="6"/>
      <c r="J753" s="6"/>
      <c r="K753" s="6"/>
      <c r="L753" s="6"/>
      <c r="M753" s="6"/>
      <c r="N753" s="6"/>
      <c r="O753" s="6"/>
      <c r="P753" s="6"/>
      <c r="Q753" s="6"/>
      <c r="R753" s="6"/>
      <c r="S753" s="6"/>
      <c r="T753" s="6"/>
      <c r="U753" s="6"/>
      <c r="V753" s="6"/>
      <c r="W753" s="6"/>
      <c r="X753" s="6"/>
      <c r="Y753" s="6"/>
      <c r="Z753" s="6"/>
    </row>
    <row r="754" spans="1:26">
      <c r="A754" s="174"/>
      <c r="B754" s="6"/>
      <c r="C754" s="6"/>
      <c r="D754" s="6"/>
      <c r="E754" s="443"/>
      <c r="F754" s="15"/>
      <c r="G754" s="6"/>
      <c r="H754" s="6"/>
      <c r="I754" s="6"/>
      <c r="J754" s="6"/>
      <c r="K754" s="6"/>
      <c r="L754" s="6"/>
      <c r="M754" s="6"/>
      <c r="N754" s="6"/>
      <c r="O754" s="6"/>
      <c r="P754" s="6"/>
      <c r="Q754" s="6"/>
      <c r="R754" s="6"/>
      <c r="S754" s="6"/>
      <c r="T754" s="6"/>
      <c r="U754" s="6"/>
      <c r="V754" s="6"/>
      <c r="W754" s="6"/>
      <c r="X754" s="6"/>
      <c r="Y754" s="6"/>
      <c r="Z754" s="6"/>
    </row>
    <row r="755" spans="1:26">
      <c r="A755" s="174"/>
      <c r="B755" s="6"/>
      <c r="C755" s="6"/>
      <c r="D755" s="6"/>
      <c r="E755" s="443"/>
      <c r="F755" s="15"/>
      <c r="G755" s="6"/>
      <c r="H755" s="6"/>
      <c r="I755" s="6"/>
      <c r="J755" s="6"/>
      <c r="K755" s="6"/>
      <c r="L755" s="6"/>
      <c r="M755" s="6"/>
      <c r="N755" s="6"/>
      <c r="O755" s="6"/>
      <c r="P755" s="6"/>
      <c r="Q755" s="6"/>
      <c r="R755" s="6"/>
      <c r="S755" s="6"/>
      <c r="T755" s="6"/>
      <c r="U755" s="6"/>
      <c r="V755" s="6"/>
      <c r="W755" s="6"/>
      <c r="X755" s="6"/>
      <c r="Y755" s="6"/>
      <c r="Z755" s="6"/>
    </row>
    <row r="756" spans="1:26">
      <c r="A756" s="174"/>
      <c r="B756" s="6"/>
      <c r="C756" s="6"/>
      <c r="D756" s="6"/>
      <c r="E756" s="443"/>
      <c r="F756" s="15"/>
      <c r="G756" s="6"/>
      <c r="H756" s="6"/>
      <c r="I756" s="6"/>
      <c r="J756" s="6"/>
      <c r="K756" s="6"/>
      <c r="L756" s="6"/>
      <c r="M756" s="6"/>
      <c r="N756" s="6"/>
      <c r="O756" s="6"/>
      <c r="P756" s="6"/>
      <c r="Q756" s="6"/>
      <c r="R756" s="6"/>
      <c r="S756" s="6"/>
      <c r="T756" s="6"/>
      <c r="U756" s="6"/>
      <c r="V756" s="6"/>
      <c r="W756" s="6"/>
      <c r="X756" s="6"/>
      <c r="Y756" s="6"/>
      <c r="Z756" s="6"/>
    </row>
    <row r="757" spans="1:26">
      <c r="A757" s="174"/>
      <c r="B757" s="6"/>
      <c r="C757" s="6"/>
      <c r="D757" s="6"/>
      <c r="E757" s="443"/>
      <c r="F757" s="15"/>
      <c r="G757" s="6"/>
      <c r="H757" s="6"/>
      <c r="I757" s="6"/>
      <c r="J757" s="6"/>
      <c r="K757" s="6"/>
      <c r="L757" s="6"/>
      <c r="M757" s="6"/>
      <c r="N757" s="6"/>
      <c r="O757" s="6"/>
      <c r="P757" s="6"/>
      <c r="Q757" s="6"/>
      <c r="R757" s="6"/>
      <c r="S757" s="6"/>
      <c r="T757" s="6"/>
      <c r="U757" s="6"/>
      <c r="V757" s="6"/>
      <c r="W757" s="6"/>
      <c r="X757" s="6"/>
      <c r="Y757" s="6"/>
      <c r="Z757" s="6"/>
    </row>
    <row r="758" spans="1:26">
      <c r="A758" s="174"/>
      <c r="B758" s="6"/>
      <c r="C758" s="6"/>
      <c r="D758" s="6"/>
      <c r="E758" s="443"/>
      <c r="F758" s="15"/>
      <c r="G758" s="6"/>
      <c r="H758" s="6"/>
      <c r="I758" s="6"/>
      <c r="J758" s="6"/>
      <c r="K758" s="6"/>
      <c r="L758" s="6"/>
      <c r="M758" s="6"/>
      <c r="N758" s="6"/>
      <c r="O758" s="6"/>
      <c r="P758" s="6"/>
      <c r="Q758" s="6"/>
      <c r="R758" s="6"/>
      <c r="S758" s="6"/>
      <c r="T758" s="6"/>
      <c r="U758" s="6"/>
      <c r="V758" s="6"/>
      <c r="W758" s="6"/>
      <c r="X758" s="6"/>
      <c r="Y758" s="6"/>
      <c r="Z758" s="6"/>
    </row>
    <row r="759" spans="1:26">
      <c r="A759" s="174"/>
      <c r="B759" s="6"/>
      <c r="C759" s="6"/>
      <c r="D759" s="6"/>
      <c r="E759" s="443"/>
      <c r="F759" s="15"/>
      <c r="G759" s="6"/>
      <c r="H759" s="6"/>
      <c r="I759" s="6"/>
      <c r="J759" s="6"/>
      <c r="K759" s="6"/>
      <c r="L759" s="6"/>
      <c r="M759" s="6"/>
      <c r="N759" s="6"/>
      <c r="O759" s="6"/>
      <c r="P759" s="6"/>
      <c r="Q759" s="6"/>
      <c r="R759" s="6"/>
      <c r="S759" s="6"/>
      <c r="T759" s="6"/>
      <c r="U759" s="6"/>
      <c r="V759" s="6"/>
      <c r="W759" s="6"/>
      <c r="X759" s="6"/>
      <c r="Y759" s="6"/>
      <c r="Z759" s="6"/>
    </row>
    <row r="760" spans="1:26">
      <c r="A760" s="174"/>
      <c r="B760" s="6"/>
      <c r="C760" s="6"/>
      <c r="D760" s="6"/>
      <c r="E760" s="443"/>
      <c r="F760" s="15"/>
      <c r="G760" s="6"/>
      <c r="H760" s="6"/>
      <c r="I760" s="6"/>
      <c r="J760" s="6"/>
      <c r="K760" s="6"/>
      <c r="L760" s="6"/>
      <c r="M760" s="6"/>
      <c r="N760" s="6"/>
      <c r="O760" s="6"/>
      <c r="P760" s="6"/>
      <c r="Q760" s="6"/>
      <c r="R760" s="6"/>
      <c r="S760" s="6"/>
      <c r="T760" s="6"/>
      <c r="U760" s="6"/>
      <c r="V760" s="6"/>
      <c r="W760" s="6"/>
      <c r="X760" s="6"/>
      <c r="Y760" s="6"/>
      <c r="Z760" s="6"/>
    </row>
    <row r="761" spans="1:26">
      <c r="A761" s="174"/>
      <c r="B761" s="6"/>
      <c r="C761" s="6"/>
      <c r="D761" s="6"/>
      <c r="E761" s="443"/>
      <c r="F761" s="15"/>
      <c r="G761" s="6"/>
      <c r="H761" s="6"/>
      <c r="I761" s="6"/>
      <c r="J761" s="6"/>
      <c r="K761" s="6"/>
      <c r="L761" s="6"/>
      <c r="M761" s="6"/>
      <c r="N761" s="6"/>
      <c r="O761" s="6"/>
      <c r="P761" s="6"/>
      <c r="Q761" s="6"/>
      <c r="R761" s="6"/>
      <c r="S761" s="6"/>
      <c r="T761" s="6"/>
      <c r="U761" s="6"/>
      <c r="V761" s="6"/>
      <c r="W761" s="6"/>
      <c r="X761" s="6"/>
      <c r="Y761" s="6"/>
      <c r="Z761" s="6"/>
    </row>
    <row r="762" spans="1:26">
      <c r="A762" s="174"/>
      <c r="B762" s="6"/>
      <c r="C762" s="6"/>
      <c r="D762" s="6"/>
      <c r="E762" s="443"/>
      <c r="F762" s="15"/>
      <c r="G762" s="6"/>
      <c r="H762" s="6"/>
      <c r="I762" s="6"/>
      <c r="J762" s="6"/>
      <c r="K762" s="6"/>
      <c r="L762" s="6"/>
      <c r="M762" s="6"/>
      <c r="N762" s="6"/>
      <c r="O762" s="6"/>
      <c r="P762" s="6"/>
      <c r="Q762" s="6"/>
      <c r="R762" s="6"/>
      <c r="S762" s="6"/>
      <c r="T762" s="6"/>
      <c r="U762" s="6"/>
      <c r="V762" s="6"/>
      <c r="W762" s="6"/>
      <c r="X762" s="6"/>
      <c r="Y762" s="6"/>
      <c r="Z762" s="6"/>
    </row>
    <row r="763" spans="1:26">
      <c r="A763" s="174"/>
      <c r="B763" s="6"/>
      <c r="C763" s="6"/>
      <c r="D763" s="6"/>
      <c r="E763" s="443"/>
      <c r="F763" s="15"/>
      <c r="G763" s="6"/>
      <c r="H763" s="6"/>
      <c r="I763" s="6"/>
      <c r="J763" s="6"/>
      <c r="K763" s="6"/>
      <c r="L763" s="6"/>
      <c r="M763" s="6"/>
      <c r="N763" s="6"/>
      <c r="O763" s="6"/>
      <c r="P763" s="6"/>
      <c r="Q763" s="6"/>
      <c r="R763" s="6"/>
      <c r="S763" s="6"/>
      <c r="T763" s="6"/>
      <c r="U763" s="6"/>
      <c r="V763" s="6"/>
      <c r="W763" s="6"/>
      <c r="X763" s="6"/>
      <c r="Y763" s="6"/>
      <c r="Z763" s="6"/>
    </row>
    <row r="764" spans="1:26">
      <c r="A764" s="174"/>
      <c r="B764" s="6"/>
      <c r="C764" s="6"/>
      <c r="D764" s="6"/>
      <c r="E764" s="443"/>
      <c r="F764" s="15"/>
      <c r="G764" s="6"/>
      <c r="H764" s="6"/>
      <c r="I764" s="6"/>
      <c r="J764" s="6"/>
      <c r="K764" s="6"/>
      <c r="L764" s="6"/>
      <c r="M764" s="6"/>
      <c r="N764" s="6"/>
      <c r="O764" s="6"/>
      <c r="P764" s="6"/>
      <c r="Q764" s="6"/>
      <c r="R764" s="6"/>
      <c r="S764" s="6"/>
      <c r="T764" s="6"/>
      <c r="U764" s="6"/>
      <c r="V764" s="6"/>
      <c r="W764" s="6"/>
      <c r="X764" s="6"/>
      <c r="Y764" s="6"/>
      <c r="Z764" s="6"/>
    </row>
    <row r="765" spans="1:26">
      <c r="A765" s="174"/>
      <c r="B765" s="6"/>
      <c r="C765" s="6"/>
      <c r="D765" s="6"/>
      <c r="E765" s="443"/>
      <c r="F765" s="15"/>
      <c r="G765" s="6"/>
      <c r="H765" s="6"/>
      <c r="I765" s="6"/>
      <c r="J765" s="6"/>
      <c r="K765" s="6"/>
      <c r="L765" s="6"/>
      <c r="M765" s="6"/>
      <c r="N765" s="6"/>
      <c r="O765" s="6"/>
      <c r="P765" s="6"/>
      <c r="Q765" s="6"/>
      <c r="R765" s="6"/>
      <c r="S765" s="6"/>
      <c r="T765" s="6"/>
      <c r="U765" s="6"/>
      <c r="V765" s="6"/>
      <c r="W765" s="6"/>
      <c r="X765" s="6"/>
      <c r="Y765" s="6"/>
      <c r="Z765" s="6"/>
    </row>
    <row r="766" spans="1:26">
      <c r="A766" s="174"/>
      <c r="B766" s="6"/>
      <c r="C766" s="6"/>
      <c r="D766" s="6"/>
      <c r="E766" s="443"/>
      <c r="F766" s="15"/>
      <c r="G766" s="6"/>
      <c r="H766" s="6"/>
      <c r="I766" s="6"/>
      <c r="J766" s="6"/>
      <c r="K766" s="6"/>
      <c r="L766" s="6"/>
      <c r="M766" s="6"/>
      <c r="N766" s="6"/>
      <c r="O766" s="6"/>
      <c r="P766" s="6"/>
      <c r="Q766" s="6"/>
      <c r="R766" s="6"/>
      <c r="S766" s="6"/>
      <c r="T766" s="6"/>
      <c r="U766" s="6"/>
      <c r="V766" s="6"/>
      <c r="W766" s="6"/>
      <c r="X766" s="6"/>
      <c r="Y766" s="6"/>
      <c r="Z766" s="6"/>
    </row>
    <row r="767" spans="1:26">
      <c r="A767" s="174"/>
      <c r="B767" s="6"/>
      <c r="C767" s="6"/>
      <c r="D767" s="6"/>
      <c r="E767" s="443"/>
      <c r="F767" s="15"/>
      <c r="G767" s="6"/>
      <c r="H767" s="6"/>
      <c r="I767" s="6"/>
      <c r="J767" s="6"/>
      <c r="K767" s="6"/>
      <c r="L767" s="6"/>
      <c r="M767" s="6"/>
      <c r="N767" s="6"/>
      <c r="O767" s="6"/>
      <c r="P767" s="6"/>
      <c r="Q767" s="6"/>
      <c r="R767" s="6"/>
      <c r="S767" s="6"/>
      <c r="T767" s="6"/>
      <c r="U767" s="6"/>
      <c r="V767" s="6"/>
      <c r="W767" s="6"/>
      <c r="X767" s="6"/>
      <c r="Y767" s="6"/>
      <c r="Z767" s="6"/>
    </row>
    <row r="768" spans="1:26">
      <c r="A768" s="174"/>
      <c r="B768" s="6"/>
      <c r="C768" s="6"/>
      <c r="D768" s="6"/>
      <c r="E768" s="443"/>
      <c r="F768" s="15"/>
      <c r="G768" s="6"/>
      <c r="H768" s="6"/>
      <c r="I768" s="6"/>
      <c r="J768" s="6"/>
      <c r="K768" s="6"/>
      <c r="L768" s="6"/>
      <c r="M768" s="6"/>
      <c r="N768" s="6"/>
      <c r="O768" s="6"/>
      <c r="P768" s="6"/>
      <c r="Q768" s="6"/>
      <c r="R768" s="6"/>
      <c r="S768" s="6"/>
      <c r="T768" s="6"/>
      <c r="U768" s="6"/>
      <c r="V768" s="6"/>
      <c r="W768" s="6"/>
      <c r="X768" s="6"/>
      <c r="Y768" s="6"/>
      <c r="Z768" s="6"/>
    </row>
    <row r="769" spans="1:26">
      <c r="A769" s="174"/>
      <c r="B769" s="6"/>
      <c r="C769" s="6"/>
      <c r="D769" s="6"/>
      <c r="E769" s="443"/>
      <c r="F769" s="15"/>
      <c r="G769" s="6"/>
      <c r="H769" s="6"/>
      <c r="I769" s="6"/>
      <c r="J769" s="6"/>
      <c r="K769" s="6"/>
      <c r="L769" s="6"/>
      <c r="M769" s="6"/>
      <c r="N769" s="6"/>
      <c r="O769" s="6"/>
      <c r="P769" s="6"/>
      <c r="Q769" s="6"/>
      <c r="R769" s="6"/>
      <c r="S769" s="6"/>
      <c r="T769" s="6"/>
      <c r="U769" s="6"/>
      <c r="V769" s="6"/>
      <c r="W769" s="6"/>
      <c r="X769" s="6"/>
      <c r="Y769" s="6"/>
      <c r="Z769" s="6"/>
    </row>
    <row r="770" spans="1:26">
      <c r="A770" s="174"/>
      <c r="B770" s="6"/>
      <c r="C770" s="6"/>
      <c r="D770" s="6"/>
      <c r="E770" s="443"/>
      <c r="F770" s="15"/>
      <c r="G770" s="6"/>
      <c r="H770" s="6"/>
      <c r="I770" s="6"/>
      <c r="J770" s="6"/>
      <c r="K770" s="6"/>
      <c r="L770" s="6"/>
      <c r="M770" s="6"/>
      <c r="N770" s="6"/>
      <c r="O770" s="6"/>
      <c r="P770" s="6"/>
      <c r="Q770" s="6"/>
      <c r="R770" s="6"/>
      <c r="S770" s="6"/>
      <c r="T770" s="6"/>
      <c r="U770" s="6"/>
      <c r="V770" s="6"/>
      <c r="W770" s="6"/>
      <c r="X770" s="6"/>
      <c r="Y770" s="6"/>
      <c r="Z770" s="6"/>
    </row>
    <row r="771" spans="1:26">
      <c r="A771" s="174"/>
      <c r="B771" s="6"/>
      <c r="C771" s="6"/>
      <c r="D771" s="6"/>
      <c r="E771" s="443"/>
      <c r="F771" s="15"/>
      <c r="G771" s="6"/>
      <c r="H771" s="6"/>
      <c r="I771" s="6"/>
      <c r="J771" s="6"/>
      <c r="K771" s="6"/>
      <c r="L771" s="6"/>
      <c r="M771" s="6"/>
      <c r="N771" s="6"/>
      <c r="O771" s="6"/>
      <c r="P771" s="6"/>
      <c r="Q771" s="6"/>
      <c r="R771" s="6"/>
      <c r="S771" s="6"/>
      <c r="T771" s="6"/>
      <c r="U771" s="6"/>
      <c r="V771" s="6"/>
      <c r="W771" s="6"/>
      <c r="X771" s="6"/>
      <c r="Y771" s="6"/>
      <c r="Z771" s="6"/>
    </row>
    <row r="772" spans="1:26">
      <c r="A772" s="174"/>
      <c r="B772" s="6"/>
      <c r="C772" s="6"/>
      <c r="D772" s="6"/>
      <c r="E772" s="443"/>
      <c r="F772" s="15"/>
      <c r="G772" s="6"/>
      <c r="H772" s="6"/>
      <c r="I772" s="6"/>
      <c r="J772" s="6"/>
      <c r="K772" s="6"/>
      <c r="L772" s="6"/>
      <c r="M772" s="6"/>
      <c r="N772" s="6"/>
      <c r="O772" s="6"/>
      <c r="P772" s="6"/>
      <c r="Q772" s="6"/>
      <c r="R772" s="6"/>
      <c r="S772" s="6"/>
      <c r="T772" s="6"/>
      <c r="U772" s="6"/>
      <c r="V772" s="6"/>
      <c r="W772" s="6"/>
      <c r="X772" s="6"/>
      <c r="Y772" s="6"/>
      <c r="Z772" s="6"/>
    </row>
    <row r="773" spans="1:26">
      <c r="A773" s="174"/>
      <c r="B773" s="6"/>
      <c r="C773" s="6"/>
      <c r="D773" s="6"/>
      <c r="E773" s="443"/>
      <c r="F773" s="15"/>
      <c r="G773" s="6"/>
      <c r="H773" s="6"/>
      <c r="I773" s="6"/>
      <c r="J773" s="6"/>
      <c r="K773" s="6"/>
      <c r="L773" s="6"/>
      <c r="M773" s="6"/>
      <c r="N773" s="6"/>
      <c r="O773" s="6"/>
      <c r="P773" s="6"/>
      <c r="Q773" s="6"/>
      <c r="R773" s="6"/>
      <c r="S773" s="6"/>
      <c r="T773" s="6"/>
      <c r="U773" s="6"/>
      <c r="V773" s="6"/>
      <c r="W773" s="6"/>
      <c r="X773" s="6"/>
      <c r="Y773" s="6"/>
      <c r="Z773" s="6"/>
    </row>
    <row r="774" spans="1:26">
      <c r="A774" s="174"/>
      <c r="B774" s="6"/>
      <c r="C774" s="6"/>
      <c r="D774" s="6"/>
      <c r="E774" s="443"/>
      <c r="F774" s="15"/>
      <c r="G774" s="6"/>
      <c r="H774" s="6"/>
      <c r="I774" s="6"/>
      <c r="J774" s="6"/>
      <c r="K774" s="6"/>
      <c r="L774" s="6"/>
      <c r="M774" s="6"/>
      <c r="N774" s="6"/>
      <c r="O774" s="6"/>
      <c r="P774" s="6"/>
      <c r="Q774" s="6"/>
      <c r="R774" s="6"/>
      <c r="S774" s="6"/>
      <c r="T774" s="6"/>
      <c r="U774" s="6"/>
      <c r="V774" s="6"/>
      <c r="W774" s="6"/>
      <c r="X774" s="6"/>
      <c r="Y774" s="6"/>
      <c r="Z774" s="6"/>
    </row>
    <row r="775" spans="1:26">
      <c r="A775" s="174"/>
      <c r="B775" s="6"/>
      <c r="C775" s="6"/>
      <c r="D775" s="6"/>
      <c r="E775" s="443"/>
      <c r="F775" s="15"/>
      <c r="G775" s="6"/>
      <c r="H775" s="6"/>
      <c r="I775" s="6"/>
      <c r="J775" s="6"/>
      <c r="K775" s="6"/>
      <c r="L775" s="6"/>
      <c r="M775" s="6"/>
      <c r="N775" s="6"/>
      <c r="O775" s="6"/>
      <c r="P775" s="6"/>
      <c r="Q775" s="6"/>
      <c r="R775" s="6"/>
      <c r="S775" s="6"/>
      <c r="T775" s="6"/>
      <c r="U775" s="6"/>
      <c r="V775" s="6"/>
      <c r="W775" s="6"/>
      <c r="X775" s="6"/>
      <c r="Y775" s="6"/>
      <c r="Z775" s="6"/>
    </row>
    <row r="776" spans="1:26">
      <c r="A776" s="174"/>
      <c r="B776" s="6"/>
      <c r="C776" s="6"/>
      <c r="D776" s="6"/>
      <c r="E776" s="443"/>
      <c r="F776" s="15"/>
      <c r="G776" s="6"/>
      <c r="H776" s="6"/>
      <c r="I776" s="6"/>
      <c r="J776" s="6"/>
      <c r="K776" s="6"/>
      <c r="L776" s="6"/>
      <c r="M776" s="6"/>
      <c r="N776" s="6"/>
      <c r="O776" s="6"/>
      <c r="P776" s="6"/>
      <c r="Q776" s="6"/>
      <c r="R776" s="6"/>
      <c r="S776" s="6"/>
      <c r="T776" s="6"/>
      <c r="U776" s="6"/>
      <c r="V776" s="6"/>
      <c r="W776" s="6"/>
      <c r="X776" s="6"/>
      <c r="Y776" s="6"/>
      <c r="Z776" s="6"/>
    </row>
    <row r="777" spans="1:26">
      <c r="A777" s="174"/>
      <c r="B777" s="6"/>
      <c r="C777" s="6"/>
      <c r="D777" s="6"/>
      <c r="E777" s="443"/>
      <c r="F777" s="15"/>
      <c r="G777" s="6"/>
      <c r="H777" s="6"/>
      <c r="I777" s="6"/>
      <c r="J777" s="6"/>
      <c r="K777" s="6"/>
      <c r="L777" s="6"/>
      <c r="M777" s="6"/>
      <c r="N777" s="6"/>
      <c r="O777" s="6"/>
      <c r="P777" s="6"/>
      <c r="Q777" s="6"/>
      <c r="R777" s="6"/>
      <c r="S777" s="6"/>
      <c r="T777" s="6"/>
      <c r="U777" s="6"/>
      <c r="V777" s="6"/>
      <c r="W777" s="6"/>
      <c r="X777" s="6"/>
      <c r="Y777" s="6"/>
      <c r="Z777" s="6"/>
    </row>
    <row r="778" spans="1:26">
      <c r="A778" s="174"/>
      <c r="B778" s="6"/>
      <c r="C778" s="6"/>
      <c r="D778" s="6"/>
      <c r="E778" s="443"/>
      <c r="F778" s="15"/>
      <c r="G778" s="6"/>
      <c r="H778" s="6"/>
      <c r="I778" s="6"/>
      <c r="J778" s="6"/>
      <c r="K778" s="6"/>
      <c r="L778" s="6"/>
      <c r="M778" s="6"/>
      <c r="N778" s="6"/>
      <c r="O778" s="6"/>
      <c r="P778" s="6"/>
      <c r="Q778" s="6"/>
      <c r="R778" s="6"/>
      <c r="S778" s="6"/>
      <c r="T778" s="6"/>
      <c r="U778" s="6"/>
      <c r="V778" s="6"/>
      <c r="W778" s="6"/>
      <c r="X778" s="6"/>
      <c r="Y778" s="6"/>
      <c r="Z778" s="6"/>
    </row>
    <row r="779" spans="1:26">
      <c r="A779" s="174"/>
      <c r="B779" s="6"/>
      <c r="C779" s="6"/>
      <c r="D779" s="6"/>
      <c r="E779" s="443"/>
      <c r="F779" s="15"/>
      <c r="G779" s="6"/>
      <c r="H779" s="6"/>
      <c r="I779" s="6"/>
      <c r="J779" s="6"/>
      <c r="K779" s="6"/>
      <c r="L779" s="6"/>
      <c r="M779" s="6"/>
      <c r="N779" s="6"/>
      <c r="O779" s="6"/>
      <c r="P779" s="6"/>
      <c r="Q779" s="6"/>
      <c r="R779" s="6"/>
      <c r="S779" s="6"/>
      <c r="T779" s="6"/>
      <c r="U779" s="6"/>
      <c r="V779" s="6"/>
      <c r="W779" s="6"/>
      <c r="X779" s="6"/>
      <c r="Y779" s="6"/>
      <c r="Z779" s="6"/>
    </row>
    <row r="780" spans="1:26">
      <c r="A780" s="174"/>
      <c r="B780" s="6"/>
      <c r="C780" s="6"/>
      <c r="D780" s="6"/>
      <c r="E780" s="443"/>
      <c r="F780" s="15"/>
      <c r="G780" s="6"/>
      <c r="H780" s="6"/>
      <c r="I780" s="6"/>
      <c r="J780" s="6"/>
      <c r="K780" s="6"/>
      <c r="L780" s="6"/>
      <c r="M780" s="6"/>
      <c r="N780" s="6"/>
      <c r="O780" s="6"/>
      <c r="P780" s="6"/>
      <c r="Q780" s="6"/>
      <c r="R780" s="6"/>
      <c r="S780" s="6"/>
      <c r="T780" s="6"/>
      <c r="U780" s="6"/>
      <c r="V780" s="6"/>
      <c r="W780" s="6"/>
      <c r="X780" s="6"/>
      <c r="Y780" s="6"/>
      <c r="Z780" s="6"/>
    </row>
    <row r="781" spans="1:26">
      <c r="A781" s="174"/>
      <c r="B781" s="6"/>
      <c r="C781" s="6"/>
      <c r="D781" s="6"/>
      <c r="E781" s="443"/>
      <c r="F781" s="15"/>
      <c r="G781" s="6"/>
      <c r="H781" s="6"/>
      <c r="I781" s="6"/>
      <c r="J781" s="6"/>
      <c r="K781" s="6"/>
      <c r="L781" s="6"/>
      <c r="M781" s="6"/>
      <c r="N781" s="6"/>
      <c r="O781" s="6"/>
      <c r="P781" s="6"/>
      <c r="Q781" s="6"/>
      <c r="R781" s="6"/>
      <c r="S781" s="6"/>
      <c r="T781" s="6"/>
      <c r="U781" s="6"/>
      <c r="V781" s="6"/>
      <c r="W781" s="6"/>
      <c r="X781" s="6"/>
      <c r="Y781" s="6"/>
      <c r="Z781" s="6"/>
    </row>
    <row r="782" spans="1:26">
      <c r="A782" s="174"/>
      <c r="B782" s="6"/>
      <c r="C782" s="6"/>
      <c r="D782" s="6"/>
      <c r="E782" s="443"/>
      <c r="F782" s="15"/>
      <c r="G782" s="6"/>
      <c r="H782" s="6"/>
      <c r="I782" s="6"/>
      <c r="J782" s="6"/>
      <c r="K782" s="6"/>
      <c r="L782" s="6"/>
      <c r="M782" s="6"/>
      <c r="N782" s="6"/>
      <c r="O782" s="6"/>
      <c r="P782" s="6"/>
      <c r="Q782" s="6"/>
      <c r="R782" s="6"/>
      <c r="S782" s="6"/>
      <c r="T782" s="6"/>
      <c r="U782" s="6"/>
      <c r="V782" s="6"/>
      <c r="W782" s="6"/>
      <c r="X782" s="6"/>
      <c r="Y782" s="6"/>
      <c r="Z782" s="6"/>
    </row>
    <row r="783" spans="1:26">
      <c r="A783" s="174"/>
      <c r="B783" s="6"/>
      <c r="C783" s="6"/>
      <c r="D783" s="6"/>
      <c r="E783" s="443"/>
      <c r="F783" s="15"/>
      <c r="G783" s="6"/>
      <c r="H783" s="6"/>
      <c r="I783" s="6"/>
      <c r="J783" s="6"/>
      <c r="K783" s="6"/>
      <c r="L783" s="6"/>
      <c r="M783" s="6"/>
      <c r="N783" s="6"/>
      <c r="O783" s="6"/>
      <c r="P783" s="6"/>
      <c r="Q783" s="6"/>
      <c r="R783" s="6"/>
      <c r="S783" s="6"/>
      <c r="T783" s="6"/>
      <c r="U783" s="6"/>
      <c r="V783" s="6"/>
      <c r="W783" s="6"/>
      <c r="X783" s="6"/>
      <c r="Y783" s="6"/>
      <c r="Z783" s="6"/>
    </row>
    <row r="784" spans="1:26">
      <c r="A784" s="174"/>
      <c r="B784" s="6"/>
      <c r="C784" s="6"/>
      <c r="D784" s="6"/>
      <c r="E784" s="443"/>
      <c r="F784" s="15"/>
      <c r="G784" s="6"/>
      <c r="H784" s="6"/>
      <c r="I784" s="6"/>
      <c r="J784" s="6"/>
      <c r="K784" s="6"/>
      <c r="L784" s="6"/>
      <c r="M784" s="6"/>
      <c r="N784" s="6"/>
      <c r="O784" s="6"/>
      <c r="P784" s="6"/>
      <c r="Q784" s="6"/>
      <c r="R784" s="6"/>
      <c r="S784" s="6"/>
      <c r="T784" s="6"/>
      <c r="U784" s="6"/>
      <c r="V784" s="6"/>
      <c r="W784" s="6"/>
      <c r="X784" s="6"/>
      <c r="Y784" s="6"/>
      <c r="Z784" s="6"/>
    </row>
    <row r="785" spans="1:26">
      <c r="A785" s="174"/>
      <c r="B785" s="6"/>
      <c r="C785" s="6"/>
      <c r="D785" s="6"/>
      <c r="E785" s="443"/>
      <c r="F785" s="15"/>
      <c r="G785" s="6"/>
      <c r="H785" s="6"/>
      <c r="I785" s="6"/>
      <c r="J785" s="6"/>
      <c r="K785" s="6"/>
      <c r="L785" s="6"/>
      <c r="M785" s="6"/>
      <c r="N785" s="6"/>
      <c r="O785" s="6"/>
      <c r="P785" s="6"/>
      <c r="Q785" s="6"/>
      <c r="R785" s="6"/>
      <c r="S785" s="6"/>
      <c r="T785" s="6"/>
      <c r="U785" s="6"/>
      <c r="V785" s="6"/>
      <c r="W785" s="6"/>
      <c r="X785" s="6"/>
      <c r="Y785" s="6"/>
      <c r="Z785" s="6"/>
    </row>
    <row r="786" spans="1:26">
      <c r="A786" s="174"/>
      <c r="B786" s="6"/>
      <c r="C786" s="6"/>
      <c r="D786" s="6"/>
      <c r="E786" s="443"/>
      <c r="F786" s="15"/>
      <c r="G786" s="6"/>
      <c r="H786" s="6"/>
      <c r="I786" s="6"/>
      <c r="J786" s="6"/>
      <c r="K786" s="6"/>
      <c r="L786" s="6"/>
      <c r="M786" s="6"/>
      <c r="N786" s="6"/>
      <c r="O786" s="6"/>
      <c r="P786" s="6"/>
      <c r="Q786" s="6"/>
      <c r="R786" s="6"/>
      <c r="S786" s="6"/>
      <c r="T786" s="6"/>
      <c r="U786" s="6"/>
      <c r="V786" s="6"/>
      <c r="W786" s="6"/>
      <c r="X786" s="6"/>
      <c r="Y786" s="6"/>
      <c r="Z786" s="6"/>
    </row>
    <row r="787" spans="1:26">
      <c r="A787" s="174"/>
      <c r="B787" s="6"/>
      <c r="C787" s="6"/>
      <c r="D787" s="6"/>
      <c r="E787" s="443"/>
      <c r="F787" s="15"/>
      <c r="G787" s="6"/>
      <c r="H787" s="6"/>
      <c r="I787" s="6"/>
      <c r="J787" s="6"/>
      <c r="K787" s="6"/>
      <c r="L787" s="6"/>
      <c r="M787" s="6"/>
      <c r="N787" s="6"/>
      <c r="O787" s="6"/>
      <c r="P787" s="6"/>
      <c r="Q787" s="6"/>
      <c r="R787" s="6"/>
      <c r="S787" s="6"/>
      <c r="T787" s="6"/>
      <c r="U787" s="6"/>
      <c r="V787" s="6"/>
      <c r="W787" s="6"/>
      <c r="X787" s="6"/>
      <c r="Y787" s="6"/>
      <c r="Z787" s="6"/>
    </row>
    <row r="788" spans="1:26">
      <c r="A788" s="174"/>
      <c r="B788" s="6"/>
      <c r="C788" s="6"/>
      <c r="D788" s="6"/>
      <c r="E788" s="443"/>
      <c r="F788" s="15"/>
      <c r="G788" s="6"/>
      <c r="H788" s="6"/>
      <c r="I788" s="6"/>
      <c r="J788" s="6"/>
      <c r="K788" s="6"/>
      <c r="L788" s="6"/>
      <c r="M788" s="6"/>
      <c r="N788" s="6"/>
      <c r="O788" s="6"/>
      <c r="P788" s="6"/>
      <c r="Q788" s="6"/>
      <c r="R788" s="6"/>
      <c r="S788" s="6"/>
      <c r="T788" s="6"/>
      <c r="U788" s="6"/>
      <c r="V788" s="6"/>
      <c r="W788" s="6"/>
      <c r="X788" s="6"/>
      <c r="Y788" s="6"/>
      <c r="Z788" s="6"/>
    </row>
    <row r="789" spans="1:26">
      <c r="A789" s="174"/>
      <c r="B789" s="6"/>
      <c r="C789" s="6"/>
      <c r="D789" s="6"/>
      <c r="E789" s="443"/>
      <c r="F789" s="15"/>
      <c r="G789" s="6"/>
      <c r="H789" s="6"/>
      <c r="I789" s="6"/>
      <c r="J789" s="6"/>
      <c r="K789" s="6"/>
      <c r="L789" s="6"/>
      <c r="M789" s="6"/>
      <c r="N789" s="6"/>
      <c r="O789" s="6"/>
      <c r="P789" s="6"/>
      <c r="Q789" s="6"/>
      <c r="R789" s="6"/>
      <c r="S789" s="6"/>
      <c r="T789" s="6"/>
      <c r="U789" s="6"/>
      <c r="V789" s="6"/>
      <c r="W789" s="6"/>
      <c r="X789" s="6"/>
      <c r="Y789" s="6"/>
      <c r="Z789" s="6"/>
    </row>
    <row r="790" spans="1:26">
      <c r="A790" s="174"/>
      <c r="B790" s="6"/>
      <c r="C790" s="6"/>
      <c r="D790" s="6"/>
      <c r="E790" s="443"/>
      <c r="F790" s="15"/>
      <c r="G790" s="6"/>
      <c r="H790" s="6"/>
      <c r="I790" s="6"/>
      <c r="J790" s="6"/>
      <c r="K790" s="6"/>
      <c r="L790" s="6"/>
      <c r="M790" s="6"/>
      <c r="N790" s="6"/>
      <c r="O790" s="6"/>
      <c r="P790" s="6"/>
      <c r="Q790" s="6"/>
      <c r="R790" s="6"/>
      <c r="S790" s="6"/>
      <c r="T790" s="6"/>
      <c r="U790" s="6"/>
      <c r="V790" s="6"/>
      <c r="W790" s="6"/>
      <c r="X790" s="6"/>
      <c r="Y790" s="6"/>
      <c r="Z790" s="6"/>
    </row>
    <row r="791" spans="1:26">
      <c r="A791" s="174"/>
      <c r="B791" s="6"/>
      <c r="C791" s="6"/>
      <c r="D791" s="6"/>
      <c r="E791" s="443"/>
      <c r="F791" s="15"/>
      <c r="G791" s="6"/>
      <c r="H791" s="6"/>
      <c r="I791" s="6"/>
      <c r="J791" s="6"/>
      <c r="K791" s="6"/>
      <c r="L791" s="6"/>
      <c r="M791" s="6"/>
      <c r="N791" s="6"/>
      <c r="O791" s="6"/>
      <c r="P791" s="6"/>
      <c r="Q791" s="6"/>
      <c r="R791" s="6"/>
      <c r="S791" s="6"/>
      <c r="T791" s="6"/>
      <c r="U791" s="6"/>
      <c r="V791" s="6"/>
      <c r="W791" s="6"/>
      <c r="X791" s="6"/>
      <c r="Y791" s="6"/>
      <c r="Z791" s="6"/>
    </row>
    <row r="792" spans="1:26">
      <c r="A792" s="174"/>
      <c r="B792" s="6"/>
      <c r="C792" s="6"/>
      <c r="D792" s="6"/>
      <c r="E792" s="443"/>
      <c r="F792" s="15"/>
      <c r="G792" s="6"/>
      <c r="H792" s="6"/>
      <c r="I792" s="6"/>
      <c r="J792" s="6"/>
      <c r="K792" s="6"/>
      <c r="L792" s="6"/>
      <c r="M792" s="6"/>
      <c r="N792" s="6"/>
      <c r="O792" s="6"/>
      <c r="P792" s="6"/>
      <c r="Q792" s="6"/>
      <c r="R792" s="6"/>
      <c r="S792" s="6"/>
      <c r="T792" s="6"/>
      <c r="U792" s="6"/>
      <c r="V792" s="6"/>
      <c r="W792" s="6"/>
      <c r="X792" s="6"/>
      <c r="Y792" s="6"/>
      <c r="Z792" s="6"/>
    </row>
    <row r="793" spans="1:26">
      <c r="A793" s="174"/>
      <c r="B793" s="6"/>
      <c r="C793" s="6"/>
      <c r="D793" s="6"/>
      <c r="E793" s="443"/>
      <c r="F793" s="15"/>
      <c r="G793" s="6"/>
      <c r="H793" s="6"/>
      <c r="I793" s="6"/>
      <c r="J793" s="6"/>
      <c r="K793" s="6"/>
      <c r="L793" s="6"/>
      <c r="M793" s="6"/>
      <c r="N793" s="6"/>
      <c r="O793" s="6"/>
      <c r="P793" s="6"/>
      <c r="Q793" s="6"/>
      <c r="R793" s="6"/>
      <c r="S793" s="6"/>
      <c r="T793" s="6"/>
      <c r="U793" s="6"/>
      <c r="V793" s="6"/>
      <c r="W793" s="6"/>
      <c r="X793" s="6"/>
      <c r="Y793" s="6"/>
      <c r="Z793" s="6"/>
    </row>
    <row r="794" spans="1:26">
      <c r="A794" s="174"/>
      <c r="B794" s="6"/>
      <c r="C794" s="6"/>
      <c r="D794" s="6"/>
      <c r="E794" s="443"/>
      <c r="F794" s="15"/>
      <c r="G794" s="6"/>
      <c r="H794" s="6"/>
      <c r="I794" s="6"/>
      <c r="J794" s="6"/>
      <c r="K794" s="6"/>
      <c r="L794" s="6"/>
      <c r="M794" s="6"/>
      <c r="N794" s="6"/>
      <c r="O794" s="6"/>
      <c r="P794" s="6"/>
      <c r="Q794" s="6"/>
      <c r="R794" s="6"/>
      <c r="S794" s="6"/>
      <c r="T794" s="6"/>
      <c r="U794" s="6"/>
      <c r="V794" s="6"/>
      <c r="W794" s="6"/>
      <c r="X794" s="6"/>
      <c r="Y794" s="6"/>
      <c r="Z794" s="6"/>
    </row>
    <row r="795" spans="1:26">
      <c r="A795" s="174"/>
      <c r="B795" s="6"/>
      <c r="C795" s="6"/>
      <c r="D795" s="6"/>
      <c r="E795" s="443"/>
      <c r="F795" s="15"/>
      <c r="G795" s="6"/>
      <c r="H795" s="6"/>
      <c r="I795" s="6"/>
      <c r="J795" s="6"/>
      <c r="K795" s="6"/>
      <c r="L795" s="6"/>
      <c r="M795" s="6"/>
      <c r="N795" s="6"/>
      <c r="O795" s="6"/>
      <c r="P795" s="6"/>
      <c r="Q795" s="6"/>
      <c r="R795" s="6"/>
      <c r="S795" s="6"/>
      <c r="T795" s="6"/>
      <c r="U795" s="6"/>
      <c r="V795" s="6"/>
      <c r="W795" s="6"/>
      <c r="X795" s="6"/>
      <c r="Y795" s="6"/>
      <c r="Z795" s="6"/>
    </row>
    <row r="796" spans="1:26">
      <c r="A796" s="174"/>
      <c r="B796" s="6"/>
      <c r="C796" s="6"/>
      <c r="D796" s="6"/>
      <c r="E796" s="443"/>
      <c r="F796" s="15"/>
      <c r="G796" s="6"/>
      <c r="H796" s="6"/>
      <c r="I796" s="6"/>
      <c r="J796" s="6"/>
      <c r="K796" s="6"/>
      <c r="L796" s="6"/>
      <c r="M796" s="6"/>
      <c r="N796" s="6"/>
      <c r="O796" s="6"/>
      <c r="P796" s="6"/>
      <c r="Q796" s="6"/>
      <c r="R796" s="6"/>
      <c r="S796" s="6"/>
      <c r="T796" s="6"/>
      <c r="U796" s="6"/>
      <c r="V796" s="6"/>
      <c r="W796" s="6"/>
      <c r="X796" s="6"/>
      <c r="Y796" s="6"/>
      <c r="Z796" s="6"/>
    </row>
    <row r="797" spans="1:26">
      <c r="A797" s="174"/>
      <c r="B797" s="6"/>
      <c r="C797" s="6"/>
      <c r="D797" s="6"/>
      <c r="E797" s="443"/>
      <c r="F797" s="15"/>
      <c r="G797" s="6"/>
      <c r="H797" s="6"/>
      <c r="I797" s="6"/>
      <c r="J797" s="6"/>
      <c r="K797" s="6"/>
      <c r="L797" s="6"/>
      <c r="M797" s="6"/>
      <c r="N797" s="6"/>
      <c r="O797" s="6"/>
      <c r="P797" s="6"/>
      <c r="Q797" s="6"/>
      <c r="R797" s="6"/>
      <c r="S797" s="6"/>
      <c r="T797" s="6"/>
      <c r="U797" s="6"/>
      <c r="V797" s="6"/>
      <c r="W797" s="6"/>
      <c r="X797" s="6"/>
      <c r="Y797" s="6"/>
      <c r="Z797" s="6"/>
    </row>
    <row r="798" spans="1:26">
      <c r="A798" s="174"/>
      <c r="B798" s="6"/>
      <c r="C798" s="6"/>
      <c r="D798" s="6"/>
      <c r="E798" s="443"/>
      <c r="F798" s="15"/>
      <c r="G798" s="6"/>
      <c r="H798" s="6"/>
      <c r="I798" s="6"/>
      <c r="J798" s="6"/>
      <c r="K798" s="6"/>
      <c r="L798" s="6"/>
      <c r="M798" s="6"/>
      <c r="N798" s="6"/>
      <c r="O798" s="6"/>
      <c r="P798" s="6"/>
      <c r="Q798" s="6"/>
      <c r="R798" s="6"/>
      <c r="S798" s="6"/>
      <c r="T798" s="6"/>
      <c r="U798" s="6"/>
      <c r="V798" s="6"/>
      <c r="W798" s="6"/>
      <c r="X798" s="6"/>
      <c r="Y798" s="6"/>
      <c r="Z798" s="6"/>
    </row>
    <row r="799" spans="1:26">
      <c r="A799" s="174"/>
      <c r="B799" s="6"/>
      <c r="C799" s="6"/>
      <c r="D799" s="6"/>
      <c r="E799" s="443"/>
      <c r="F799" s="15"/>
      <c r="G799" s="6"/>
      <c r="H799" s="6"/>
      <c r="I799" s="6"/>
      <c r="J799" s="6"/>
      <c r="K799" s="6"/>
      <c r="L799" s="6"/>
      <c r="M799" s="6"/>
      <c r="N799" s="6"/>
      <c r="O799" s="6"/>
      <c r="P799" s="6"/>
      <c r="Q799" s="6"/>
      <c r="R799" s="6"/>
      <c r="S799" s="6"/>
      <c r="T799" s="6"/>
      <c r="U799" s="6"/>
      <c r="V799" s="6"/>
      <c r="W799" s="6"/>
      <c r="X799" s="6"/>
      <c r="Y799" s="6"/>
      <c r="Z799" s="6"/>
    </row>
    <row r="800" spans="1:26">
      <c r="A800" s="174"/>
      <c r="B800" s="6"/>
      <c r="C800" s="6"/>
      <c r="D800" s="6"/>
      <c r="E800" s="443"/>
      <c r="F800" s="15"/>
      <c r="G800" s="6"/>
      <c r="H800" s="6"/>
      <c r="I800" s="6"/>
      <c r="J800" s="6"/>
      <c r="K800" s="6"/>
      <c r="L800" s="6"/>
      <c r="M800" s="6"/>
      <c r="N800" s="6"/>
      <c r="O800" s="6"/>
      <c r="P800" s="6"/>
      <c r="Q800" s="6"/>
      <c r="R800" s="6"/>
      <c r="S800" s="6"/>
      <c r="T800" s="6"/>
      <c r="U800" s="6"/>
      <c r="V800" s="6"/>
      <c r="W800" s="6"/>
      <c r="X800" s="6"/>
      <c r="Y800" s="6"/>
      <c r="Z800" s="6"/>
    </row>
    <row r="801" spans="1:26">
      <c r="A801" s="174"/>
      <c r="B801" s="6"/>
      <c r="C801" s="6"/>
      <c r="D801" s="6"/>
      <c r="E801" s="443"/>
      <c r="F801" s="15"/>
      <c r="G801" s="6"/>
      <c r="H801" s="6"/>
      <c r="I801" s="6"/>
      <c r="J801" s="6"/>
      <c r="K801" s="6"/>
      <c r="L801" s="6"/>
      <c r="M801" s="6"/>
      <c r="N801" s="6"/>
      <c r="O801" s="6"/>
      <c r="P801" s="6"/>
      <c r="Q801" s="6"/>
      <c r="R801" s="6"/>
      <c r="S801" s="6"/>
      <c r="T801" s="6"/>
      <c r="U801" s="6"/>
      <c r="V801" s="6"/>
      <c r="W801" s="6"/>
      <c r="X801" s="6"/>
      <c r="Y801" s="6"/>
      <c r="Z801" s="6"/>
    </row>
    <row r="802" spans="1:26">
      <c r="A802" s="174"/>
      <c r="B802" s="6"/>
      <c r="C802" s="6"/>
      <c r="D802" s="6"/>
      <c r="E802" s="443"/>
      <c r="F802" s="15"/>
      <c r="G802" s="6"/>
      <c r="H802" s="6"/>
      <c r="I802" s="6"/>
      <c r="J802" s="6"/>
      <c r="K802" s="6"/>
      <c r="L802" s="6"/>
      <c r="M802" s="6"/>
      <c r="N802" s="6"/>
      <c r="O802" s="6"/>
      <c r="P802" s="6"/>
      <c r="Q802" s="6"/>
      <c r="R802" s="6"/>
      <c r="S802" s="6"/>
      <c r="T802" s="6"/>
      <c r="U802" s="6"/>
      <c r="V802" s="6"/>
      <c r="W802" s="6"/>
      <c r="X802" s="6"/>
      <c r="Y802" s="6"/>
      <c r="Z802" s="6"/>
    </row>
    <row r="803" spans="1:26">
      <c r="A803" s="174"/>
      <c r="B803" s="6"/>
      <c r="C803" s="6"/>
      <c r="D803" s="6"/>
      <c r="E803" s="443"/>
      <c r="F803" s="15"/>
      <c r="G803" s="6"/>
      <c r="H803" s="6"/>
      <c r="I803" s="6"/>
      <c r="J803" s="6"/>
      <c r="K803" s="6"/>
      <c r="L803" s="6"/>
      <c r="M803" s="6"/>
      <c r="N803" s="6"/>
      <c r="O803" s="6"/>
      <c r="P803" s="6"/>
      <c r="Q803" s="6"/>
      <c r="R803" s="6"/>
      <c r="S803" s="6"/>
      <c r="T803" s="6"/>
      <c r="U803" s="6"/>
      <c r="V803" s="6"/>
      <c r="W803" s="6"/>
      <c r="X803" s="6"/>
      <c r="Y803" s="6"/>
      <c r="Z803" s="6"/>
    </row>
    <row r="804" spans="1:26">
      <c r="A804" s="174"/>
      <c r="B804" s="6"/>
      <c r="C804" s="6"/>
      <c r="D804" s="6"/>
      <c r="E804" s="443"/>
      <c r="F804" s="15"/>
      <c r="G804" s="6"/>
      <c r="H804" s="6"/>
      <c r="I804" s="6"/>
      <c r="J804" s="6"/>
      <c r="K804" s="6"/>
      <c r="L804" s="6"/>
      <c r="M804" s="6"/>
      <c r="N804" s="6"/>
      <c r="O804" s="6"/>
      <c r="P804" s="6"/>
      <c r="Q804" s="6"/>
      <c r="R804" s="6"/>
      <c r="S804" s="6"/>
      <c r="T804" s="6"/>
      <c r="U804" s="6"/>
      <c r="V804" s="6"/>
      <c r="W804" s="6"/>
      <c r="X804" s="6"/>
      <c r="Y804" s="6"/>
      <c r="Z804" s="6"/>
    </row>
    <row r="805" spans="1:26">
      <c r="A805" s="174"/>
      <c r="B805" s="6"/>
      <c r="C805" s="6"/>
      <c r="D805" s="6"/>
      <c r="E805" s="443"/>
      <c r="F805" s="15"/>
      <c r="G805" s="6"/>
      <c r="H805" s="6"/>
      <c r="I805" s="6"/>
      <c r="J805" s="6"/>
      <c r="K805" s="6"/>
      <c r="L805" s="6"/>
      <c r="M805" s="6"/>
      <c r="N805" s="6"/>
      <c r="O805" s="6"/>
      <c r="P805" s="6"/>
      <c r="Q805" s="6"/>
      <c r="R805" s="6"/>
      <c r="S805" s="6"/>
      <c r="T805" s="6"/>
      <c r="U805" s="6"/>
      <c r="V805" s="6"/>
      <c r="W805" s="6"/>
      <c r="X805" s="6"/>
      <c r="Y805" s="6"/>
      <c r="Z805" s="6"/>
    </row>
    <row r="806" spans="1:26">
      <c r="A806" s="174"/>
      <c r="B806" s="6"/>
      <c r="C806" s="6"/>
      <c r="D806" s="6"/>
      <c r="E806" s="443"/>
      <c r="F806" s="15"/>
      <c r="G806" s="6"/>
      <c r="H806" s="6"/>
      <c r="I806" s="6"/>
      <c r="J806" s="6"/>
      <c r="K806" s="6"/>
      <c r="L806" s="6"/>
      <c r="M806" s="6"/>
      <c r="N806" s="6"/>
      <c r="O806" s="6"/>
      <c r="P806" s="6"/>
      <c r="Q806" s="6"/>
      <c r="R806" s="6"/>
      <c r="S806" s="6"/>
      <c r="T806" s="6"/>
      <c r="U806" s="6"/>
      <c r="V806" s="6"/>
      <c r="W806" s="6"/>
      <c r="X806" s="6"/>
      <c r="Y806" s="6"/>
      <c r="Z806" s="6"/>
    </row>
    <row r="807" spans="1:26">
      <c r="A807" s="174"/>
      <c r="B807" s="6"/>
      <c r="C807" s="6"/>
      <c r="D807" s="6"/>
      <c r="E807" s="443"/>
      <c r="F807" s="15"/>
      <c r="G807" s="6"/>
      <c r="H807" s="6"/>
      <c r="I807" s="6"/>
      <c r="J807" s="6"/>
      <c r="K807" s="6"/>
      <c r="L807" s="6"/>
      <c r="M807" s="6"/>
      <c r="N807" s="6"/>
      <c r="O807" s="6"/>
      <c r="P807" s="6"/>
      <c r="Q807" s="6"/>
      <c r="R807" s="6"/>
      <c r="S807" s="6"/>
      <c r="T807" s="6"/>
      <c r="U807" s="6"/>
      <c r="V807" s="6"/>
      <c r="W807" s="6"/>
      <c r="X807" s="6"/>
      <c r="Y807" s="6"/>
      <c r="Z807" s="6"/>
    </row>
    <row r="808" spans="1:26">
      <c r="A808" s="174"/>
      <c r="B808" s="6"/>
      <c r="C808" s="6"/>
      <c r="D808" s="6"/>
      <c r="E808" s="443"/>
      <c r="F808" s="15"/>
      <c r="G808" s="6"/>
      <c r="H808" s="6"/>
      <c r="I808" s="6"/>
      <c r="J808" s="6"/>
      <c r="K808" s="6"/>
      <c r="L808" s="6"/>
      <c r="M808" s="6"/>
      <c r="N808" s="6"/>
      <c r="O808" s="6"/>
      <c r="P808" s="6"/>
      <c r="Q808" s="6"/>
      <c r="R808" s="6"/>
      <c r="S808" s="6"/>
      <c r="T808" s="6"/>
      <c r="U808" s="6"/>
      <c r="V808" s="6"/>
      <c r="W808" s="6"/>
      <c r="X808" s="6"/>
      <c r="Y808" s="6"/>
      <c r="Z808" s="6"/>
    </row>
    <row r="809" spans="1:26">
      <c r="A809" s="174"/>
      <c r="B809" s="6"/>
      <c r="C809" s="6"/>
      <c r="D809" s="6"/>
      <c r="E809" s="443"/>
      <c r="F809" s="15"/>
      <c r="G809" s="6"/>
      <c r="H809" s="6"/>
      <c r="I809" s="6"/>
      <c r="J809" s="6"/>
      <c r="K809" s="6"/>
      <c r="L809" s="6"/>
      <c r="M809" s="6"/>
      <c r="N809" s="6"/>
      <c r="O809" s="6"/>
      <c r="P809" s="6"/>
      <c r="Q809" s="6"/>
      <c r="R809" s="6"/>
      <c r="S809" s="6"/>
      <c r="T809" s="6"/>
      <c r="U809" s="6"/>
      <c r="V809" s="6"/>
      <c r="W809" s="6"/>
      <c r="X809" s="6"/>
      <c r="Y809" s="6"/>
      <c r="Z809" s="6"/>
    </row>
    <row r="810" spans="1:26">
      <c r="A810" s="174"/>
      <c r="B810" s="6"/>
      <c r="C810" s="6"/>
      <c r="D810" s="6"/>
      <c r="E810" s="443"/>
      <c r="F810" s="15"/>
      <c r="G810" s="6"/>
      <c r="H810" s="6"/>
      <c r="I810" s="6"/>
      <c r="J810" s="6"/>
      <c r="K810" s="6"/>
      <c r="L810" s="6"/>
      <c r="M810" s="6"/>
      <c r="N810" s="6"/>
      <c r="O810" s="6"/>
      <c r="P810" s="6"/>
      <c r="Q810" s="6"/>
      <c r="R810" s="6"/>
      <c r="S810" s="6"/>
      <c r="T810" s="6"/>
      <c r="U810" s="6"/>
      <c r="V810" s="6"/>
      <c r="W810" s="6"/>
      <c r="X810" s="6"/>
      <c r="Y810" s="6"/>
      <c r="Z810" s="6"/>
    </row>
    <row r="811" spans="1:26">
      <c r="A811" s="174"/>
      <c r="B811" s="6"/>
      <c r="C811" s="6"/>
      <c r="D811" s="6"/>
      <c r="E811" s="443"/>
      <c r="F811" s="15"/>
      <c r="G811" s="6"/>
      <c r="H811" s="6"/>
      <c r="I811" s="6"/>
      <c r="J811" s="6"/>
      <c r="K811" s="6"/>
      <c r="L811" s="6"/>
      <c r="M811" s="6"/>
      <c r="N811" s="6"/>
      <c r="O811" s="6"/>
      <c r="P811" s="6"/>
      <c r="Q811" s="6"/>
      <c r="R811" s="6"/>
      <c r="S811" s="6"/>
      <c r="T811" s="6"/>
      <c r="U811" s="6"/>
      <c r="V811" s="6"/>
      <c r="W811" s="6"/>
      <c r="X811" s="6"/>
      <c r="Y811" s="6"/>
      <c r="Z811" s="6"/>
    </row>
    <row r="812" spans="1:26">
      <c r="A812" s="174"/>
      <c r="B812" s="6"/>
      <c r="C812" s="6"/>
      <c r="D812" s="6"/>
      <c r="E812" s="443"/>
      <c r="F812" s="15"/>
      <c r="G812" s="6"/>
      <c r="H812" s="6"/>
      <c r="I812" s="6"/>
      <c r="J812" s="6"/>
      <c r="K812" s="6"/>
      <c r="L812" s="6"/>
      <c r="M812" s="6"/>
      <c r="N812" s="6"/>
      <c r="O812" s="6"/>
      <c r="P812" s="6"/>
      <c r="Q812" s="6"/>
      <c r="R812" s="6"/>
      <c r="S812" s="6"/>
      <c r="T812" s="6"/>
      <c r="U812" s="6"/>
      <c r="V812" s="6"/>
      <c r="W812" s="6"/>
      <c r="X812" s="6"/>
      <c r="Y812" s="6"/>
      <c r="Z812" s="6"/>
    </row>
    <row r="813" spans="1:26">
      <c r="A813" s="174"/>
      <c r="B813" s="6"/>
      <c r="C813" s="6"/>
      <c r="D813" s="6"/>
      <c r="E813" s="443"/>
      <c r="F813" s="15"/>
      <c r="G813" s="6"/>
      <c r="H813" s="6"/>
      <c r="I813" s="6"/>
      <c r="J813" s="6"/>
      <c r="K813" s="6"/>
      <c r="L813" s="6"/>
      <c r="M813" s="6"/>
      <c r="N813" s="6"/>
      <c r="O813" s="6"/>
      <c r="P813" s="6"/>
      <c r="Q813" s="6"/>
      <c r="R813" s="6"/>
      <c r="S813" s="6"/>
      <c r="T813" s="6"/>
      <c r="U813" s="6"/>
      <c r="V813" s="6"/>
      <c r="W813" s="6"/>
      <c r="X813" s="6"/>
      <c r="Y813" s="6"/>
      <c r="Z813" s="6"/>
    </row>
    <row r="814" spans="1:26">
      <c r="A814" s="174"/>
      <c r="B814" s="6"/>
      <c r="C814" s="6"/>
      <c r="D814" s="6"/>
      <c r="E814" s="443"/>
      <c r="F814" s="15"/>
      <c r="G814" s="6"/>
      <c r="H814" s="6"/>
      <c r="I814" s="6"/>
      <c r="J814" s="6"/>
      <c r="K814" s="6"/>
      <c r="L814" s="6"/>
      <c r="M814" s="6"/>
      <c r="N814" s="6"/>
      <c r="O814" s="6"/>
      <c r="P814" s="6"/>
      <c r="Q814" s="6"/>
      <c r="R814" s="6"/>
      <c r="S814" s="6"/>
      <c r="T814" s="6"/>
      <c r="U814" s="6"/>
      <c r="V814" s="6"/>
      <c r="W814" s="6"/>
      <c r="X814" s="6"/>
      <c r="Y814" s="6"/>
      <c r="Z814" s="6"/>
    </row>
    <row r="815" spans="1:26">
      <c r="A815" s="174"/>
      <c r="B815" s="6"/>
      <c r="C815" s="6"/>
      <c r="D815" s="6"/>
      <c r="E815" s="443"/>
      <c r="F815" s="15"/>
      <c r="G815" s="6"/>
      <c r="H815" s="6"/>
      <c r="I815" s="6"/>
      <c r="J815" s="6"/>
      <c r="K815" s="6"/>
      <c r="L815" s="6"/>
      <c r="M815" s="6"/>
      <c r="N815" s="6"/>
      <c r="O815" s="6"/>
      <c r="P815" s="6"/>
      <c r="Q815" s="6"/>
      <c r="R815" s="6"/>
      <c r="S815" s="6"/>
      <c r="T815" s="6"/>
      <c r="U815" s="6"/>
      <c r="V815" s="6"/>
      <c r="W815" s="6"/>
      <c r="X815" s="6"/>
      <c r="Y815" s="6"/>
      <c r="Z815" s="6"/>
    </row>
    <row r="816" spans="1:26">
      <c r="A816" s="174"/>
      <c r="B816" s="6"/>
      <c r="C816" s="6"/>
      <c r="D816" s="6"/>
      <c r="E816" s="443"/>
      <c r="F816" s="15"/>
      <c r="G816" s="6"/>
      <c r="H816" s="6"/>
      <c r="I816" s="6"/>
      <c r="J816" s="6"/>
      <c r="K816" s="6"/>
      <c r="L816" s="6"/>
      <c r="M816" s="6"/>
      <c r="N816" s="6"/>
      <c r="O816" s="6"/>
      <c r="P816" s="6"/>
      <c r="Q816" s="6"/>
      <c r="R816" s="6"/>
      <c r="S816" s="6"/>
      <c r="T816" s="6"/>
      <c r="U816" s="6"/>
      <c r="V816" s="6"/>
      <c r="W816" s="6"/>
      <c r="X816" s="6"/>
      <c r="Y816" s="6"/>
      <c r="Z816" s="6"/>
    </row>
    <row r="817" spans="1:26">
      <c r="A817" s="174"/>
      <c r="B817" s="6"/>
      <c r="C817" s="6"/>
      <c r="D817" s="6"/>
      <c r="E817" s="443"/>
      <c r="F817" s="15"/>
      <c r="G817" s="6"/>
      <c r="H817" s="6"/>
      <c r="I817" s="6"/>
      <c r="J817" s="6"/>
      <c r="K817" s="6"/>
      <c r="L817" s="6"/>
      <c r="M817" s="6"/>
      <c r="N817" s="6"/>
      <c r="O817" s="6"/>
      <c r="P817" s="6"/>
      <c r="Q817" s="6"/>
      <c r="R817" s="6"/>
      <c r="S817" s="6"/>
      <c r="T817" s="6"/>
      <c r="U817" s="6"/>
      <c r="V817" s="6"/>
      <c r="W817" s="6"/>
      <c r="X817" s="6"/>
      <c r="Y817" s="6"/>
      <c r="Z817" s="6"/>
    </row>
    <row r="818" spans="1:26">
      <c r="A818" s="174"/>
      <c r="B818" s="6"/>
      <c r="C818" s="6"/>
      <c r="D818" s="6"/>
      <c r="E818" s="443"/>
      <c r="F818" s="15"/>
      <c r="G818" s="6"/>
      <c r="H818" s="6"/>
      <c r="I818" s="6"/>
      <c r="J818" s="6"/>
      <c r="K818" s="6"/>
      <c r="L818" s="6"/>
      <c r="M818" s="6"/>
      <c r="N818" s="6"/>
      <c r="O818" s="6"/>
      <c r="P818" s="6"/>
      <c r="Q818" s="6"/>
      <c r="R818" s="6"/>
      <c r="S818" s="6"/>
      <c r="T818" s="6"/>
      <c r="U818" s="6"/>
      <c r="V818" s="6"/>
      <c r="W818" s="6"/>
      <c r="X818" s="6"/>
      <c r="Y818" s="6"/>
      <c r="Z818" s="6"/>
    </row>
    <row r="819" spans="1:26">
      <c r="A819" s="174"/>
      <c r="B819" s="6"/>
      <c r="C819" s="6"/>
      <c r="D819" s="6"/>
      <c r="E819" s="443"/>
      <c r="F819" s="15"/>
      <c r="G819" s="6"/>
      <c r="H819" s="6"/>
      <c r="I819" s="6"/>
      <c r="J819" s="6"/>
      <c r="K819" s="6"/>
      <c r="L819" s="6"/>
      <c r="M819" s="6"/>
      <c r="N819" s="6"/>
      <c r="O819" s="6"/>
      <c r="P819" s="6"/>
      <c r="Q819" s="6"/>
      <c r="R819" s="6"/>
      <c r="S819" s="6"/>
      <c r="T819" s="6"/>
      <c r="U819" s="6"/>
      <c r="V819" s="6"/>
      <c r="W819" s="6"/>
      <c r="X819" s="6"/>
      <c r="Y819" s="6"/>
      <c r="Z819" s="6"/>
    </row>
    <row r="820" spans="1:26">
      <c r="A820" s="174"/>
      <c r="B820" s="6"/>
      <c r="C820" s="6"/>
      <c r="D820" s="6"/>
      <c r="E820" s="443"/>
      <c r="F820" s="15"/>
      <c r="G820" s="6"/>
      <c r="H820" s="6"/>
      <c r="I820" s="6"/>
      <c r="J820" s="6"/>
      <c r="K820" s="6"/>
      <c r="L820" s="6"/>
      <c r="M820" s="6"/>
      <c r="N820" s="6"/>
      <c r="O820" s="6"/>
      <c r="P820" s="6"/>
      <c r="Q820" s="6"/>
      <c r="R820" s="6"/>
      <c r="S820" s="6"/>
      <c r="T820" s="6"/>
      <c r="U820" s="6"/>
      <c r="V820" s="6"/>
      <c r="W820" s="6"/>
      <c r="X820" s="6"/>
      <c r="Y820" s="6"/>
      <c r="Z820" s="6"/>
    </row>
    <row r="821" spans="1:26">
      <c r="A821" s="174"/>
      <c r="B821" s="6"/>
      <c r="C821" s="6"/>
      <c r="D821" s="6"/>
      <c r="E821" s="443"/>
      <c r="F821" s="15"/>
      <c r="G821" s="6"/>
      <c r="H821" s="6"/>
      <c r="I821" s="6"/>
      <c r="J821" s="6"/>
      <c r="K821" s="6"/>
      <c r="L821" s="6"/>
      <c r="M821" s="6"/>
      <c r="N821" s="6"/>
      <c r="O821" s="6"/>
      <c r="P821" s="6"/>
      <c r="Q821" s="6"/>
      <c r="R821" s="6"/>
      <c r="S821" s="6"/>
      <c r="T821" s="6"/>
      <c r="U821" s="6"/>
      <c r="V821" s="6"/>
      <c r="W821" s="6"/>
      <c r="X821" s="6"/>
      <c r="Y821" s="6"/>
      <c r="Z821" s="6"/>
    </row>
    <row r="822" spans="1:26">
      <c r="A822" s="174"/>
      <c r="B822" s="6"/>
      <c r="C822" s="6"/>
      <c r="D822" s="6"/>
      <c r="E822" s="443"/>
      <c r="F822" s="15"/>
      <c r="G822" s="6"/>
      <c r="H822" s="6"/>
      <c r="I822" s="6"/>
      <c r="J822" s="6"/>
      <c r="K822" s="6"/>
      <c r="L822" s="6"/>
      <c r="M822" s="6"/>
      <c r="N822" s="6"/>
      <c r="O822" s="6"/>
      <c r="P822" s="6"/>
      <c r="Q822" s="6"/>
      <c r="R822" s="6"/>
      <c r="S822" s="6"/>
      <c r="T822" s="6"/>
      <c r="U822" s="6"/>
      <c r="V822" s="6"/>
      <c r="W822" s="6"/>
      <c r="X822" s="6"/>
      <c r="Y822" s="6"/>
      <c r="Z822" s="6"/>
    </row>
    <row r="823" spans="1:26">
      <c r="A823" s="174"/>
      <c r="B823" s="6"/>
      <c r="C823" s="6"/>
      <c r="D823" s="6"/>
      <c r="E823" s="443"/>
      <c r="F823" s="15"/>
      <c r="G823" s="6"/>
      <c r="H823" s="6"/>
      <c r="I823" s="6"/>
      <c r="J823" s="6"/>
      <c r="K823" s="6"/>
      <c r="L823" s="6"/>
      <c r="M823" s="6"/>
      <c r="N823" s="6"/>
      <c r="O823" s="6"/>
      <c r="P823" s="6"/>
      <c r="Q823" s="6"/>
      <c r="R823" s="6"/>
      <c r="S823" s="6"/>
      <c r="T823" s="6"/>
      <c r="U823" s="6"/>
      <c r="V823" s="6"/>
      <c r="W823" s="6"/>
      <c r="X823" s="6"/>
      <c r="Y823" s="6"/>
      <c r="Z823" s="6"/>
    </row>
    <row r="824" spans="1:26">
      <c r="A824" s="174"/>
      <c r="B824" s="6"/>
      <c r="C824" s="6"/>
      <c r="D824" s="6"/>
      <c r="E824" s="443"/>
      <c r="F824" s="15"/>
      <c r="G824" s="6"/>
      <c r="H824" s="6"/>
      <c r="I824" s="6"/>
      <c r="J824" s="6"/>
      <c r="K824" s="6"/>
      <c r="L824" s="6"/>
      <c r="M824" s="6"/>
      <c r="N824" s="6"/>
      <c r="O824" s="6"/>
      <c r="P824" s="6"/>
      <c r="Q824" s="6"/>
      <c r="R824" s="6"/>
      <c r="S824" s="6"/>
      <c r="T824" s="6"/>
      <c r="U824" s="6"/>
      <c r="V824" s="6"/>
      <c r="W824" s="6"/>
      <c r="X824" s="6"/>
      <c r="Y824" s="6"/>
      <c r="Z824" s="6"/>
    </row>
    <row r="825" spans="1:26">
      <c r="A825" s="174"/>
      <c r="B825" s="6"/>
      <c r="C825" s="6"/>
      <c r="D825" s="6"/>
      <c r="E825" s="443"/>
      <c r="F825" s="15"/>
      <c r="G825" s="6"/>
      <c r="H825" s="6"/>
      <c r="I825" s="6"/>
      <c r="J825" s="6"/>
      <c r="K825" s="6"/>
      <c r="L825" s="6"/>
      <c r="M825" s="6"/>
      <c r="N825" s="6"/>
      <c r="O825" s="6"/>
      <c r="P825" s="6"/>
      <c r="Q825" s="6"/>
      <c r="R825" s="6"/>
      <c r="S825" s="6"/>
      <c r="T825" s="6"/>
      <c r="U825" s="6"/>
      <c r="V825" s="6"/>
      <c r="W825" s="6"/>
      <c r="X825" s="6"/>
      <c r="Y825" s="6"/>
      <c r="Z825" s="6"/>
    </row>
    <row r="826" spans="1:26">
      <c r="A826" s="174"/>
      <c r="B826" s="6"/>
      <c r="C826" s="6"/>
      <c r="D826" s="6"/>
      <c r="E826" s="443"/>
      <c r="F826" s="15"/>
      <c r="G826" s="6"/>
      <c r="H826" s="6"/>
      <c r="I826" s="6"/>
      <c r="J826" s="6"/>
      <c r="K826" s="6"/>
      <c r="L826" s="6"/>
      <c r="M826" s="6"/>
      <c r="N826" s="6"/>
      <c r="O826" s="6"/>
      <c r="P826" s="6"/>
      <c r="Q826" s="6"/>
      <c r="R826" s="6"/>
      <c r="S826" s="6"/>
      <c r="T826" s="6"/>
      <c r="U826" s="6"/>
      <c r="V826" s="6"/>
      <c r="W826" s="6"/>
      <c r="X826" s="6"/>
      <c r="Y826" s="6"/>
      <c r="Z826" s="6"/>
    </row>
    <row r="827" spans="1:26">
      <c r="A827" s="174"/>
      <c r="B827" s="6"/>
      <c r="C827" s="6"/>
      <c r="D827" s="6"/>
      <c r="E827" s="443"/>
      <c r="F827" s="15"/>
      <c r="G827" s="6"/>
      <c r="H827" s="6"/>
      <c r="I827" s="6"/>
      <c r="J827" s="6"/>
      <c r="K827" s="6"/>
      <c r="L827" s="6"/>
      <c r="M827" s="6"/>
      <c r="N827" s="6"/>
      <c r="O827" s="6"/>
      <c r="P827" s="6"/>
      <c r="Q827" s="6"/>
      <c r="R827" s="6"/>
      <c r="S827" s="6"/>
      <c r="T827" s="6"/>
      <c r="U827" s="6"/>
      <c r="V827" s="6"/>
      <c r="W827" s="6"/>
      <c r="X827" s="6"/>
      <c r="Y827" s="6"/>
      <c r="Z827" s="6"/>
    </row>
    <row r="828" spans="1:26">
      <c r="A828" s="174"/>
      <c r="B828" s="6"/>
      <c r="C828" s="6"/>
      <c r="D828" s="6"/>
      <c r="E828" s="443"/>
      <c r="F828" s="15"/>
      <c r="G828" s="6"/>
      <c r="H828" s="6"/>
      <c r="I828" s="6"/>
      <c r="J828" s="6"/>
      <c r="K828" s="6"/>
      <c r="L828" s="6"/>
      <c r="M828" s="6"/>
      <c r="N828" s="6"/>
      <c r="O828" s="6"/>
      <c r="P828" s="6"/>
      <c r="Q828" s="6"/>
      <c r="R828" s="6"/>
      <c r="S828" s="6"/>
      <c r="T828" s="6"/>
      <c r="U828" s="6"/>
      <c r="V828" s="6"/>
      <c r="W828" s="6"/>
      <c r="X828" s="6"/>
      <c r="Y828" s="6"/>
      <c r="Z828" s="6"/>
    </row>
    <row r="829" spans="1:26">
      <c r="A829" s="174"/>
      <c r="B829" s="6"/>
      <c r="C829" s="6"/>
      <c r="D829" s="6"/>
      <c r="E829" s="443"/>
      <c r="F829" s="15"/>
      <c r="G829" s="6"/>
      <c r="H829" s="6"/>
      <c r="I829" s="6"/>
      <c r="J829" s="6"/>
      <c r="K829" s="6"/>
      <c r="L829" s="6"/>
      <c r="M829" s="6"/>
      <c r="N829" s="6"/>
      <c r="O829" s="6"/>
      <c r="P829" s="6"/>
      <c r="Q829" s="6"/>
      <c r="R829" s="6"/>
      <c r="S829" s="6"/>
      <c r="T829" s="6"/>
      <c r="U829" s="6"/>
      <c r="V829" s="6"/>
      <c r="W829" s="6"/>
      <c r="X829" s="6"/>
      <c r="Y829" s="6"/>
      <c r="Z829" s="6"/>
    </row>
    <row r="830" spans="1:26">
      <c r="A830" s="174"/>
      <c r="B830" s="6"/>
      <c r="C830" s="6"/>
      <c r="D830" s="6"/>
      <c r="E830" s="443"/>
      <c r="F830" s="15"/>
      <c r="G830" s="6"/>
      <c r="H830" s="6"/>
      <c r="I830" s="6"/>
      <c r="J830" s="6"/>
      <c r="K830" s="6"/>
      <c r="L830" s="6"/>
      <c r="M830" s="6"/>
      <c r="N830" s="6"/>
      <c r="O830" s="6"/>
      <c r="P830" s="6"/>
      <c r="Q830" s="6"/>
      <c r="R830" s="6"/>
      <c r="S830" s="6"/>
      <c r="T830" s="6"/>
      <c r="U830" s="6"/>
      <c r="V830" s="6"/>
      <c r="W830" s="6"/>
      <c r="X830" s="6"/>
      <c r="Y830" s="6"/>
      <c r="Z830" s="6"/>
    </row>
    <row r="831" spans="1:26">
      <c r="A831" s="174"/>
      <c r="B831" s="6"/>
      <c r="C831" s="6"/>
      <c r="D831" s="6"/>
      <c r="E831" s="443"/>
      <c r="F831" s="15"/>
      <c r="G831" s="6"/>
      <c r="H831" s="6"/>
      <c r="I831" s="6"/>
      <c r="J831" s="6"/>
      <c r="K831" s="6"/>
      <c r="L831" s="6"/>
      <c r="M831" s="6"/>
      <c r="N831" s="6"/>
      <c r="O831" s="6"/>
      <c r="P831" s="6"/>
      <c r="Q831" s="6"/>
      <c r="R831" s="6"/>
      <c r="S831" s="6"/>
      <c r="T831" s="6"/>
      <c r="U831" s="6"/>
      <c r="V831" s="6"/>
      <c r="W831" s="6"/>
      <c r="X831" s="6"/>
      <c r="Y831" s="6"/>
      <c r="Z831" s="6"/>
    </row>
    <row r="832" spans="1:26">
      <c r="A832" s="174"/>
      <c r="B832" s="6"/>
      <c r="C832" s="6"/>
      <c r="D832" s="6"/>
      <c r="E832" s="443"/>
      <c r="F832" s="15"/>
      <c r="G832" s="6"/>
      <c r="H832" s="6"/>
      <c r="I832" s="6"/>
      <c r="J832" s="6"/>
      <c r="K832" s="6"/>
      <c r="L832" s="6"/>
      <c r="M832" s="6"/>
      <c r="N832" s="6"/>
      <c r="O832" s="6"/>
      <c r="P832" s="6"/>
      <c r="Q832" s="6"/>
      <c r="R832" s="6"/>
      <c r="S832" s="6"/>
      <c r="T832" s="6"/>
      <c r="U832" s="6"/>
      <c r="V832" s="6"/>
      <c r="W832" s="6"/>
      <c r="X832" s="6"/>
      <c r="Y832" s="6"/>
      <c r="Z832" s="6"/>
    </row>
    <row r="833" spans="1:26">
      <c r="A833" s="174"/>
      <c r="B833" s="6"/>
      <c r="C833" s="6"/>
      <c r="D833" s="6"/>
      <c r="E833" s="443"/>
      <c r="F833" s="15"/>
      <c r="G833" s="6"/>
      <c r="H833" s="6"/>
      <c r="I833" s="6"/>
      <c r="J833" s="6"/>
      <c r="K833" s="6"/>
      <c r="L833" s="6"/>
      <c r="M833" s="6"/>
      <c r="N833" s="6"/>
      <c r="O833" s="6"/>
      <c r="P833" s="6"/>
      <c r="Q833" s="6"/>
      <c r="R833" s="6"/>
      <c r="S833" s="6"/>
      <c r="T833" s="6"/>
      <c r="U833" s="6"/>
      <c r="V833" s="6"/>
      <c r="W833" s="6"/>
      <c r="X833" s="6"/>
      <c r="Y833" s="6"/>
      <c r="Z833" s="6"/>
    </row>
    <row r="834" spans="1:26">
      <c r="A834" s="174"/>
      <c r="B834" s="6"/>
      <c r="C834" s="6"/>
      <c r="D834" s="6"/>
      <c r="E834" s="443"/>
      <c r="F834" s="15"/>
      <c r="G834" s="6"/>
      <c r="H834" s="6"/>
      <c r="I834" s="6"/>
      <c r="J834" s="6"/>
      <c r="K834" s="6"/>
      <c r="L834" s="6"/>
      <c r="M834" s="6"/>
      <c r="N834" s="6"/>
      <c r="O834" s="6"/>
      <c r="P834" s="6"/>
      <c r="Q834" s="6"/>
      <c r="R834" s="6"/>
      <c r="S834" s="6"/>
      <c r="T834" s="6"/>
      <c r="U834" s="6"/>
      <c r="V834" s="6"/>
      <c r="W834" s="6"/>
      <c r="X834" s="6"/>
      <c r="Y834" s="6"/>
      <c r="Z834" s="6"/>
    </row>
    <row r="835" spans="1:26">
      <c r="A835" s="174"/>
      <c r="B835" s="6"/>
      <c r="C835" s="6"/>
      <c r="D835" s="6"/>
      <c r="E835" s="443"/>
      <c r="F835" s="15"/>
      <c r="G835" s="6"/>
      <c r="H835" s="6"/>
      <c r="I835" s="6"/>
      <c r="J835" s="6"/>
      <c r="K835" s="6"/>
      <c r="L835" s="6"/>
      <c r="M835" s="6"/>
      <c r="N835" s="6"/>
      <c r="O835" s="6"/>
      <c r="P835" s="6"/>
      <c r="Q835" s="6"/>
      <c r="R835" s="6"/>
      <c r="S835" s="6"/>
      <c r="T835" s="6"/>
      <c r="U835" s="6"/>
      <c r="V835" s="6"/>
      <c r="W835" s="6"/>
      <c r="X835" s="6"/>
      <c r="Y835" s="6"/>
      <c r="Z835" s="6"/>
    </row>
    <row r="836" spans="1:26">
      <c r="A836" s="174"/>
      <c r="B836" s="6"/>
      <c r="C836" s="6"/>
      <c r="D836" s="6"/>
      <c r="E836" s="443"/>
      <c r="F836" s="15"/>
      <c r="G836" s="6"/>
      <c r="H836" s="6"/>
      <c r="I836" s="6"/>
      <c r="J836" s="6"/>
      <c r="K836" s="6"/>
      <c r="L836" s="6"/>
      <c r="M836" s="6"/>
      <c r="N836" s="6"/>
      <c r="O836" s="6"/>
      <c r="P836" s="6"/>
      <c r="Q836" s="6"/>
      <c r="R836" s="6"/>
      <c r="S836" s="6"/>
      <c r="T836" s="6"/>
      <c r="U836" s="6"/>
      <c r="V836" s="6"/>
      <c r="W836" s="6"/>
      <c r="X836" s="6"/>
      <c r="Y836" s="6"/>
      <c r="Z836" s="6"/>
    </row>
    <row r="837" spans="1:26">
      <c r="A837" s="174"/>
      <c r="B837" s="6"/>
      <c r="C837" s="6"/>
      <c r="D837" s="6"/>
      <c r="E837" s="443"/>
      <c r="F837" s="15"/>
      <c r="G837" s="6"/>
      <c r="H837" s="6"/>
      <c r="I837" s="6"/>
      <c r="J837" s="6"/>
      <c r="K837" s="6"/>
      <c r="L837" s="6"/>
      <c r="M837" s="6"/>
      <c r="N837" s="6"/>
      <c r="O837" s="6"/>
      <c r="P837" s="6"/>
      <c r="Q837" s="6"/>
      <c r="R837" s="6"/>
      <c r="S837" s="6"/>
      <c r="T837" s="6"/>
      <c r="U837" s="6"/>
      <c r="V837" s="6"/>
      <c r="W837" s="6"/>
      <c r="X837" s="6"/>
      <c r="Y837" s="6"/>
      <c r="Z837" s="6"/>
    </row>
    <row r="838" spans="1:26">
      <c r="A838" s="174"/>
      <c r="B838" s="6"/>
      <c r="C838" s="6"/>
      <c r="D838" s="6"/>
      <c r="E838" s="443"/>
      <c r="F838" s="15"/>
      <c r="G838" s="6"/>
      <c r="H838" s="6"/>
      <c r="I838" s="6"/>
      <c r="J838" s="6"/>
      <c r="K838" s="6"/>
      <c r="L838" s="6"/>
      <c r="M838" s="6"/>
      <c r="N838" s="6"/>
      <c r="O838" s="6"/>
      <c r="P838" s="6"/>
      <c r="Q838" s="6"/>
      <c r="R838" s="6"/>
      <c r="S838" s="6"/>
      <c r="T838" s="6"/>
      <c r="U838" s="6"/>
      <c r="V838" s="6"/>
      <c r="W838" s="6"/>
      <c r="X838" s="6"/>
      <c r="Y838" s="6"/>
      <c r="Z838" s="6"/>
    </row>
    <row r="839" spans="1:26">
      <c r="A839" s="174"/>
      <c r="B839" s="6"/>
      <c r="C839" s="6"/>
      <c r="D839" s="6"/>
      <c r="E839" s="443"/>
      <c r="F839" s="15"/>
      <c r="G839" s="6"/>
      <c r="H839" s="6"/>
      <c r="I839" s="6"/>
      <c r="J839" s="6"/>
      <c r="K839" s="6"/>
      <c r="L839" s="6"/>
      <c r="M839" s="6"/>
      <c r="N839" s="6"/>
      <c r="O839" s="6"/>
      <c r="P839" s="6"/>
      <c r="Q839" s="6"/>
      <c r="R839" s="6"/>
      <c r="S839" s="6"/>
      <c r="T839" s="6"/>
      <c r="U839" s="6"/>
      <c r="V839" s="6"/>
      <c r="W839" s="6"/>
      <c r="X839" s="6"/>
      <c r="Y839" s="6"/>
      <c r="Z839" s="6"/>
    </row>
    <row r="840" spans="1:26">
      <c r="A840" s="174"/>
      <c r="B840" s="6"/>
      <c r="C840" s="6"/>
      <c r="D840" s="6"/>
      <c r="E840" s="443"/>
      <c r="F840" s="15"/>
      <c r="G840" s="6"/>
      <c r="H840" s="6"/>
      <c r="I840" s="6"/>
      <c r="J840" s="6"/>
      <c r="K840" s="6"/>
      <c r="L840" s="6"/>
      <c r="M840" s="6"/>
      <c r="N840" s="6"/>
      <c r="O840" s="6"/>
      <c r="P840" s="6"/>
      <c r="Q840" s="6"/>
      <c r="R840" s="6"/>
      <c r="S840" s="6"/>
      <c r="T840" s="6"/>
      <c r="U840" s="6"/>
      <c r="V840" s="6"/>
      <c r="W840" s="6"/>
      <c r="X840" s="6"/>
      <c r="Y840" s="6"/>
      <c r="Z840" s="6"/>
    </row>
    <row r="841" spans="1:26">
      <c r="A841" s="174"/>
      <c r="B841" s="6"/>
      <c r="C841" s="6"/>
      <c r="D841" s="6"/>
      <c r="E841" s="443"/>
      <c r="F841" s="15"/>
      <c r="G841" s="6"/>
      <c r="H841" s="6"/>
      <c r="I841" s="6"/>
      <c r="J841" s="6"/>
      <c r="K841" s="6"/>
      <c r="L841" s="6"/>
      <c r="M841" s="6"/>
      <c r="N841" s="6"/>
      <c r="O841" s="6"/>
      <c r="P841" s="6"/>
      <c r="Q841" s="6"/>
      <c r="R841" s="6"/>
      <c r="S841" s="6"/>
      <c r="T841" s="6"/>
      <c r="U841" s="6"/>
      <c r="V841" s="6"/>
      <c r="W841" s="6"/>
      <c r="X841" s="6"/>
      <c r="Y841" s="6"/>
      <c r="Z841" s="6"/>
    </row>
    <row r="842" spans="1:26">
      <c r="A842" s="174"/>
      <c r="B842" s="6"/>
      <c r="C842" s="6"/>
      <c r="D842" s="6"/>
      <c r="E842" s="443"/>
      <c r="F842" s="15"/>
      <c r="G842" s="6"/>
      <c r="H842" s="6"/>
      <c r="I842" s="6"/>
      <c r="J842" s="6"/>
      <c r="K842" s="6"/>
      <c r="L842" s="6"/>
      <c r="M842" s="6"/>
      <c r="N842" s="6"/>
      <c r="O842" s="6"/>
      <c r="P842" s="6"/>
      <c r="Q842" s="6"/>
      <c r="R842" s="6"/>
      <c r="S842" s="6"/>
      <c r="T842" s="6"/>
      <c r="U842" s="6"/>
      <c r="V842" s="6"/>
      <c r="W842" s="6"/>
      <c r="X842" s="6"/>
      <c r="Y842" s="6"/>
      <c r="Z842" s="6"/>
    </row>
    <row r="843" spans="1:26">
      <c r="A843" s="174"/>
      <c r="B843" s="6"/>
      <c r="C843" s="6"/>
      <c r="D843" s="6"/>
      <c r="E843" s="443"/>
      <c r="F843" s="15"/>
      <c r="G843" s="6"/>
      <c r="H843" s="6"/>
      <c r="I843" s="6"/>
      <c r="J843" s="6"/>
      <c r="K843" s="6"/>
      <c r="L843" s="6"/>
      <c r="M843" s="6"/>
      <c r="N843" s="6"/>
      <c r="O843" s="6"/>
      <c r="P843" s="6"/>
      <c r="Q843" s="6"/>
      <c r="R843" s="6"/>
      <c r="S843" s="6"/>
      <c r="T843" s="6"/>
      <c r="U843" s="6"/>
      <c r="V843" s="6"/>
      <c r="W843" s="6"/>
      <c r="X843" s="6"/>
      <c r="Y843" s="6"/>
      <c r="Z843" s="6"/>
    </row>
    <row r="844" spans="1:26">
      <c r="A844" s="174"/>
      <c r="B844" s="6"/>
      <c r="C844" s="6"/>
      <c r="D844" s="6"/>
      <c r="E844" s="443"/>
      <c r="F844" s="15"/>
      <c r="G844" s="6"/>
      <c r="H844" s="6"/>
      <c r="I844" s="6"/>
      <c r="J844" s="6"/>
      <c r="K844" s="6"/>
      <c r="L844" s="6"/>
      <c r="M844" s="6"/>
      <c r="N844" s="6"/>
      <c r="O844" s="6"/>
      <c r="P844" s="6"/>
      <c r="Q844" s="6"/>
      <c r="R844" s="6"/>
      <c r="S844" s="6"/>
      <c r="T844" s="6"/>
      <c r="U844" s="6"/>
      <c r="V844" s="6"/>
      <c r="W844" s="6"/>
      <c r="X844" s="6"/>
      <c r="Y844" s="6"/>
      <c r="Z844" s="6"/>
    </row>
    <row r="845" spans="1:26">
      <c r="A845" s="174"/>
      <c r="B845" s="6"/>
      <c r="C845" s="6"/>
      <c r="D845" s="6"/>
      <c r="E845" s="443"/>
      <c r="F845" s="15"/>
      <c r="G845" s="6"/>
      <c r="H845" s="6"/>
      <c r="I845" s="6"/>
      <c r="J845" s="6"/>
      <c r="K845" s="6"/>
      <c r="L845" s="6"/>
      <c r="M845" s="6"/>
      <c r="N845" s="6"/>
      <c r="O845" s="6"/>
      <c r="P845" s="6"/>
      <c r="Q845" s="6"/>
      <c r="R845" s="6"/>
      <c r="S845" s="6"/>
      <c r="T845" s="6"/>
      <c r="U845" s="6"/>
      <c r="V845" s="6"/>
      <c r="W845" s="6"/>
      <c r="X845" s="6"/>
      <c r="Y845" s="6"/>
      <c r="Z845" s="6"/>
    </row>
    <row r="846" spans="1:26">
      <c r="A846" s="174"/>
      <c r="B846" s="6"/>
      <c r="C846" s="6"/>
      <c r="D846" s="6"/>
      <c r="E846" s="443"/>
      <c r="F846" s="15"/>
      <c r="G846" s="6"/>
      <c r="H846" s="6"/>
      <c r="I846" s="6"/>
      <c r="J846" s="6"/>
      <c r="K846" s="6"/>
      <c r="L846" s="6"/>
      <c r="M846" s="6"/>
      <c r="N846" s="6"/>
      <c r="O846" s="6"/>
      <c r="P846" s="6"/>
      <c r="Q846" s="6"/>
      <c r="R846" s="6"/>
      <c r="S846" s="6"/>
      <c r="T846" s="6"/>
      <c r="U846" s="6"/>
      <c r="V846" s="6"/>
      <c r="W846" s="6"/>
      <c r="X846" s="6"/>
      <c r="Y846" s="6"/>
      <c r="Z846" s="6"/>
    </row>
    <row r="847" spans="1:26">
      <c r="A847" s="174"/>
      <c r="B847" s="6"/>
      <c r="C847" s="6"/>
      <c r="D847" s="6"/>
      <c r="E847" s="443"/>
      <c r="F847" s="15"/>
      <c r="G847" s="6"/>
      <c r="H847" s="6"/>
      <c r="I847" s="6"/>
      <c r="J847" s="6"/>
      <c r="K847" s="6"/>
      <c r="L847" s="6"/>
      <c r="M847" s="6"/>
      <c r="N847" s="6"/>
      <c r="O847" s="6"/>
      <c r="P847" s="6"/>
      <c r="Q847" s="6"/>
      <c r="R847" s="6"/>
      <c r="S847" s="6"/>
      <c r="T847" s="6"/>
      <c r="U847" s="6"/>
      <c r="V847" s="6"/>
      <c r="W847" s="6"/>
      <c r="X847" s="6"/>
      <c r="Y847" s="6"/>
      <c r="Z847" s="6"/>
    </row>
    <row r="848" spans="1:26">
      <c r="A848" s="174"/>
      <c r="B848" s="6"/>
      <c r="C848" s="6"/>
      <c r="D848" s="6"/>
      <c r="E848" s="443"/>
      <c r="F848" s="15"/>
      <c r="G848" s="6"/>
      <c r="H848" s="6"/>
      <c r="I848" s="6"/>
      <c r="J848" s="6"/>
      <c r="K848" s="6"/>
      <c r="L848" s="6"/>
      <c r="M848" s="6"/>
      <c r="N848" s="6"/>
      <c r="O848" s="6"/>
      <c r="P848" s="6"/>
      <c r="Q848" s="6"/>
      <c r="R848" s="6"/>
      <c r="S848" s="6"/>
      <c r="T848" s="6"/>
      <c r="U848" s="6"/>
      <c r="V848" s="6"/>
      <c r="W848" s="6"/>
      <c r="X848" s="6"/>
      <c r="Y848" s="6"/>
      <c r="Z848" s="6"/>
    </row>
    <row r="849" spans="1:26">
      <c r="A849" s="174"/>
      <c r="B849" s="6"/>
      <c r="C849" s="6"/>
      <c r="D849" s="6"/>
      <c r="E849" s="443"/>
      <c r="F849" s="15"/>
      <c r="G849" s="6"/>
      <c r="H849" s="6"/>
      <c r="I849" s="6"/>
      <c r="J849" s="6"/>
      <c r="K849" s="6"/>
      <c r="L849" s="6"/>
      <c r="M849" s="6"/>
      <c r="N849" s="6"/>
      <c r="O849" s="6"/>
      <c r="P849" s="6"/>
      <c r="Q849" s="6"/>
      <c r="R849" s="6"/>
      <c r="S849" s="6"/>
      <c r="T849" s="6"/>
      <c r="U849" s="6"/>
      <c r="V849" s="6"/>
      <c r="W849" s="6"/>
      <c r="X849" s="6"/>
      <c r="Y849" s="6"/>
      <c r="Z849" s="6"/>
    </row>
    <row r="850" spans="1:26">
      <c r="A850" s="174"/>
      <c r="B850" s="6"/>
      <c r="C850" s="6"/>
      <c r="D850" s="6"/>
      <c r="E850" s="443"/>
      <c r="F850" s="15"/>
      <c r="G850" s="6"/>
      <c r="H850" s="6"/>
      <c r="I850" s="6"/>
      <c r="J850" s="6"/>
      <c r="K850" s="6"/>
      <c r="L850" s="6"/>
      <c r="M850" s="6"/>
      <c r="N850" s="6"/>
      <c r="O850" s="6"/>
      <c r="P850" s="6"/>
      <c r="Q850" s="6"/>
      <c r="R850" s="6"/>
      <c r="S850" s="6"/>
      <c r="T850" s="6"/>
      <c r="U850" s="6"/>
      <c r="V850" s="6"/>
      <c r="W850" s="6"/>
      <c r="X850" s="6"/>
      <c r="Y850" s="6"/>
      <c r="Z850" s="6"/>
    </row>
    <row r="851" spans="1:26">
      <c r="A851" s="174"/>
      <c r="B851" s="6"/>
      <c r="C851" s="6"/>
      <c r="D851" s="6"/>
      <c r="E851" s="443"/>
      <c r="F851" s="15"/>
      <c r="G851" s="6"/>
      <c r="H851" s="6"/>
      <c r="I851" s="6"/>
      <c r="J851" s="6"/>
      <c r="K851" s="6"/>
      <c r="L851" s="6"/>
      <c r="M851" s="6"/>
      <c r="N851" s="6"/>
      <c r="O851" s="6"/>
      <c r="P851" s="6"/>
      <c r="Q851" s="6"/>
      <c r="R851" s="6"/>
      <c r="S851" s="6"/>
      <c r="T851" s="6"/>
      <c r="U851" s="6"/>
      <c r="V851" s="6"/>
      <c r="W851" s="6"/>
      <c r="X851" s="6"/>
      <c r="Y851" s="6"/>
      <c r="Z851" s="6"/>
    </row>
    <row r="852" spans="1:26">
      <c r="A852" s="174"/>
      <c r="B852" s="6"/>
      <c r="C852" s="6"/>
      <c r="D852" s="6"/>
      <c r="E852" s="443"/>
      <c r="F852" s="15"/>
      <c r="G852" s="6"/>
      <c r="H852" s="6"/>
      <c r="I852" s="6"/>
      <c r="J852" s="6"/>
      <c r="K852" s="6"/>
      <c r="L852" s="6"/>
      <c r="M852" s="6"/>
      <c r="N852" s="6"/>
      <c r="O852" s="6"/>
      <c r="P852" s="6"/>
      <c r="Q852" s="6"/>
      <c r="R852" s="6"/>
      <c r="S852" s="6"/>
      <c r="T852" s="6"/>
      <c r="U852" s="6"/>
      <c r="V852" s="6"/>
      <c r="W852" s="6"/>
      <c r="X852" s="6"/>
      <c r="Y852" s="6"/>
      <c r="Z852" s="6"/>
    </row>
    <row r="853" spans="1:26">
      <c r="A853" s="174"/>
      <c r="B853" s="6"/>
      <c r="C853" s="6"/>
      <c r="D853" s="6"/>
      <c r="E853" s="443"/>
      <c r="F853" s="15"/>
      <c r="G853" s="6"/>
      <c r="H853" s="6"/>
      <c r="I853" s="6"/>
      <c r="J853" s="6"/>
      <c r="K853" s="6"/>
      <c r="L853" s="6"/>
      <c r="M853" s="6"/>
      <c r="N853" s="6"/>
      <c r="O853" s="6"/>
      <c r="P853" s="6"/>
      <c r="Q853" s="6"/>
      <c r="R853" s="6"/>
      <c r="S853" s="6"/>
      <c r="T853" s="6"/>
      <c r="U853" s="6"/>
      <c r="V853" s="6"/>
      <c r="W853" s="6"/>
      <c r="X853" s="6"/>
      <c r="Y853" s="6"/>
      <c r="Z853" s="6"/>
    </row>
    <row r="854" spans="1:26">
      <c r="A854" s="174"/>
      <c r="B854" s="6"/>
      <c r="C854" s="6"/>
      <c r="D854" s="6"/>
      <c r="E854" s="443"/>
      <c r="F854" s="15"/>
      <c r="G854" s="6"/>
      <c r="H854" s="6"/>
      <c r="I854" s="6"/>
      <c r="J854" s="6"/>
      <c r="K854" s="6"/>
      <c r="L854" s="6"/>
      <c r="M854" s="6"/>
      <c r="N854" s="6"/>
      <c r="O854" s="6"/>
      <c r="P854" s="6"/>
      <c r="Q854" s="6"/>
      <c r="R854" s="6"/>
      <c r="S854" s="6"/>
      <c r="T854" s="6"/>
      <c r="U854" s="6"/>
      <c r="V854" s="6"/>
      <c r="W854" s="6"/>
      <c r="X854" s="6"/>
      <c r="Y854" s="6"/>
      <c r="Z854" s="6"/>
    </row>
    <row r="855" spans="1:26">
      <c r="A855" s="174"/>
      <c r="B855" s="6"/>
      <c r="C855" s="6"/>
      <c r="D855" s="6"/>
      <c r="E855" s="443"/>
      <c r="F855" s="15"/>
      <c r="G855" s="6"/>
      <c r="H855" s="6"/>
      <c r="I855" s="6"/>
      <c r="J855" s="6"/>
      <c r="K855" s="6"/>
      <c r="L855" s="6"/>
      <c r="M855" s="6"/>
      <c r="N855" s="6"/>
      <c r="O855" s="6"/>
      <c r="P855" s="6"/>
      <c r="Q855" s="6"/>
      <c r="R855" s="6"/>
      <c r="S855" s="6"/>
      <c r="T855" s="6"/>
      <c r="U855" s="6"/>
      <c r="V855" s="6"/>
      <c r="W855" s="6"/>
      <c r="X855" s="6"/>
      <c r="Y855" s="6"/>
      <c r="Z855" s="6"/>
    </row>
    <row r="856" spans="1:26">
      <c r="A856" s="174"/>
      <c r="B856" s="6"/>
      <c r="C856" s="6"/>
      <c r="D856" s="6"/>
      <c r="E856" s="443"/>
      <c r="F856" s="15"/>
      <c r="G856" s="6"/>
      <c r="H856" s="6"/>
      <c r="I856" s="6"/>
      <c r="J856" s="6"/>
      <c r="K856" s="6"/>
      <c r="L856" s="6"/>
      <c r="M856" s="6"/>
      <c r="N856" s="6"/>
      <c r="O856" s="6"/>
      <c r="P856" s="6"/>
      <c r="Q856" s="6"/>
      <c r="R856" s="6"/>
      <c r="S856" s="6"/>
      <c r="T856" s="6"/>
      <c r="U856" s="6"/>
      <c r="V856" s="6"/>
      <c r="W856" s="6"/>
      <c r="X856" s="6"/>
      <c r="Y856" s="6"/>
      <c r="Z856" s="6"/>
    </row>
    <row r="857" spans="1:26">
      <c r="A857" s="174"/>
      <c r="B857" s="6"/>
      <c r="C857" s="6"/>
      <c r="D857" s="6"/>
      <c r="E857" s="443"/>
      <c r="F857" s="15"/>
      <c r="G857" s="6"/>
      <c r="H857" s="6"/>
      <c r="I857" s="6"/>
      <c r="J857" s="6"/>
      <c r="K857" s="6"/>
      <c r="L857" s="6"/>
      <c r="M857" s="6"/>
      <c r="N857" s="6"/>
      <c r="O857" s="6"/>
      <c r="P857" s="6"/>
      <c r="Q857" s="6"/>
      <c r="R857" s="6"/>
      <c r="S857" s="6"/>
      <c r="T857" s="6"/>
      <c r="U857" s="6"/>
      <c r="V857" s="6"/>
      <c r="W857" s="6"/>
      <c r="X857" s="6"/>
      <c r="Y857" s="6"/>
      <c r="Z857" s="6"/>
    </row>
    <row r="858" spans="1:26">
      <c r="A858" s="174"/>
      <c r="B858" s="6"/>
      <c r="C858" s="6"/>
      <c r="D858" s="6"/>
      <c r="E858" s="443"/>
      <c r="F858" s="15"/>
      <c r="G858" s="6"/>
      <c r="H858" s="6"/>
      <c r="I858" s="6"/>
      <c r="J858" s="6"/>
      <c r="K858" s="6"/>
      <c r="L858" s="6"/>
      <c r="M858" s="6"/>
      <c r="N858" s="6"/>
      <c r="O858" s="6"/>
      <c r="P858" s="6"/>
      <c r="Q858" s="6"/>
      <c r="R858" s="6"/>
      <c r="S858" s="6"/>
      <c r="T858" s="6"/>
      <c r="U858" s="6"/>
      <c r="V858" s="6"/>
      <c r="W858" s="6"/>
      <c r="X858" s="6"/>
      <c r="Y858" s="6"/>
      <c r="Z858" s="6"/>
    </row>
    <row r="859" spans="1:26">
      <c r="A859" s="174"/>
      <c r="B859" s="6"/>
      <c r="C859" s="6"/>
      <c r="D859" s="6"/>
      <c r="E859" s="443"/>
      <c r="F859" s="15"/>
      <c r="G859" s="6"/>
      <c r="H859" s="6"/>
      <c r="I859" s="6"/>
      <c r="J859" s="6"/>
      <c r="K859" s="6"/>
      <c r="L859" s="6"/>
      <c r="M859" s="6"/>
      <c r="N859" s="6"/>
      <c r="O859" s="6"/>
      <c r="P859" s="6"/>
      <c r="Q859" s="6"/>
      <c r="R859" s="6"/>
      <c r="S859" s="6"/>
      <c r="T859" s="6"/>
      <c r="U859" s="6"/>
      <c r="V859" s="6"/>
      <c r="W859" s="6"/>
      <c r="X859" s="6"/>
      <c r="Y859" s="6"/>
      <c r="Z859" s="6"/>
    </row>
    <row r="860" spans="1:26">
      <c r="A860" s="174"/>
      <c r="B860" s="6"/>
      <c r="C860" s="6"/>
      <c r="D860" s="6"/>
      <c r="E860" s="443"/>
      <c r="F860" s="15"/>
      <c r="G860" s="6"/>
      <c r="H860" s="6"/>
      <c r="I860" s="6"/>
      <c r="J860" s="6"/>
      <c r="K860" s="6"/>
      <c r="L860" s="6"/>
      <c r="M860" s="6"/>
      <c r="N860" s="6"/>
      <c r="O860" s="6"/>
      <c r="P860" s="6"/>
      <c r="Q860" s="6"/>
      <c r="R860" s="6"/>
      <c r="S860" s="6"/>
      <c r="T860" s="6"/>
      <c r="U860" s="6"/>
      <c r="V860" s="6"/>
      <c r="W860" s="6"/>
      <c r="X860" s="6"/>
      <c r="Y860" s="6"/>
      <c r="Z860" s="6"/>
    </row>
    <row r="861" spans="1:26">
      <c r="A861" s="174"/>
      <c r="B861" s="6"/>
      <c r="C861" s="6"/>
      <c r="D861" s="6"/>
      <c r="E861" s="443"/>
      <c r="F861" s="15"/>
      <c r="G861" s="6"/>
      <c r="H861" s="6"/>
      <c r="I861" s="6"/>
      <c r="J861" s="6"/>
      <c r="K861" s="6"/>
      <c r="L861" s="6"/>
      <c r="M861" s="6"/>
      <c r="N861" s="6"/>
      <c r="O861" s="6"/>
      <c r="P861" s="6"/>
      <c r="Q861" s="6"/>
      <c r="R861" s="6"/>
      <c r="S861" s="6"/>
      <c r="T861" s="6"/>
      <c r="U861" s="6"/>
      <c r="V861" s="6"/>
      <c r="W861" s="6"/>
      <c r="X861" s="6"/>
      <c r="Y861" s="6"/>
      <c r="Z861" s="6"/>
    </row>
    <row r="862" spans="1:26">
      <c r="A862" s="174"/>
      <c r="B862" s="6"/>
      <c r="C862" s="6"/>
      <c r="D862" s="6"/>
      <c r="E862" s="443"/>
      <c r="F862" s="15"/>
      <c r="G862" s="6"/>
      <c r="H862" s="6"/>
      <c r="I862" s="6"/>
      <c r="J862" s="6"/>
      <c r="K862" s="6"/>
      <c r="L862" s="6"/>
      <c r="M862" s="6"/>
      <c r="N862" s="6"/>
      <c r="O862" s="6"/>
      <c r="P862" s="6"/>
      <c r="Q862" s="6"/>
      <c r="R862" s="6"/>
      <c r="S862" s="6"/>
      <c r="T862" s="6"/>
      <c r="U862" s="6"/>
      <c r="V862" s="6"/>
      <c r="W862" s="6"/>
      <c r="X862" s="6"/>
      <c r="Y862" s="6"/>
      <c r="Z862" s="6"/>
    </row>
    <row r="863" spans="1:26">
      <c r="A863" s="174"/>
      <c r="B863" s="6"/>
      <c r="C863" s="6"/>
      <c r="D863" s="6"/>
      <c r="E863" s="443"/>
      <c r="F863" s="15"/>
      <c r="G863" s="6"/>
      <c r="H863" s="6"/>
      <c r="I863" s="6"/>
      <c r="J863" s="6"/>
      <c r="K863" s="6"/>
      <c r="L863" s="6"/>
      <c r="M863" s="6"/>
      <c r="N863" s="6"/>
      <c r="O863" s="6"/>
      <c r="P863" s="6"/>
      <c r="Q863" s="6"/>
      <c r="R863" s="6"/>
      <c r="S863" s="6"/>
      <c r="T863" s="6"/>
      <c r="U863" s="6"/>
      <c r="V863" s="6"/>
      <c r="W863" s="6"/>
      <c r="X863" s="6"/>
      <c r="Y863" s="6"/>
      <c r="Z863" s="6"/>
    </row>
    <row r="864" spans="1:26">
      <c r="A864" s="174"/>
      <c r="B864" s="6"/>
      <c r="C864" s="6"/>
      <c r="D864" s="6"/>
      <c r="E864" s="443"/>
      <c r="F864" s="15"/>
      <c r="G864" s="6"/>
      <c r="H864" s="6"/>
      <c r="I864" s="6"/>
      <c r="J864" s="6"/>
      <c r="K864" s="6"/>
      <c r="L864" s="6"/>
      <c r="M864" s="6"/>
      <c r="N864" s="6"/>
      <c r="O864" s="6"/>
      <c r="P864" s="6"/>
      <c r="Q864" s="6"/>
      <c r="R864" s="6"/>
      <c r="S864" s="6"/>
      <c r="T864" s="6"/>
      <c r="U864" s="6"/>
      <c r="V864" s="6"/>
      <c r="W864" s="6"/>
      <c r="X864" s="6"/>
      <c r="Y864" s="6"/>
      <c r="Z864" s="6"/>
    </row>
    <row r="865" spans="1:26">
      <c r="A865" s="174"/>
      <c r="B865" s="6"/>
      <c r="C865" s="6"/>
      <c r="D865" s="6"/>
      <c r="E865" s="443"/>
      <c r="F865" s="15"/>
      <c r="G865" s="6"/>
      <c r="H865" s="6"/>
      <c r="I865" s="6"/>
      <c r="J865" s="6"/>
      <c r="K865" s="6"/>
      <c r="L865" s="6"/>
      <c r="M865" s="6"/>
      <c r="N865" s="6"/>
      <c r="O865" s="6"/>
      <c r="P865" s="6"/>
      <c r="Q865" s="6"/>
      <c r="R865" s="6"/>
      <c r="S865" s="6"/>
      <c r="T865" s="6"/>
      <c r="U865" s="6"/>
      <c r="V865" s="6"/>
      <c r="W865" s="6"/>
      <c r="X865" s="6"/>
      <c r="Y865" s="6"/>
      <c r="Z865" s="6"/>
    </row>
    <row r="866" spans="1:26">
      <c r="A866" s="174"/>
      <c r="B866" s="6"/>
      <c r="C866" s="6"/>
      <c r="D866" s="6"/>
      <c r="E866" s="443"/>
      <c r="F866" s="15"/>
      <c r="G866" s="6"/>
      <c r="H866" s="6"/>
      <c r="I866" s="6"/>
      <c r="J866" s="6"/>
      <c r="K866" s="6"/>
      <c r="L866" s="6"/>
      <c r="M866" s="6"/>
      <c r="N866" s="6"/>
      <c r="O866" s="6"/>
      <c r="P866" s="6"/>
      <c r="Q866" s="6"/>
      <c r="R866" s="6"/>
      <c r="S866" s="6"/>
      <c r="T866" s="6"/>
      <c r="U866" s="6"/>
      <c r="V866" s="6"/>
      <c r="W866" s="6"/>
      <c r="X866" s="6"/>
      <c r="Y866" s="6"/>
      <c r="Z866" s="6"/>
    </row>
    <row r="867" spans="1:26">
      <c r="A867" s="174"/>
      <c r="B867" s="6"/>
      <c r="C867" s="6"/>
      <c r="D867" s="6"/>
      <c r="E867" s="443"/>
      <c r="F867" s="15"/>
      <c r="G867" s="6"/>
      <c r="H867" s="6"/>
      <c r="I867" s="6"/>
      <c r="J867" s="6"/>
      <c r="K867" s="6"/>
      <c r="L867" s="6"/>
      <c r="M867" s="6"/>
      <c r="N867" s="6"/>
      <c r="O867" s="6"/>
      <c r="P867" s="6"/>
      <c r="Q867" s="6"/>
      <c r="R867" s="6"/>
      <c r="S867" s="6"/>
      <c r="T867" s="6"/>
      <c r="U867" s="6"/>
      <c r="V867" s="6"/>
      <c r="W867" s="6"/>
      <c r="X867" s="6"/>
      <c r="Y867" s="6"/>
      <c r="Z867" s="6"/>
    </row>
    <row r="868" spans="1:26">
      <c r="A868" s="174"/>
      <c r="B868" s="6"/>
      <c r="C868" s="6"/>
      <c r="D868" s="6"/>
      <c r="E868" s="443"/>
      <c r="F868" s="15"/>
      <c r="G868" s="6"/>
      <c r="H868" s="6"/>
      <c r="I868" s="6"/>
      <c r="J868" s="6"/>
      <c r="K868" s="6"/>
      <c r="L868" s="6"/>
      <c r="M868" s="6"/>
      <c r="N868" s="6"/>
      <c r="O868" s="6"/>
      <c r="P868" s="6"/>
      <c r="Q868" s="6"/>
      <c r="R868" s="6"/>
      <c r="S868" s="6"/>
      <c r="T868" s="6"/>
      <c r="U868" s="6"/>
      <c r="V868" s="6"/>
      <c r="W868" s="6"/>
      <c r="X868" s="6"/>
      <c r="Y868" s="6"/>
      <c r="Z868" s="6"/>
    </row>
    <row r="869" spans="1:26">
      <c r="A869" s="174"/>
      <c r="B869" s="6"/>
      <c r="C869" s="6"/>
      <c r="D869" s="6"/>
      <c r="E869" s="443"/>
      <c r="F869" s="15"/>
      <c r="G869" s="6"/>
      <c r="H869" s="6"/>
      <c r="I869" s="6"/>
      <c r="J869" s="6"/>
      <c r="K869" s="6"/>
      <c r="L869" s="6"/>
      <c r="M869" s="6"/>
      <c r="N869" s="6"/>
      <c r="O869" s="6"/>
      <c r="P869" s="6"/>
      <c r="Q869" s="6"/>
      <c r="R869" s="6"/>
      <c r="S869" s="6"/>
      <c r="T869" s="6"/>
      <c r="U869" s="6"/>
      <c r="V869" s="6"/>
      <c r="W869" s="6"/>
      <c r="X869" s="6"/>
      <c r="Y869" s="6"/>
      <c r="Z869" s="6"/>
    </row>
    <row r="870" spans="1:26">
      <c r="A870" s="174"/>
      <c r="B870" s="6"/>
      <c r="C870" s="6"/>
      <c r="D870" s="6"/>
      <c r="E870" s="443"/>
      <c r="F870" s="15"/>
      <c r="G870" s="6"/>
      <c r="H870" s="6"/>
      <c r="I870" s="6"/>
      <c r="J870" s="6"/>
      <c r="K870" s="6"/>
      <c r="L870" s="6"/>
      <c r="M870" s="6"/>
      <c r="N870" s="6"/>
      <c r="O870" s="6"/>
      <c r="P870" s="6"/>
      <c r="Q870" s="6"/>
      <c r="R870" s="6"/>
      <c r="S870" s="6"/>
      <c r="T870" s="6"/>
      <c r="U870" s="6"/>
      <c r="V870" s="6"/>
      <c r="W870" s="6"/>
      <c r="X870" s="6"/>
      <c r="Y870" s="6"/>
      <c r="Z870" s="6"/>
    </row>
    <row r="871" spans="1:26">
      <c r="A871" s="174"/>
      <c r="B871" s="6"/>
      <c r="C871" s="6"/>
      <c r="D871" s="6"/>
      <c r="E871" s="443"/>
      <c r="F871" s="15"/>
      <c r="G871" s="6"/>
      <c r="H871" s="6"/>
      <c r="I871" s="6"/>
      <c r="J871" s="6"/>
      <c r="K871" s="6"/>
      <c r="L871" s="6"/>
      <c r="M871" s="6"/>
      <c r="N871" s="6"/>
      <c r="O871" s="6"/>
      <c r="P871" s="6"/>
      <c r="Q871" s="6"/>
      <c r="R871" s="6"/>
      <c r="S871" s="6"/>
      <c r="T871" s="6"/>
      <c r="U871" s="6"/>
      <c r="V871" s="6"/>
      <c r="W871" s="6"/>
      <c r="X871" s="6"/>
      <c r="Y871" s="6"/>
      <c r="Z871" s="6"/>
    </row>
    <row r="872" spans="1:26">
      <c r="A872" s="174"/>
      <c r="B872" s="6"/>
      <c r="C872" s="6"/>
      <c r="D872" s="6"/>
      <c r="E872" s="443"/>
      <c r="F872" s="15"/>
      <c r="G872" s="6"/>
      <c r="H872" s="6"/>
      <c r="I872" s="6"/>
      <c r="J872" s="6"/>
      <c r="K872" s="6"/>
      <c r="L872" s="6"/>
      <c r="M872" s="6"/>
      <c r="N872" s="6"/>
      <c r="O872" s="6"/>
      <c r="P872" s="6"/>
      <c r="Q872" s="6"/>
      <c r="R872" s="6"/>
      <c r="S872" s="6"/>
      <c r="T872" s="6"/>
      <c r="U872" s="6"/>
      <c r="V872" s="6"/>
      <c r="W872" s="6"/>
      <c r="X872" s="6"/>
      <c r="Y872" s="6"/>
      <c r="Z872" s="6"/>
    </row>
    <row r="873" spans="1:26">
      <c r="A873" s="174"/>
      <c r="B873" s="6"/>
      <c r="C873" s="6"/>
      <c r="D873" s="6"/>
      <c r="E873" s="443"/>
      <c r="F873" s="15"/>
      <c r="G873" s="6"/>
      <c r="H873" s="6"/>
      <c r="I873" s="6"/>
      <c r="J873" s="6"/>
      <c r="K873" s="6"/>
      <c r="L873" s="6"/>
      <c r="M873" s="6"/>
      <c r="N873" s="6"/>
      <c r="O873" s="6"/>
      <c r="P873" s="6"/>
      <c r="Q873" s="6"/>
      <c r="R873" s="6"/>
      <c r="S873" s="6"/>
      <c r="T873" s="6"/>
      <c r="U873" s="6"/>
      <c r="V873" s="6"/>
      <c r="W873" s="6"/>
      <c r="X873" s="6"/>
      <c r="Y873" s="6"/>
      <c r="Z873" s="6"/>
    </row>
    <row r="874" spans="1:26">
      <c r="A874" s="174"/>
      <c r="B874" s="6"/>
      <c r="C874" s="6"/>
      <c r="D874" s="6"/>
      <c r="E874" s="443"/>
      <c r="F874" s="15"/>
      <c r="G874" s="6"/>
      <c r="H874" s="6"/>
      <c r="I874" s="6"/>
      <c r="J874" s="6"/>
      <c r="K874" s="6"/>
      <c r="L874" s="6"/>
      <c r="M874" s="6"/>
      <c r="N874" s="6"/>
      <c r="O874" s="6"/>
      <c r="P874" s="6"/>
      <c r="Q874" s="6"/>
      <c r="R874" s="6"/>
      <c r="S874" s="6"/>
      <c r="T874" s="6"/>
      <c r="U874" s="6"/>
      <c r="V874" s="6"/>
      <c r="W874" s="6"/>
      <c r="X874" s="6"/>
      <c r="Y874" s="6"/>
      <c r="Z874" s="6"/>
    </row>
    <row r="875" spans="1:26">
      <c r="A875" s="174"/>
      <c r="B875" s="6"/>
      <c r="C875" s="6"/>
      <c r="D875" s="6"/>
      <c r="E875" s="443"/>
      <c r="F875" s="15"/>
      <c r="G875" s="6"/>
      <c r="H875" s="6"/>
      <c r="I875" s="6"/>
      <c r="J875" s="6"/>
      <c r="K875" s="6"/>
      <c r="L875" s="6"/>
      <c r="M875" s="6"/>
      <c r="N875" s="6"/>
      <c r="O875" s="6"/>
      <c r="P875" s="6"/>
      <c r="Q875" s="6"/>
      <c r="R875" s="6"/>
      <c r="S875" s="6"/>
      <c r="T875" s="6"/>
      <c r="U875" s="6"/>
      <c r="V875" s="6"/>
      <c r="W875" s="6"/>
      <c r="X875" s="6"/>
      <c r="Y875" s="6"/>
      <c r="Z875" s="6"/>
    </row>
    <row r="876" spans="1:26">
      <c r="A876" s="174"/>
      <c r="B876" s="6"/>
      <c r="C876" s="6"/>
      <c r="D876" s="6"/>
      <c r="E876" s="443"/>
      <c r="F876" s="15"/>
      <c r="G876" s="6"/>
      <c r="H876" s="6"/>
      <c r="I876" s="6"/>
      <c r="J876" s="6"/>
      <c r="K876" s="6"/>
      <c r="L876" s="6"/>
      <c r="M876" s="6"/>
      <c r="N876" s="6"/>
      <c r="O876" s="6"/>
      <c r="P876" s="6"/>
      <c r="Q876" s="6"/>
      <c r="R876" s="6"/>
      <c r="S876" s="6"/>
      <c r="T876" s="6"/>
      <c r="U876" s="6"/>
      <c r="V876" s="6"/>
      <c r="W876" s="6"/>
      <c r="X876" s="6"/>
      <c r="Y876" s="6"/>
      <c r="Z876" s="6"/>
    </row>
    <row r="877" spans="1:26">
      <c r="A877" s="174"/>
      <c r="B877" s="6"/>
      <c r="C877" s="6"/>
      <c r="D877" s="6"/>
      <c r="E877" s="443"/>
      <c r="F877" s="15"/>
      <c r="G877" s="6"/>
      <c r="H877" s="6"/>
      <c r="I877" s="6"/>
      <c r="J877" s="6"/>
      <c r="K877" s="6"/>
      <c r="L877" s="6"/>
      <c r="M877" s="6"/>
      <c r="N877" s="6"/>
      <c r="O877" s="6"/>
      <c r="P877" s="6"/>
      <c r="Q877" s="6"/>
      <c r="R877" s="6"/>
      <c r="S877" s="6"/>
      <c r="T877" s="6"/>
      <c r="U877" s="6"/>
      <c r="V877" s="6"/>
      <c r="W877" s="6"/>
      <c r="X877" s="6"/>
      <c r="Y877" s="6"/>
      <c r="Z877" s="6"/>
    </row>
    <row r="878" spans="1:26">
      <c r="A878" s="174"/>
      <c r="B878" s="6"/>
      <c r="C878" s="6"/>
      <c r="D878" s="6"/>
      <c r="E878" s="443"/>
      <c r="F878" s="15"/>
      <c r="G878" s="6"/>
      <c r="H878" s="6"/>
      <c r="I878" s="6"/>
      <c r="J878" s="6"/>
      <c r="K878" s="6"/>
      <c r="L878" s="6"/>
      <c r="M878" s="6"/>
      <c r="N878" s="6"/>
      <c r="O878" s="6"/>
      <c r="P878" s="6"/>
      <c r="Q878" s="6"/>
      <c r="R878" s="6"/>
      <c r="S878" s="6"/>
      <c r="T878" s="6"/>
      <c r="U878" s="6"/>
      <c r="V878" s="6"/>
      <c r="W878" s="6"/>
      <c r="X878" s="6"/>
      <c r="Y878" s="6"/>
      <c r="Z878" s="6"/>
    </row>
    <row r="879" spans="1:26">
      <c r="A879" s="174"/>
      <c r="B879" s="6"/>
      <c r="C879" s="6"/>
      <c r="D879" s="6"/>
      <c r="E879" s="443"/>
      <c r="F879" s="15"/>
      <c r="G879" s="6"/>
      <c r="H879" s="6"/>
      <c r="I879" s="6"/>
      <c r="J879" s="6"/>
      <c r="K879" s="6"/>
      <c r="L879" s="6"/>
      <c r="M879" s="6"/>
      <c r="N879" s="6"/>
      <c r="O879" s="6"/>
      <c r="P879" s="6"/>
      <c r="Q879" s="6"/>
      <c r="R879" s="6"/>
      <c r="S879" s="6"/>
      <c r="T879" s="6"/>
      <c r="U879" s="6"/>
      <c r="V879" s="6"/>
      <c r="W879" s="6"/>
      <c r="X879" s="6"/>
      <c r="Y879" s="6"/>
      <c r="Z879" s="6"/>
    </row>
    <row r="880" spans="1:26">
      <c r="A880" s="174"/>
      <c r="B880" s="6"/>
      <c r="C880" s="6"/>
      <c r="D880" s="6"/>
      <c r="E880" s="443"/>
      <c r="F880" s="15"/>
      <c r="G880" s="6"/>
      <c r="H880" s="6"/>
      <c r="I880" s="6"/>
      <c r="J880" s="6"/>
      <c r="K880" s="6"/>
      <c r="L880" s="6"/>
      <c r="M880" s="6"/>
      <c r="N880" s="6"/>
      <c r="O880" s="6"/>
      <c r="P880" s="6"/>
      <c r="Q880" s="6"/>
      <c r="R880" s="6"/>
      <c r="S880" s="6"/>
      <c r="T880" s="6"/>
      <c r="U880" s="6"/>
      <c r="V880" s="6"/>
      <c r="W880" s="6"/>
      <c r="X880" s="6"/>
      <c r="Y880" s="6"/>
      <c r="Z880" s="6"/>
    </row>
    <row r="881" spans="1:26">
      <c r="A881" s="174"/>
      <c r="B881" s="6"/>
      <c r="C881" s="6"/>
      <c r="D881" s="6"/>
      <c r="E881" s="443"/>
      <c r="F881" s="15"/>
      <c r="G881" s="6"/>
      <c r="H881" s="6"/>
      <c r="I881" s="6"/>
      <c r="J881" s="6"/>
      <c r="K881" s="6"/>
      <c r="L881" s="6"/>
      <c r="M881" s="6"/>
      <c r="N881" s="6"/>
      <c r="O881" s="6"/>
      <c r="P881" s="6"/>
      <c r="Q881" s="6"/>
      <c r="R881" s="6"/>
      <c r="S881" s="6"/>
      <c r="T881" s="6"/>
      <c r="U881" s="6"/>
      <c r="V881" s="6"/>
      <c r="W881" s="6"/>
      <c r="X881" s="6"/>
      <c r="Y881" s="6"/>
      <c r="Z881" s="6"/>
    </row>
    <row r="882" spans="1:26">
      <c r="A882" s="174"/>
      <c r="B882" s="6"/>
      <c r="C882" s="6"/>
      <c r="D882" s="6"/>
      <c r="E882" s="443"/>
      <c r="F882" s="15"/>
      <c r="G882" s="6"/>
      <c r="H882" s="6"/>
      <c r="I882" s="6"/>
      <c r="J882" s="6"/>
      <c r="K882" s="6"/>
      <c r="L882" s="6"/>
      <c r="M882" s="6"/>
      <c r="N882" s="6"/>
      <c r="O882" s="6"/>
      <c r="P882" s="6"/>
      <c r="Q882" s="6"/>
      <c r="R882" s="6"/>
      <c r="S882" s="6"/>
      <c r="T882" s="6"/>
      <c r="U882" s="6"/>
      <c r="V882" s="6"/>
      <c r="W882" s="6"/>
      <c r="X882" s="6"/>
      <c r="Y882" s="6"/>
      <c r="Z882" s="6"/>
    </row>
    <row r="883" spans="1:26">
      <c r="A883" s="174"/>
      <c r="B883" s="6"/>
      <c r="C883" s="6"/>
      <c r="D883" s="6"/>
      <c r="E883" s="443"/>
      <c r="F883" s="15"/>
      <c r="G883" s="6"/>
      <c r="H883" s="6"/>
      <c r="I883" s="6"/>
      <c r="J883" s="6"/>
      <c r="K883" s="6"/>
      <c r="L883" s="6"/>
      <c r="M883" s="6"/>
      <c r="N883" s="6"/>
      <c r="O883" s="6"/>
      <c r="P883" s="6"/>
      <c r="Q883" s="6"/>
      <c r="R883" s="6"/>
      <c r="S883" s="6"/>
      <c r="T883" s="6"/>
      <c r="U883" s="6"/>
      <c r="V883" s="6"/>
      <c r="W883" s="6"/>
      <c r="X883" s="6"/>
      <c r="Y883" s="6"/>
      <c r="Z883" s="6"/>
    </row>
    <row r="884" spans="1:26">
      <c r="A884" s="174"/>
      <c r="B884" s="6"/>
      <c r="C884" s="6"/>
      <c r="D884" s="6"/>
      <c r="E884" s="443"/>
      <c r="F884" s="15"/>
      <c r="G884" s="6"/>
      <c r="H884" s="6"/>
      <c r="I884" s="6"/>
      <c r="J884" s="6"/>
      <c r="K884" s="6"/>
      <c r="L884" s="6"/>
      <c r="M884" s="6"/>
      <c r="N884" s="6"/>
      <c r="O884" s="6"/>
      <c r="P884" s="6"/>
      <c r="Q884" s="6"/>
      <c r="R884" s="6"/>
      <c r="S884" s="6"/>
      <c r="T884" s="6"/>
      <c r="U884" s="6"/>
      <c r="V884" s="6"/>
      <c r="W884" s="6"/>
      <c r="X884" s="6"/>
      <c r="Y884" s="6"/>
      <c r="Z884" s="6"/>
    </row>
    <row r="885" spans="1:26">
      <c r="A885" s="174"/>
      <c r="B885" s="6"/>
      <c r="C885" s="6"/>
      <c r="D885" s="6"/>
      <c r="E885" s="443"/>
      <c r="F885" s="15"/>
      <c r="G885" s="6"/>
      <c r="H885" s="6"/>
      <c r="I885" s="6"/>
      <c r="J885" s="6"/>
      <c r="K885" s="6"/>
      <c r="L885" s="6"/>
      <c r="M885" s="6"/>
      <c r="N885" s="6"/>
      <c r="O885" s="6"/>
      <c r="P885" s="6"/>
      <c r="Q885" s="6"/>
      <c r="R885" s="6"/>
      <c r="S885" s="6"/>
      <c r="T885" s="6"/>
      <c r="U885" s="6"/>
      <c r="V885" s="6"/>
      <c r="W885" s="6"/>
      <c r="X885" s="6"/>
      <c r="Y885" s="6"/>
      <c r="Z885" s="6"/>
    </row>
    <row r="886" spans="1:26">
      <c r="A886" s="174"/>
      <c r="B886" s="6"/>
      <c r="C886" s="6"/>
      <c r="D886" s="6"/>
      <c r="E886" s="443"/>
      <c r="F886" s="15"/>
      <c r="G886" s="6"/>
      <c r="H886" s="6"/>
      <c r="I886" s="6"/>
      <c r="J886" s="6"/>
      <c r="K886" s="6"/>
      <c r="L886" s="6"/>
      <c r="M886" s="6"/>
      <c r="N886" s="6"/>
      <c r="O886" s="6"/>
      <c r="P886" s="6"/>
      <c r="Q886" s="6"/>
      <c r="R886" s="6"/>
      <c r="S886" s="6"/>
      <c r="T886" s="6"/>
      <c r="U886" s="6"/>
      <c r="V886" s="6"/>
      <c r="W886" s="6"/>
      <c r="X886" s="6"/>
      <c r="Y886" s="6"/>
      <c r="Z886" s="6"/>
    </row>
    <row r="887" spans="1:26">
      <c r="A887" s="174"/>
      <c r="B887" s="6"/>
      <c r="C887" s="6"/>
      <c r="D887" s="6"/>
      <c r="E887" s="443"/>
      <c r="F887" s="15"/>
      <c r="G887" s="6"/>
      <c r="H887" s="6"/>
      <c r="I887" s="6"/>
      <c r="J887" s="6"/>
      <c r="K887" s="6"/>
      <c r="L887" s="6"/>
      <c r="M887" s="6"/>
      <c r="N887" s="6"/>
      <c r="O887" s="6"/>
      <c r="P887" s="6"/>
      <c r="Q887" s="6"/>
      <c r="R887" s="6"/>
      <c r="S887" s="6"/>
      <c r="T887" s="6"/>
      <c r="U887" s="6"/>
      <c r="V887" s="6"/>
      <c r="W887" s="6"/>
      <c r="X887" s="6"/>
      <c r="Y887" s="6"/>
      <c r="Z887" s="6"/>
    </row>
    <row r="888" spans="1:26">
      <c r="A888" s="174"/>
      <c r="B888" s="6"/>
      <c r="C888" s="6"/>
      <c r="D888" s="6"/>
      <c r="E888" s="443"/>
      <c r="F888" s="15"/>
      <c r="G888" s="6"/>
      <c r="H888" s="6"/>
      <c r="I888" s="6"/>
      <c r="J888" s="6"/>
      <c r="K888" s="6"/>
      <c r="L888" s="6"/>
      <c r="M888" s="6"/>
      <c r="N888" s="6"/>
      <c r="O888" s="6"/>
      <c r="P888" s="6"/>
      <c r="Q888" s="6"/>
      <c r="R888" s="6"/>
      <c r="S888" s="6"/>
      <c r="T888" s="6"/>
      <c r="U888" s="6"/>
      <c r="V888" s="6"/>
      <c r="W888" s="6"/>
      <c r="X888" s="6"/>
      <c r="Y888" s="6"/>
      <c r="Z888" s="6"/>
    </row>
    <row r="889" spans="1:26">
      <c r="A889" s="174"/>
      <c r="B889" s="6"/>
      <c r="C889" s="6"/>
      <c r="D889" s="6"/>
      <c r="E889" s="443"/>
      <c r="F889" s="15"/>
      <c r="G889" s="6"/>
      <c r="H889" s="6"/>
      <c r="I889" s="6"/>
      <c r="J889" s="6"/>
      <c r="K889" s="6"/>
      <c r="L889" s="6"/>
      <c r="M889" s="6"/>
      <c r="N889" s="6"/>
      <c r="O889" s="6"/>
      <c r="P889" s="6"/>
      <c r="Q889" s="6"/>
      <c r="R889" s="6"/>
      <c r="S889" s="6"/>
      <c r="T889" s="6"/>
      <c r="U889" s="6"/>
      <c r="V889" s="6"/>
      <c r="W889" s="6"/>
      <c r="X889" s="6"/>
      <c r="Y889" s="6"/>
      <c r="Z889" s="6"/>
    </row>
    <row r="890" spans="1:26">
      <c r="A890" s="174"/>
      <c r="B890" s="6"/>
      <c r="C890" s="6"/>
      <c r="D890" s="6"/>
      <c r="E890" s="443"/>
      <c r="F890" s="15"/>
      <c r="G890" s="6"/>
      <c r="H890" s="6"/>
      <c r="I890" s="6"/>
      <c r="J890" s="6"/>
      <c r="K890" s="6"/>
      <c r="L890" s="6"/>
      <c r="M890" s="6"/>
      <c r="N890" s="6"/>
      <c r="O890" s="6"/>
      <c r="P890" s="6"/>
      <c r="Q890" s="6"/>
      <c r="R890" s="6"/>
      <c r="S890" s="6"/>
      <c r="T890" s="6"/>
      <c r="U890" s="6"/>
      <c r="V890" s="6"/>
      <c r="W890" s="6"/>
      <c r="X890" s="6"/>
      <c r="Y890" s="6"/>
      <c r="Z890" s="6"/>
    </row>
    <row r="891" spans="1:26">
      <c r="A891" s="174"/>
      <c r="B891" s="6"/>
      <c r="C891" s="6"/>
      <c r="D891" s="6"/>
      <c r="E891" s="443"/>
      <c r="F891" s="15"/>
      <c r="G891" s="6"/>
      <c r="H891" s="6"/>
      <c r="I891" s="6"/>
      <c r="J891" s="6"/>
      <c r="K891" s="6"/>
      <c r="L891" s="6"/>
      <c r="M891" s="6"/>
      <c r="N891" s="6"/>
      <c r="O891" s="6"/>
      <c r="P891" s="6"/>
      <c r="Q891" s="6"/>
      <c r="R891" s="6"/>
      <c r="S891" s="6"/>
      <c r="T891" s="6"/>
      <c r="U891" s="6"/>
      <c r="V891" s="6"/>
      <c r="W891" s="6"/>
      <c r="X891" s="6"/>
      <c r="Y891" s="6"/>
      <c r="Z891" s="6"/>
    </row>
    <row r="892" spans="1:26">
      <c r="A892" s="174"/>
      <c r="B892" s="6"/>
      <c r="C892" s="6"/>
      <c r="D892" s="6"/>
      <c r="E892" s="443"/>
      <c r="F892" s="15"/>
      <c r="G892" s="6"/>
      <c r="H892" s="6"/>
      <c r="I892" s="6"/>
      <c r="J892" s="6"/>
      <c r="K892" s="6"/>
      <c r="L892" s="6"/>
      <c r="M892" s="6"/>
      <c r="N892" s="6"/>
      <c r="O892" s="6"/>
      <c r="P892" s="6"/>
      <c r="Q892" s="6"/>
      <c r="R892" s="6"/>
      <c r="S892" s="6"/>
      <c r="T892" s="6"/>
      <c r="U892" s="6"/>
      <c r="V892" s="6"/>
      <c r="W892" s="6"/>
      <c r="X892" s="6"/>
      <c r="Y892" s="6"/>
      <c r="Z892" s="6"/>
    </row>
    <row r="893" spans="1:26">
      <c r="A893" s="174"/>
      <c r="B893" s="6"/>
      <c r="C893" s="6"/>
      <c r="D893" s="6"/>
      <c r="E893" s="443"/>
      <c r="F893" s="15"/>
      <c r="G893" s="6"/>
      <c r="H893" s="6"/>
      <c r="I893" s="6"/>
      <c r="J893" s="6"/>
      <c r="K893" s="6"/>
      <c r="L893" s="6"/>
      <c r="M893" s="6"/>
      <c r="N893" s="6"/>
      <c r="O893" s="6"/>
      <c r="P893" s="6"/>
      <c r="Q893" s="6"/>
      <c r="R893" s="6"/>
      <c r="S893" s="6"/>
      <c r="T893" s="6"/>
      <c r="U893" s="6"/>
      <c r="V893" s="6"/>
      <c r="W893" s="6"/>
      <c r="X893" s="6"/>
      <c r="Y893" s="6"/>
      <c r="Z893" s="6"/>
    </row>
    <row r="894" spans="1:26">
      <c r="A894" s="174"/>
      <c r="B894" s="6"/>
      <c r="C894" s="6"/>
      <c r="D894" s="6"/>
      <c r="E894" s="443"/>
      <c r="F894" s="15"/>
      <c r="G894" s="6"/>
      <c r="H894" s="6"/>
      <c r="I894" s="6"/>
      <c r="J894" s="6"/>
      <c r="K894" s="6"/>
      <c r="L894" s="6"/>
      <c r="M894" s="6"/>
      <c r="N894" s="6"/>
      <c r="O894" s="6"/>
      <c r="P894" s="6"/>
      <c r="Q894" s="6"/>
      <c r="R894" s="6"/>
      <c r="S894" s="6"/>
      <c r="T894" s="6"/>
      <c r="U894" s="6"/>
      <c r="V894" s="6"/>
      <c r="W894" s="6"/>
      <c r="X894" s="6"/>
      <c r="Y894" s="6"/>
      <c r="Z894" s="6"/>
    </row>
    <row r="895" spans="1:26">
      <c r="A895" s="174"/>
      <c r="B895" s="6"/>
      <c r="C895" s="6"/>
      <c r="D895" s="6"/>
      <c r="E895" s="443"/>
      <c r="F895" s="15"/>
      <c r="G895" s="6"/>
      <c r="H895" s="6"/>
      <c r="I895" s="6"/>
      <c r="J895" s="6"/>
      <c r="K895" s="6"/>
      <c r="L895" s="6"/>
      <c r="M895" s="6"/>
      <c r="N895" s="6"/>
      <c r="O895" s="6"/>
      <c r="P895" s="6"/>
      <c r="Q895" s="6"/>
      <c r="R895" s="6"/>
      <c r="S895" s="6"/>
      <c r="T895" s="6"/>
      <c r="U895" s="6"/>
      <c r="V895" s="6"/>
      <c r="W895" s="6"/>
      <c r="X895" s="6"/>
      <c r="Y895" s="6"/>
      <c r="Z895" s="6"/>
    </row>
    <row r="896" spans="1:26">
      <c r="A896" s="174"/>
      <c r="B896" s="6"/>
      <c r="C896" s="6"/>
      <c r="D896" s="6"/>
      <c r="E896" s="443"/>
      <c r="F896" s="15"/>
      <c r="G896" s="6"/>
      <c r="H896" s="6"/>
      <c r="I896" s="6"/>
      <c r="J896" s="6"/>
      <c r="K896" s="6"/>
      <c r="L896" s="6"/>
      <c r="M896" s="6"/>
      <c r="N896" s="6"/>
      <c r="O896" s="6"/>
      <c r="P896" s="6"/>
      <c r="Q896" s="6"/>
      <c r="R896" s="6"/>
      <c r="S896" s="6"/>
      <c r="T896" s="6"/>
      <c r="U896" s="6"/>
      <c r="V896" s="6"/>
      <c r="W896" s="6"/>
      <c r="X896" s="6"/>
      <c r="Y896" s="6"/>
      <c r="Z896" s="6"/>
    </row>
    <row r="897" spans="1:26">
      <c r="A897" s="174"/>
      <c r="B897" s="6"/>
      <c r="C897" s="6"/>
      <c r="D897" s="6"/>
      <c r="E897" s="443"/>
      <c r="F897" s="15"/>
      <c r="G897" s="6"/>
      <c r="H897" s="6"/>
      <c r="I897" s="6"/>
      <c r="J897" s="6"/>
      <c r="K897" s="6"/>
      <c r="L897" s="6"/>
      <c r="M897" s="6"/>
      <c r="N897" s="6"/>
      <c r="O897" s="6"/>
      <c r="P897" s="6"/>
      <c r="Q897" s="6"/>
      <c r="R897" s="6"/>
      <c r="S897" s="6"/>
      <c r="T897" s="6"/>
      <c r="U897" s="6"/>
      <c r="V897" s="6"/>
      <c r="W897" s="6"/>
      <c r="X897" s="6"/>
      <c r="Y897" s="6"/>
      <c r="Z897" s="6"/>
    </row>
    <row r="898" spans="1:26">
      <c r="A898" s="174"/>
      <c r="B898" s="6"/>
      <c r="C898" s="6"/>
      <c r="D898" s="6"/>
      <c r="E898" s="443"/>
      <c r="F898" s="15"/>
      <c r="G898" s="6"/>
      <c r="H898" s="6"/>
      <c r="I898" s="6"/>
      <c r="J898" s="6"/>
      <c r="K898" s="6"/>
      <c r="L898" s="6"/>
      <c r="M898" s="6"/>
      <c r="N898" s="6"/>
      <c r="O898" s="6"/>
      <c r="P898" s="6"/>
      <c r="Q898" s="6"/>
      <c r="R898" s="6"/>
      <c r="S898" s="6"/>
      <c r="T898" s="6"/>
      <c r="U898" s="6"/>
      <c r="V898" s="6"/>
      <c r="W898" s="6"/>
      <c r="X898" s="6"/>
      <c r="Y898" s="6"/>
      <c r="Z898" s="6"/>
    </row>
    <row r="899" spans="1:26">
      <c r="A899" s="174"/>
      <c r="B899" s="6"/>
      <c r="C899" s="6"/>
      <c r="D899" s="6"/>
      <c r="E899" s="443"/>
      <c r="F899" s="15"/>
      <c r="G899" s="6"/>
      <c r="H899" s="6"/>
      <c r="I899" s="6"/>
      <c r="J899" s="6"/>
      <c r="K899" s="6"/>
      <c r="L899" s="6"/>
      <c r="M899" s="6"/>
      <c r="N899" s="6"/>
      <c r="O899" s="6"/>
      <c r="P899" s="6"/>
      <c r="Q899" s="6"/>
      <c r="R899" s="6"/>
      <c r="S899" s="6"/>
      <c r="T899" s="6"/>
      <c r="U899" s="6"/>
      <c r="V899" s="6"/>
      <c r="W899" s="6"/>
      <c r="X899" s="6"/>
      <c r="Y899" s="6"/>
      <c r="Z899" s="6"/>
    </row>
    <row r="900" spans="1:26">
      <c r="A900" s="174"/>
      <c r="B900" s="6"/>
      <c r="C900" s="6"/>
      <c r="D900" s="6"/>
      <c r="E900" s="443"/>
      <c r="F900" s="15"/>
      <c r="G900" s="6"/>
      <c r="H900" s="6"/>
      <c r="I900" s="6"/>
      <c r="J900" s="6"/>
      <c r="K900" s="6"/>
      <c r="L900" s="6"/>
      <c r="M900" s="6"/>
      <c r="N900" s="6"/>
      <c r="O900" s="6"/>
      <c r="P900" s="6"/>
      <c r="Q900" s="6"/>
      <c r="R900" s="6"/>
      <c r="S900" s="6"/>
      <c r="T900" s="6"/>
      <c r="U900" s="6"/>
      <c r="V900" s="6"/>
      <c r="W900" s="6"/>
      <c r="X900" s="6"/>
      <c r="Y900" s="6"/>
      <c r="Z900" s="6"/>
    </row>
    <row r="901" spans="1:26">
      <c r="A901" s="174"/>
      <c r="B901" s="6"/>
      <c r="C901" s="6"/>
      <c r="D901" s="6"/>
      <c r="E901" s="443"/>
      <c r="F901" s="15"/>
      <c r="G901" s="6"/>
      <c r="H901" s="6"/>
      <c r="I901" s="6"/>
      <c r="J901" s="6"/>
      <c r="K901" s="6"/>
      <c r="L901" s="6"/>
      <c r="M901" s="6"/>
      <c r="N901" s="6"/>
      <c r="O901" s="6"/>
      <c r="P901" s="6"/>
      <c r="Q901" s="6"/>
      <c r="R901" s="6"/>
      <c r="S901" s="6"/>
      <c r="T901" s="6"/>
      <c r="U901" s="6"/>
      <c r="V901" s="6"/>
      <c r="W901" s="6"/>
      <c r="X901" s="6"/>
      <c r="Y901" s="6"/>
      <c r="Z901" s="6"/>
    </row>
    <row r="902" spans="1:26">
      <c r="A902" s="174"/>
      <c r="B902" s="6"/>
      <c r="C902" s="6"/>
      <c r="D902" s="6"/>
      <c r="E902" s="443"/>
      <c r="F902" s="15"/>
      <c r="G902" s="6"/>
      <c r="H902" s="6"/>
      <c r="I902" s="6"/>
      <c r="J902" s="6"/>
      <c r="K902" s="6"/>
      <c r="L902" s="6"/>
      <c r="M902" s="6"/>
      <c r="N902" s="6"/>
      <c r="O902" s="6"/>
      <c r="P902" s="6"/>
      <c r="Q902" s="6"/>
      <c r="R902" s="6"/>
      <c r="S902" s="6"/>
      <c r="T902" s="6"/>
      <c r="U902" s="6"/>
      <c r="V902" s="6"/>
      <c r="W902" s="6"/>
      <c r="X902" s="6"/>
      <c r="Y902" s="6"/>
      <c r="Z902" s="6"/>
    </row>
    <row r="903" spans="1:26">
      <c r="A903" s="174"/>
      <c r="B903" s="6"/>
      <c r="C903" s="6"/>
      <c r="D903" s="6"/>
      <c r="E903" s="443"/>
      <c r="F903" s="15"/>
      <c r="G903" s="6"/>
      <c r="H903" s="6"/>
      <c r="I903" s="6"/>
      <c r="J903" s="6"/>
      <c r="K903" s="6"/>
      <c r="L903" s="6"/>
      <c r="M903" s="6"/>
      <c r="N903" s="6"/>
      <c r="O903" s="6"/>
      <c r="P903" s="6"/>
      <c r="Q903" s="6"/>
      <c r="R903" s="6"/>
      <c r="S903" s="6"/>
      <c r="T903" s="6"/>
      <c r="U903" s="6"/>
      <c r="V903" s="6"/>
      <c r="W903" s="6"/>
      <c r="X903" s="6"/>
      <c r="Y903" s="6"/>
      <c r="Z903" s="6"/>
    </row>
    <row r="904" spans="1:26">
      <c r="A904" s="174"/>
      <c r="B904" s="6"/>
      <c r="C904" s="6"/>
      <c r="D904" s="6"/>
      <c r="E904" s="443"/>
      <c r="F904" s="15"/>
      <c r="G904" s="6"/>
      <c r="H904" s="6"/>
      <c r="I904" s="6"/>
      <c r="J904" s="6"/>
      <c r="K904" s="6"/>
      <c r="L904" s="6"/>
      <c r="M904" s="6"/>
      <c r="N904" s="6"/>
      <c r="O904" s="6"/>
      <c r="P904" s="6"/>
      <c r="Q904" s="6"/>
      <c r="R904" s="6"/>
      <c r="S904" s="6"/>
      <c r="T904" s="6"/>
      <c r="U904" s="6"/>
      <c r="V904" s="6"/>
      <c r="W904" s="6"/>
      <c r="X904" s="6"/>
      <c r="Y904" s="6"/>
      <c r="Z904" s="6"/>
    </row>
    <row r="905" spans="1:26">
      <c r="A905" s="174"/>
      <c r="B905" s="6"/>
      <c r="C905" s="6"/>
      <c r="D905" s="6"/>
      <c r="E905" s="443"/>
      <c r="F905" s="15"/>
      <c r="G905" s="6"/>
      <c r="H905" s="6"/>
      <c r="I905" s="6"/>
      <c r="J905" s="6"/>
      <c r="K905" s="6"/>
      <c r="L905" s="6"/>
      <c r="M905" s="6"/>
      <c r="N905" s="6"/>
      <c r="O905" s="6"/>
      <c r="P905" s="6"/>
      <c r="Q905" s="6"/>
      <c r="R905" s="6"/>
      <c r="S905" s="6"/>
      <c r="T905" s="6"/>
      <c r="U905" s="6"/>
      <c r="V905" s="6"/>
      <c r="W905" s="6"/>
      <c r="X905" s="6"/>
      <c r="Y905" s="6"/>
      <c r="Z905" s="6"/>
    </row>
    <row r="906" spans="1:26">
      <c r="A906" s="174"/>
      <c r="B906" s="6"/>
      <c r="C906" s="6"/>
      <c r="D906" s="6"/>
      <c r="E906" s="443"/>
      <c r="F906" s="15"/>
      <c r="G906" s="6"/>
      <c r="H906" s="6"/>
      <c r="I906" s="6"/>
      <c r="J906" s="6"/>
      <c r="K906" s="6"/>
      <c r="L906" s="6"/>
      <c r="M906" s="6"/>
      <c r="N906" s="6"/>
      <c r="O906" s="6"/>
      <c r="P906" s="6"/>
      <c r="Q906" s="6"/>
      <c r="R906" s="6"/>
      <c r="S906" s="6"/>
      <c r="T906" s="6"/>
      <c r="U906" s="6"/>
      <c r="V906" s="6"/>
      <c r="W906" s="6"/>
      <c r="X906" s="6"/>
      <c r="Y906" s="6"/>
      <c r="Z906" s="6"/>
    </row>
    <row r="907" spans="1:26">
      <c r="A907" s="174"/>
      <c r="B907" s="6"/>
      <c r="C907" s="6"/>
      <c r="D907" s="6"/>
      <c r="E907" s="443"/>
      <c r="F907" s="15"/>
      <c r="G907" s="6"/>
      <c r="H907" s="6"/>
      <c r="I907" s="6"/>
      <c r="J907" s="6"/>
      <c r="K907" s="6"/>
      <c r="L907" s="6"/>
      <c r="M907" s="6"/>
      <c r="N907" s="6"/>
      <c r="O907" s="6"/>
      <c r="P907" s="6"/>
      <c r="Q907" s="6"/>
      <c r="R907" s="6"/>
      <c r="S907" s="6"/>
      <c r="T907" s="6"/>
      <c r="U907" s="6"/>
      <c r="V907" s="6"/>
      <c r="W907" s="6"/>
      <c r="X907" s="6"/>
      <c r="Y907" s="6"/>
      <c r="Z907" s="6"/>
    </row>
    <row r="908" spans="1:26">
      <c r="A908" s="174"/>
      <c r="B908" s="6"/>
      <c r="C908" s="6"/>
      <c r="D908" s="6"/>
      <c r="E908" s="443"/>
      <c r="F908" s="15"/>
      <c r="G908" s="6"/>
      <c r="H908" s="6"/>
      <c r="I908" s="6"/>
      <c r="J908" s="6"/>
      <c r="K908" s="6"/>
      <c r="L908" s="6"/>
      <c r="M908" s="6"/>
      <c r="N908" s="6"/>
      <c r="O908" s="6"/>
      <c r="P908" s="6"/>
      <c r="Q908" s="6"/>
      <c r="R908" s="6"/>
      <c r="S908" s="6"/>
      <c r="T908" s="6"/>
      <c r="U908" s="6"/>
      <c r="V908" s="6"/>
      <c r="W908" s="6"/>
      <c r="X908" s="6"/>
      <c r="Y908" s="6"/>
      <c r="Z908" s="6"/>
    </row>
    <row r="909" spans="1:26">
      <c r="A909" s="174"/>
      <c r="B909" s="6"/>
      <c r="C909" s="6"/>
      <c r="D909" s="6"/>
      <c r="E909" s="443"/>
      <c r="F909" s="15"/>
      <c r="G909" s="6"/>
      <c r="H909" s="6"/>
      <c r="I909" s="6"/>
      <c r="J909" s="6"/>
      <c r="K909" s="6"/>
      <c r="L909" s="6"/>
      <c r="M909" s="6"/>
      <c r="N909" s="6"/>
      <c r="O909" s="6"/>
      <c r="P909" s="6"/>
      <c r="Q909" s="6"/>
      <c r="R909" s="6"/>
      <c r="S909" s="6"/>
      <c r="T909" s="6"/>
      <c r="U909" s="6"/>
      <c r="V909" s="6"/>
      <c r="W909" s="6"/>
      <c r="X909" s="6"/>
      <c r="Y909" s="6"/>
      <c r="Z909" s="6"/>
    </row>
    <row r="910" spans="1:26">
      <c r="A910" s="174"/>
      <c r="B910" s="6"/>
      <c r="C910" s="6"/>
      <c r="D910" s="6"/>
      <c r="E910" s="443"/>
      <c r="F910" s="15"/>
      <c r="G910" s="6"/>
      <c r="H910" s="6"/>
      <c r="I910" s="6"/>
      <c r="J910" s="6"/>
      <c r="K910" s="6"/>
      <c r="L910" s="6"/>
      <c r="M910" s="6"/>
      <c r="N910" s="6"/>
      <c r="O910" s="6"/>
      <c r="P910" s="6"/>
      <c r="Q910" s="6"/>
      <c r="R910" s="6"/>
      <c r="S910" s="6"/>
      <c r="T910" s="6"/>
      <c r="U910" s="6"/>
      <c r="V910" s="6"/>
      <c r="W910" s="6"/>
      <c r="X910" s="6"/>
      <c r="Y910" s="6"/>
      <c r="Z910" s="6"/>
    </row>
    <row r="911" spans="1:26">
      <c r="A911" s="174"/>
      <c r="B911" s="6"/>
      <c r="C911" s="6"/>
      <c r="D911" s="6"/>
      <c r="E911" s="443"/>
      <c r="F911" s="15"/>
      <c r="G911" s="6"/>
      <c r="H911" s="6"/>
      <c r="I911" s="6"/>
      <c r="J911" s="6"/>
      <c r="K911" s="6"/>
      <c r="L911" s="6"/>
      <c r="M911" s="6"/>
      <c r="N911" s="6"/>
      <c r="O911" s="6"/>
      <c r="P911" s="6"/>
      <c r="Q911" s="6"/>
      <c r="R911" s="6"/>
      <c r="S911" s="6"/>
      <c r="T911" s="6"/>
      <c r="U911" s="6"/>
      <c r="V911" s="6"/>
      <c r="W911" s="6"/>
      <c r="X911" s="6"/>
      <c r="Y911" s="6"/>
      <c r="Z911" s="6"/>
    </row>
    <row r="912" spans="1:26">
      <c r="A912" s="174"/>
      <c r="B912" s="6"/>
      <c r="C912" s="6"/>
      <c r="D912" s="6"/>
      <c r="E912" s="443"/>
      <c r="F912" s="15"/>
      <c r="G912" s="6"/>
      <c r="H912" s="6"/>
      <c r="I912" s="6"/>
      <c r="J912" s="6"/>
      <c r="K912" s="6"/>
      <c r="L912" s="6"/>
      <c r="M912" s="6"/>
      <c r="N912" s="6"/>
      <c r="O912" s="6"/>
      <c r="P912" s="6"/>
      <c r="Q912" s="6"/>
      <c r="R912" s="6"/>
      <c r="S912" s="6"/>
      <c r="T912" s="6"/>
      <c r="U912" s="6"/>
      <c r="V912" s="6"/>
      <c r="W912" s="6"/>
      <c r="X912" s="6"/>
      <c r="Y912" s="6"/>
      <c r="Z912" s="6"/>
    </row>
    <row r="913" spans="1:26">
      <c r="A913" s="174"/>
      <c r="B913" s="6"/>
      <c r="C913" s="6"/>
      <c r="D913" s="6"/>
      <c r="E913" s="443"/>
      <c r="F913" s="15"/>
      <c r="G913" s="6"/>
      <c r="H913" s="6"/>
      <c r="I913" s="6"/>
      <c r="J913" s="6"/>
      <c r="K913" s="6"/>
      <c r="L913" s="6"/>
      <c r="M913" s="6"/>
      <c r="N913" s="6"/>
      <c r="O913" s="6"/>
      <c r="P913" s="6"/>
      <c r="Q913" s="6"/>
      <c r="R913" s="6"/>
      <c r="S913" s="6"/>
      <c r="T913" s="6"/>
      <c r="U913" s="6"/>
      <c r="V913" s="6"/>
      <c r="W913" s="6"/>
      <c r="X913" s="6"/>
      <c r="Y913" s="6"/>
      <c r="Z913" s="6"/>
    </row>
    <row r="914" spans="1:26">
      <c r="A914" s="174"/>
      <c r="B914" s="6"/>
      <c r="C914" s="6"/>
      <c r="D914" s="6"/>
      <c r="E914" s="443"/>
      <c r="F914" s="15"/>
      <c r="G914" s="6"/>
      <c r="H914" s="6"/>
      <c r="I914" s="6"/>
      <c r="J914" s="6"/>
      <c r="K914" s="6"/>
      <c r="L914" s="6"/>
      <c r="M914" s="6"/>
      <c r="N914" s="6"/>
      <c r="O914" s="6"/>
      <c r="P914" s="6"/>
      <c r="Q914" s="6"/>
      <c r="R914" s="6"/>
      <c r="S914" s="6"/>
      <c r="T914" s="6"/>
      <c r="U914" s="6"/>
      <c r="V914" s="6"/>
      <c r="W914" s="6"/>
      <c r="X914" s="6"/>
      <c r="Y914" s="6"/>
      <c r="Z914" s="6"/>
    </row>
    <row r="915" spans="1:26">
      <c r="A915" s="174"/>
      <c r="B915" s="6"/>
      <c r="C915" s="6"/>
      <c r="D915" s="6"/>
      <c r="E915" s="443"/>
      <c r="F915" s="15"/>
      <c r="G915" s="6"/>
      <c r="H915" s="6"/>
      <c r="I915" s="6"/>
      <c r="J915" s="6"/>
      <c r="K915" s="6"/>
      <c r="L915" s="6"/>
      <c r="M915" s="6"/>
      <c r="N915" s="6"/>
      <c r="O915" s="6"/>
      <c r="P915" s="6"/>
      <c r="Q915" s="6"/>
      <c r="R915" s="6"/>
      <c r="S915" s="6"/>
      <c r="T915" s="6"/>
      <c r="U915" s="6"/>
      <c r="V915" s="6"/>
      <c r="W915" s="6"/>
      <c r="X915" s="6"/>
      <c r="Y915" s="6"/>
      <c r="Z915" s="6"/>
    </row>
    <row r="916" spans="1:26">
      <c r="A916" s="174"/>
      <c r="B916" s="6"/>
      <c r="C916" s="6"/>
      <c r="D916" s="6"/>
      <c r="E916" s="443"/>
      <c r="F916" s="15"/>
      <c r="G916" s="6"/>
      <c r="H916" s="6"/>
      <c r="I916" s="6"/>
      <c r="J916" s="6"/>
      <c r="K916" s="6"/>
      <c r="L916" s="6"/>
      <c r="M916" s="6"/>
      <c r="N916" s="6"/>
      <c r="O916" s="6"/>
      <c r="P916" s="6"/>
      <c r="Q916" s="6"/>
      <c r="R916" s="6"/>
      <c r="S916" s="6"/>
      <c r="T916" s="6"/>
      <c r="U916" s="6"/>
      <c r="V916" s="6"/>
      <c r="W916" s="6"/>
      <c r="X916" s="6"/>
      <c r="Y916" s="6"/>
      <c r="Z916" s="6"/>
    </row>
    <row r="917" spans="1:26">
      <c r="A917" s="174"/>
      <c r="B917" s="6"/>
      <c r="C917" s="6"/>
      <c r="D917" s="6"/>
      <c r="E917" s="443"/>
      <c r="F917" s="15"/>
      <c r="G917" s="6"/>
      <c r="H917" s="6"/>
      <c r="I917" s="6"/>
      <c r="J917" s="6"/>
      <c r="K917" s="6"/>
      <c r="L917" s="6"/>
      <c r="M917" s="6"/>
      <c r="N917" s="6"/>
      <c r="O917" s="6"/>
      <c r="P917" s="6"/>
      <c r="Q917" s="6"/>
      <c r="R917" s="6"/>
      <c r="S917" s="6"/>
      <c r="T917" s="6"/>
      <c r="U917" s="6"/>
      <c r="V917" s="6"/>
      <c r="W917" s="6"/>
      <c r="X917" s="6"/>
      <c r="Y917" s="6"/>
      <c r="Z917" s="6"/>
    </row>
    <row r="918" spans="1:26">
      <c r="A918" s="174"/>
      <c r="B918" s="6"/>
      <c r="C918" s="6"/>
      <c r="D918" s="6"/>
      <c r="E918" s="443"/>
      <c r="F918" s="15"/>
      <c r="G918" s="6"/>
      <c r="H918" s="6"/>
      <c r="I918" s="6"/>
      <c r="J918" s="6"/>
      <c r="K918" s="6"/>
      <c r="L918" s="6"/>
      <c r="M918" s="6"/>
      <c r="N918" s="6"/>
      <c r="O918" s="6"/>
      <c r="P918" s="6"/>
      <c r="Q918" s="6"/>
      <c r="R918" s="6"/>
      <c r="S918" s="6"/>
      <c r="T918" s="6"/>
      <c r="U918" s="6"/>
      <c r="V918" s="6"/>
      <c r="W918" s="6"/>
      <c r="X918" s="6"/>
      <c r="Y918" s="6"/>
      <c r="Z918" s="6"/>
    </row>
    <row r="919" spans="1:26">
      <c r="A919" s="174"/>
      <c r="B919" s="6"/>
      <c r="C919" s="6"/>
      <c r="D919" s="6"/>
      <c r="E919" s="443"/>
      <c r="F919" s="15"/>
      <c r="G919" s="6"/>
      <c r="H919" s="6"/>
      <c r="I919" s="6"/>
      <c r="J919" s="6"/>
      <c r="K919" s="6"/>
      <c r="L919" s="6"/>
      <c r="M919" s="6"/>
      <c r="N919" s="6"/>
      <c r="O919" s="6"/>
      <c r="P919" s="6"/>
      <c r="Q919" s="6"/>
      <c r="R919" s="6"/>
      <c r="S919" s="6"/>
      <c r="T919" s="6"/>
      <c r="U919" s="6"/>
      <c r="V919" s="6"/>
      <c r="W919" s="6"/>
      <c r="X919" s="6"/>
      <c r="Y919" s="6"/>
      <c r="Z919" s="6"/>
    </row>
    <row r="920" spans="1:26">
      <c r="A920" s="174"/>
      <c r="B920" s="6"/>
      <c r="C920" s="6"/>
      <c r="D920" s="6"/>
      <c r="E920" s="443"/>
      <c r="F920" s="15"/>
      <c r="G920" s="6"/>
      <c r="H920" s="6"/>
      <c r="I920" s="6"/>
      <c r="J920" s="6"/>
      <c r="K920" s="6"/>
      <c r="L920" s="6"/>
      <c r="M920" s="6"/>
      <c r="N920" s="6"/>
      <c r="O920" s="6"/>
      <c r="P920" s="6"/>
      <c r="Q920" s="6"/>
      <c r="R920" s="6"/>
      <c r="S920" s="6"/>
      <c r="T920" s="6"/>
      <c r="U920" s="6"/>
      <c r="V920" s="6"/>
      <c r="W920" s="6"/>
      <c r="X920" s="6"/>
      <c r="Y920" s="6"/>
      <c r="Z920" s="6"/>
    </row>
    <row r="921" spans="1:26">
      <c r="A921" s="174"/>
      <c r="B921" s="6"/>
      <c r="C921" s="6"/>
      <c r="D921" s="6"/>
      <c r="E921" s="443"/>
      <c r="F921" s="15"/>
      <c r="G921" s="6"/>
      <c r="H921" s="6"/>
      <c r="I921" s="6"/>
      <c r="J921" s="6"/>
      <c r="K921" s="6"/>
      <c r="L921" s="6"/>
      <c r="M921" s="6"/>
      <c r="N921" s="6"/>
      <c r="O921" s="6"/>
      <c r="P921" s="6"/>
      <c r="Q921" s="6"/>
      <c r="R921" s="6"/>
      <c r="S921" s="6"/>
      <c r="T921" s="6"/>
      <c r="U921" s="6"/>
      <c r="V921" s="6"/>
      <c r="W921" s="6"/>
      <c r="X921" s="6"/>
      <c r="Y921" s="6"/>
      <c r="Z921" s="6"/>
    </row>
    <row r="922" spans="1:26">
      <c r="A922" s="174"/>
      <c r="B922" s="6"/>
      <c r="C922" s="6"/>
      <c r="D922" s="6"/>
      <c r="E922" s="443"/>
      <c r="F922" s="15"/>
      <c r="G922" s="6"/>
      <c r="H922" s="6"/>
      <c r="I922" s="6"/>
      <c r="J922" s="6"/>
      <c r="K922" s="6"/>
      <c r="L922" s="6"/>
      <c r="M922" s="6"/>
      <c r="N922" s="6"/>
      <c r="O922" s="6"/>
      <c r="P922" s="6"/>
      <c r="Q922" s="6"/>
      <c r="R922" s="6"/>
      <c r="S922" s="6"/>
      <c r="T922" s="6"/>
      <c r="U922" s="6"/>
      <c r="V922" s="6"/>
      <c r="W922" s="6"/>
      <c r="X922" s="6"/>
      <c r="Y922" s="6"/>
      <c r="Z922" s="6"/>
    </row>
    <row r="923" spans="1:26">
      <c r="A923" s="174"/>
      <c r="B923" s="6"/>
      <c r="C923" s="6"/>
      <c r="D923" s="6"/>
      <c r="E923" s="443"/>
      <c r="F923" s="15"/>
      <c r="G923" s="6"/>
      <c r="H923" s="6"/>
      <c r="I923" s="6"/>
      <c r="J923" s="6"/>
      <c r="K923" s="6"/>
      <c r="L923" s="6"/>
      <c r="M923" s="6"/>
      <c r="N923" s="6"/>
      <c r="O923" s="6"/>
      <c r="P923" s="6"/>
      <c r="Q923" s="6"/>
      <c r="R923" s="6"/>
      <c r="S923" s="6"/>
      <c r="T923" s="6"/>
      <c r="U923" s="6"/>
      <c r="V923" s="6"/>
      <c r="W923" s="6"/>
      <c r="X923" s="6"/>
      <c r="Y923" s="6"/>
      <c r="Z923" s="6"/>
    </row>
    <row r="924" spans="1:26">
      <c r="A924" s="174"/>
      <c r="B924" s="6"/>
      <c r="C924" s="6"/>
      <c r="D924" s="6"/>
      <c r="E924" s="443"/>
      <c r="F924" s="15"/>
      <c r="G924" s="6"/>
      <c r="H924" s="6"/>
      <c r="I924" s="6"/>
      <c r="J924" s="6"/>
      <c r="K924" s="6"/>
      <c r="L924" s="6"/>
      <c r="M924" s="6"/>
      <c r="N924" s="6"/>
      <c r="O924" s="6"/>
      <c r="P924" s="6"/>
      <c r="Q924" s="6"/>
      <c r="R924" s="6"/>
      <c r="S924" s="6"/>
      <c r="T924" s="6"/>
      <c r="U924" s="6"/>
      <c r="V924" s="6"/>
      <c r="W924" s="6"/>
      <c r="X924" s="6"/>
      <c r="Y924" s="6"/>
      <c r="Z924" s="6"/>
    </row>
    <row r="925" spans="1:26">
      <c r="A925" s="174"/>
      <c r="B925" s="6"/>
      <c r="C925" s="6"/>
      <c r="D925" s="6"/>
      <c r="E925" s="443"/>
      <c r="F925" s="15"/>
      <c r="G925" s="6"/>
      <c r="H925" s="6"/>
      <c r="I925" s="6"/>
      <c r="J925" s="6"/>
      <c r="K925" s="6"/>
      <c r="L925" s="6"/>
      <c r="M925" s="6"/>
      <c r="N925" s="6"/>
      <c r="O925" s="6"/>
      <c r="P925" s="6"/>
      <c r="Q925" s="6"/>
      <c r="R925" s="6"/>
      <c r="S925" s="6"/>
      <c r="T925" s="6"/>
      <c r="U925" s="6"/>
      <c r="V925" s="6"/>
      <c r="W925" s="6"/>
      <c r="X925" s="6"/>
      <c r="Y925" s="6"/>
      <c r="Z925" s="6"/>
    </row>
    <row r="926" spans="1:26">
      <c r="A926" s="174"/>
      <c r="B926" s="6"/>
      <c r="C926" s="6"/>
      <c r="D926" s="6"/>
      <c r="E926" s="443"/>
      <c r="F926" s="15"/>
      <c r="G926" s="6"/>
      <c r="H926" s="6"/>
      <c r="I926" s="6"/>
      <c r="J926" s="6"/>
      <c r="K926" s="6"/>
      <c r="L926" s="6"/>
      <c r="M926" s="6"/>
      <c r="N926" s="6"/>
      <c r="O926" s="6"/>
      <c r="P926" s="6"/>
      <c r="Q926" s="6"/>
      <c r="R926" s="6"/>
      <c r="S926" s="6"/>
      <c r="T926" s="6"/>
      <c r="U926" s="6"/>
      <c r="V926" s="6"/>
      <c r="W926" s="6"/>
      <c r="X926" s="6"/>
      <c r="Y926" s="6"/>
      <c r="Z926" s="6"/>
    </row>
    <row r="927" spans="1:26">
      <c r="A927" s="174"/>
      <c r="B927" s="6"/>
      <c r="C927" s="6"/>
      <c r="D927" s="6"/>
      <c r="E927" s="443"/>
      <c r="F927" s="15"/>
      <c r="G927" s="6"/>
      <c r="H927" s="6"/>
      <c r="I927" s="6"/>
      <c r="J927" s="6"/>
      <c r="K927" s="6"/>
      <c r="L927" s="6"/>
      <c r="M927" s="6"/>
      <c r="N927" s="6"/>
      <c r="O927" s="6"/>
      <c r="P927" s="6"/>
      <c r="Q927" s="6"/>
      <c r="R927" s="6"/>
      <c r="S927" s="6"/>
      <c r="T927" s="6"/>
      <c r="U927" s="6"/>
      <c r="V927" s="6"/>
      <c r="W927" s="6"/>
      <c r="X927" s="6"/>
      <c r="Y927" s="6"/>
      <c r="Z927" s="6"/>
    </row>
    <row r="928" spans="1:26">
      <c r="A928" s="174"/>
      <c r="B928" s="6"/>
      <c r="C928" s="6"/>
      <c r="D928" s="6"/>
      <c r="E928" s="443"/>
      <c r="F928" s="15"/>
      <c r="G928" s="6"/>
      <c r="H928" s="6"/>
      <c r="I928" s="6"/>
      <c r="J928" s="6"/>
      <c r="K928" s="6"/>
      <c r="L928" s="6"/>
      <c r="M928" s="6"/>
      <c r="N928" s="6"/>
      <c r="O928" s="6"/>
      <c r="P928" s="6"/>
      <c r="Q928" s="6"/>
      <c r="R928" s="6"/>
      <c r="S928" s="6"/>
      <c r="T928" s="6"/>
      <c r="U928" s="6"/>
      <c r="V928" s="6"/>
      <c r="W928" s="6"/>
      <c r="X928" s="6"/>
      <c r="Y928" s="6"/>
      <c r="Z928" s="6"/>
    </row>
    <row r="929" spans="1:26">
      <c r="A929" s="174"/>
      <c r="B929" s="6"/>
      <c r="C929" s="6"/>
      <c r="D929" s="6"/>
      <c r="E929" s="443"/>
      <c r="F929" s="15"/>
      <c r="G929" s="6"/>
      <c r="H929" s="6"/>
      <c r="I929" s="6"/>
      <c r="J929" s="6"/>
      <c r="K929" s="6"/>
      <c r="L929" s="6"/>
      <c r="M929" s="6"/>
      <c r="N929" s="6"/>
      <c r="O929" s="6"/>
      <c r="P929" s="6"/>
      <c r="Q929" s="6"/>
      <c r="R929" s="6"/>
      <c r="S929" s="6"/>
      <c r="T929" s="6"/>
      <c r="U929" s="6"/>
      <c r="V929" s="6"/>
      <c r="W929" s="6"/>
      <c r="X929" s="6"/>
      <c r="Y929" s="6"/>
      <c r="Z929" s="6"/>
    </row>
    <row r="930" spans="1:26">
      <c r="A930" s="174"/>
      <c r="B930" s="6"/>
      <c r="C930" s="6"/>
      <c r="D930" s="6"/>
      <c r="E930" s="443"/>
      <c r="F930" s="15"/>
      <c r="G930" s="6"/>
      <c r="H930" s="6"/>
      <c r="I930" s="6"/>
      <c r="J930" s="6"/>
      <c r="K930" s="6"/>
      <c r="L930" s="6"/>
      <c r="M930" s="6"/>
      <c r="N930" s="6"/>
      <c r="O930" s="6"/>
      <c r="P930" s="6"/>
      <c r="Q930" s="6"/>
      <c r="R930" s="6"/>
      <c r="S930" s="6"/>
      <c r="T930" s="6"/>
      <c r="U930" s="6"/>
      <c r="V930" s="6"/>
      <c r="W930" s="6"/>
      <c r="X930" s="6"/>
      <c r="Y930" s="6"/>
      <c r="Z930" s="6"/>
    </row>
    <row r="931" spans="1:26">
      <c r="A931" s="174"/>
      <c r="B931" s="6"/>
      <c r="C931" s="6"/>
      <c r="D931" s="6"/>
      <c r="E931" s="443"/>
      <c r="F931" s="15"/>
      <c r="G931" s="6"/>
      <c r="H931" s="6"/>
      <c r="I931" s="6"/>
      <c r="J931" s="6"/>
      <c r="K931" s="6"/>
      <c r="L931" s="6"/>
      <c r="M931" s="6"/>
      <c r="N931" s="6"/>
      <c r="O931" s="6"/>
      <c r="P931" s="6"/>
      <c r="Q931" s="6"/>
      <c r="R931" s="6"/>
      <c r="S931" s="6"/>
      <c r="T931" s="6"/>
      <c r="U931" s="6"/>
      <c r="V931" s="6"/>
      <c r="W931" s="6"/>
      <c r="X931" s="6"/>
      <c r="Y931" s="6"/>
      <c r="Z931" s="6"/>
    </row>
    <row r="932" spans="1:26">
      <c r="A932" s="174"/>
      <c r="B932" s="6"/>
      <c r="C932" s="6"/>
      <c r="D932" s="6"/>
      <c r="E932" s="443"/>
      <c r="F932" s="15"/>
      <c r="G932" s="6"/>
      <c r="H932" s="6"/>
      <c r="I932" s="6"/>
      <c r="J932" s="6"/>
      <c r="K932" s="6"/>
      <c r="L932" s="6"/>
      <c r="M932" s="6"/>
      <c r="N932" s="6"/>
      <c r="O932" s="6"/>
      <c r="P932" s="6"/>
      <c r="Q932" s="6"/>
      <c r="R932" s="6"/>
      <c r="S932" s="6"/>
      <c r="T932" s="6"/>
      <c r="U932" s="6"/>
      <c r="V932" s="6"/>
      <c r="W932" s="6"/>
      <c r="X932" s="6"/>
      <c r="Y932" s="6"/>
      <c r="Z932" s="6"/>
    </row>
    <row r="933" spans="1:26">
      <c r="A933" s="174"/>
      <c r="B933" s="6"/>
      <c r="C933" s="6"/>
      <c r="D933" s="6"/>
      <c r="E933" s="443"/>
      <c r="F933" s="15"/>
      <c r="G933" s="6"/>
      <c r="H933" s="6"/>
      <c r="I933" s="6"/>
      <c r="J933" s="6"/>
      <c r="K933" s="6"/>
      <c r="L933" s="6"/>
      <c r="M933" s="6"/>
      <c r="N933" s="6"/>
      <c r="O933" s="6"/>
      <c r="P933" s="6"/>
      <c r="Q933" s="6"/>
      <c r="R933" s="6"/>
      <c r="S933" s="6"/>
      <c r="T933" s="6"/>
      <c r="U933" s="6"/>
      <c r="V933" s="6"/>
      <c r="W933" s="6"/>
      <c r="X933" s="6"/>
      <c r="Y933" s="6"/>
      <c r="Z933" s="6"/>
    </row>
    <row r="934" spans="1:26">
      <c r="A934" s="174"/>
      <c r="B934" s="6"/>
      <c r="C934" s="6"/>
      <c r="D934" s="6"/>
      <c r="E934" s="443"/>
      <c r="F934" s="15"/>
      <c r="G934" s="6"/>
      <c r="H934" s="6"/>
      <c r="I934" s="6"/>
      <c r="J934" s="6"/>
      <c r="K934" s="6"/>
      <c r="L934" s="6"/>
      <c r="M934" s="6"/>
      <c r="N934" s="6"/>
      <c r="O934" s="6"/>
      <c r="P934" s="6"/>
      <c r="Q934" s="6"/>
      <c r="R934" s="6"/>
      <c r="S934" s="6"/>
      <c r="T934" s="6"/>
      <c r="U934" s="6"/>
      <c r="V934" s="6"/>
      <c r="W934" s="6"/>
      <c r="X934" s="6"/>
      <c r="Y934" s="6"/>
      <c r="Z934" s="6"/>
    </row>
    <row r="935" spans="1:26">
      <c r="A935" s="174"/>
      <c r="B935" s="6"/>
      <c r="C935" s="6"/>
      <c r="D935" s="6"/>
      <c r="E935" s="443"/>
      <c r="F935" s="15"/>
      <c r="G935" s="6"/>
      <c r="H935" s="6"/>
      <c r="I935" s="6"/>
      <c r="J935" s="6"/>
      <c r="K935" s="6"/>
      <c r="L935" s="6"/>
      <c r="M935" s="6"/>
      <c r="N935" s="6"/>
      <c r="O935" s="6"/>
      <c r="P935" s="6"/>
      <c r="Q935" s="6"/>
      <c r="R935" s="6"/>
      <c r="S935" s="6"/>
      <c r="T935" s="6"/>
      <c r="U935" s="6"/>
      <c r="V935" s="6"/>
      <c r="W935" s="6"/>
      <c r="X935" s="6"/>
      <c r="Y935" s="6"/>
      <c r="Z935" s="6"/>
    </row>
    <row r="936" spans="1:26">
      <c r="A936" s="174"/>
      <c r="B936" s="6"/>
      <c r="C936" s="6"/>
      <c r="D936" s="6"/>
      <c r="E936" s="443"/>
      <c r="F936" s="15"/>
      <c r="G936" s="6"/>
      <c r="H936" s="6"/>
      <c r="I936" s="6"/>
      <c r="J936" s="6"/>
      <c r="K936" s="6"/>
      <c r="L936" s="6"/>
      <c r="M936" s="6"/>
      <c r="N936" s="6"/>
      <c r="O936" s="6"/>
      <c r="P936" s="6"/>
      <c r="Q936" s="6"/>
      <c r="R936" s="6"/>
      <c r="S936" s="6"/>
      <c r="T936" s="6"/>
      <c r="U936" s="6"/>
      <c r="V936" s="6"/>
      <c r="W936" s="6"/>
      <c r="X936" s="6"/>
      <c r="Y936" s="6"/>
      <c r="Z936" s="6"/>
    </row>
    <row r="937" spans="1:26">
      <c r="A937" s="174"/>
      <c r="B937" s="6"/>
      <c r="C937" s="6"/>
      <c r="D937" s="6"/>
      <c r="E937" s="443"/>
      <c r="F937" s="15"/>
      <c r="G937" s="6"/>
      <c r="H937" s="6"/>
      <c r="I937" s="6"/>
      <c r="J937" s="6"/>
      <c r="K937" s="6"/>
      <c r="L937" s="6"/>
      <c r="M937" s="6"/>
      <c r="N937" s="6"/>
      <c r="O937" s="6"/>
      <c r="P937" s="6"/>
      <c r="Q937" s="6"/>
      <c r="R937" s="6"/>
      <c r="S937" s="6"/>
      <c r="T937" s="6"/>
      <c r="U937" s="6"/>
      <c r="V937" s="6"/>
      <c r="W937" s="6"/>
      <c r="X937" s="6"/>
      <c r="Y937" s="6"/>
      <c r="Z937" s="6"/>
    </row>
    <row r="938" spans="1:26">
      <c r="A938" s="174"/>
      <c r="B938" s="6"/>
      <c r="C938" s="6"/>
      <c r="D938" s="6"/>
      <c r="E938" s="443"/>
      <c r="F938" s="15"/>
      <c r="G938" s="6"/>
      <c r="H938" s="6"/>
      <c r="I938" s="6"/>
      <c r="J938" s="6"/>
      <c r="K938" s="6"/>
      <c r="L938" s="6"/>
      <c r="M938" s="6"/>
      <c r="N938" s="6"/>
      <c r="O938" s="6"/>
      <c r="P938" s="6"/>
      <c r="Q938" s="6"/>
      <c r="R938" s="6"/>
      <c r="S938" s="6"/>
      <c r="T938" s="6"/>
      <c r="U938" s="6"/>
      <c r="V938" s="6"/>
      <c r="W938" s="6"/>
      <c r="X938" s="6"/>
      <c r="Y938" s="6"/>
      <c r="Z938" s="6"/>
    </row>
    <row r="939" spans="1:26">
      <c r="A939" s="174"/>
      <c r="B939" s="6"/>
      <c r="C939" s="6"/>
      <c r="D939" s="6"/>
      <c r="E939" s="443"/>
      <c r="F939" s="15"/>
      <c r="G939" s="6"/>
      <c r="H939" s="6"/>
      <c r="I939" s="6"/>
      <c r="J939" s="6"/>
      <c r="K939" s="6"/>
      <c r="L939" s="6"/>
      <c r="M939" s="6"/>
      <c r="N939" s="6"/>
      <c r="O939" s="6"/>
      <c r="P939" s="6"/>
      <c r="Q939" s="6"/>
      <c r="R939" s="6"/>
      <c r="S939" s="6"/>
      <c r="T939" s="6"/>
      <c r="U939" s="6"/>
      <c r="V939" s="6"/>
      <c r="W939" s="6"/>
      <c r="X939" s="6"/>
      <c r="Y939" s="6"/>
      <c r="Z939" s="6"/>
    </row>
    <row r="940" spans="1:26">
      <c r="A940" s="174"/>
      <c r="B940" s="6"/>
      <c r="C940" s="6"/>
      <c r="D940" s="6"/>
      <c r="E940" s="443"/>
      <c r="F940" s="15"/>
      <c r="G940" s="6"/>
      <c r="H940" s="6"/>
      <c r="I940" s="6"/>
      <c r="J940" s="6"/>
      <c r="K940" s="6"/>
      <c r="L940" s="6"/>
      <c r="M940" s="6"/>
      <c r="N940" s="6"/>
      <c r="O940" s="6"/>
      <c r="P940" s="6"/>
      <c r="Q940" s="6"/>
      <c r="R940" s="6"/>
      <c r="S940" s="6"/>
      <c r="T940" s="6"/>
      <c r="U940" s="6"/>
      <c r="V940" s="6"/>
      <c r="W940" s="6"/>
      <c r="X940" s="6"/>
      <c r="Y940" s="6"/>
      <c r="Z940" s="6"/>
    </row>
    <row r="941" spans="1:26">
      <c r="A941" s="174"/>
      <c r="B941" s="6"/>
      <c r="C941" s="6"/>
      <c r="D941" s="6"/>
      <c r="E941" s="443"/>
      <c r="F941" s="15"/>
      <c r="G941" s="6"/>
      <c r="H941" s="6"/>
      <c r="I941" s="6"/>
      <c r="J941" s="6"/>
      <c r="K941" s="6"/>
      <c r="L941" s="6"/>
      <c r="M941" s="6"/>
      <c r="N941" s="6"/>
      <c r="O941" s="6"/>
      <c r="P941" s="6"/>
      <c r="Q941" s="6"/>
      <c r="R941" s="6"/>
      <c r="S941" s="6"/>
      <c r="T941" s="6"/>
      <c r="U941" s="6"/>
      <c r="V941" s="6"/>
      <c r="W941" s="6"/>
      <c r="X941" s="6"/>
      <c r="Y941" s="6"/>
      <c r="Z941" s="6"/>
    </row>
    <row r="942" spans="1:26">
      <c r="A942" s="174"/>
      <c r="B942" s="6"/>
      <c r="C942" s="6"/>
      <c r="D942" s="6"/>
      <c r="E942" s="443"/>
      <c r="F942" s="15"/>
      <c r="G942" s="6"/>
      <c r="H942" s="6"/>
      <c r="I942" s="6"/>
      <c r="J942" s="6"/>
      <c r="K942" s="6"/>
      <c r="L942" s="6"/>
      <c r="M942" s="6"/>
      <c r="N942" s="6"/>
      <c r="O942" s="6"/>
      <c r="P942" s="6"/>
      <c r="Q942" s="6"/>
      <c r="R942" s="6"/>
      <c r="S942" s="6"/>
      <c r="T942" s="6"/>
      <c r="U942" s="6"/>
      <c r="V942" s="6"/>
      <c r="W942" s="6"/>
      <c r="X942" s="6"/>
      <c r="Y942" s="6"/>
      <c r="Z942" s="6"/>
    </row>
    <row r="943" spans="1:26">
      <c r="A943" s="174"/>
      <c r="B943" s="6"/>
      <c r="C943" s="6"/>
      <c r="D943" s="6"/>
      <c r="E943" s="443"/>
      <c r="F943" s="15"/>
      <c r="G943" s="6"/>
      <c r="H943" s="6"/>
      <c r="I943" s="6"/>
      <c r="J943" s="6"/>
      <c r="K943" s="6"/>
      <c r="L943" s="6"/>
      <c r="M943" s="6"/>
      <c r="N943" s="6"/>
      <c r="O943" s="6"/>
      <c r="P943" s="6"/>
      <c r="Q943" s="6"/>
      <c r="R943" s="6"/>
      <c r="S943" s="6"/>
      <c r="T943" s="6"/>
      <c r="U943" s="6"/>
      <c r="V943" s="6"/>
      <c r="W943" s="6"/>
      <c r="X943" s="6"/>
      <c r="Y943" s="6"/>
      <c r="Z943" s="6"/>
    </row>
    <row r="944" spans="1:26">
      <c r="A944" s="174"/>
      <c r="B944" s="6"/>
      <c r="C944" s="6"/>
      <c r="D944" s="6"/>
      <c r="E944" s="443"/>
      <c r="F944" s="15"/>
      <c r="G944" s="6"/>
      <c r="H944" s="6"/>
      <c r="I944" s="6"/>
      <c r="J944" s="6"/>
      <c r="K944" s="6"/>
      <c r="L944" s="6"/>
      <c r="M944" s="6"/>
      <c r="N944" s="6"/>
      <c r="O944" s="6"/>
      <c r="P944" s="6"/>
      <c r="Q944" s="6"/>
      <c r="R944" s="6"/>
      <c r="S944" s="6"/>
      <c r="T944" s="6"/>
      <c r="U944" s="6"/>
      <c r="V944" s="6"/>
      <c r="W944" s="6"/>
      <c r="X944" s="6"/>
      <c r="Y944" s="6"/>
      <c r="Z944" s="6"/>
    </row>
    <row r="945" spans="1:26">
      <c r="A945" s="174"/>
      <c r="B945" s="6"/>
      <c r="C945" s="6"/>
      <c r="D945" s="6"/>
      <c r="E945" s="443"/>
      <c r="F945" s="15"/>
      <c r="G945" s="6"/>
      <c r="H945" s="6"/>
      <c r="I945" s="6"/>
      <c r="J945" s="6"/>
      <c r="K945" s="6"/>
      <c r="L945" s="6"/>
      <c r="M945" s="6"/>
      <c r="N945" s="6"/>
      <c r="O945" s="6"/>
      <c r="P945" s="6"/>
      <c r="Q945" s="6"/>
      <c r="R945" s="6"/>
      <c r="S945" s="6"/>
      <c r="T945" s="6"/>
      <c r="U945" s="6"/>
      <c r="V945" s="6"/>
      <c r="W945" s="6"/>
      <c r="X945" s="6"/>
      <c r="Y945" s="6"/>
      <c r="Z945" s="6"/>
    </row>
    <row r="946" spans="1:26">
      <c r="A946" s="174"/>
      <c r="B946" s="6"/>
      <c r="C946" s="6"/>
      <c r="D946" s="6"/>
      <c r="E946" s="443"/>
      <c r="F946" s="15"/>
      <c r="G946" s="6"/>
      <c r="H946" s="6"/>
      <c r="I946" s="6"/>
      <c r="J946" s="6"/>
      <c r="K946" s="6"/>
      <c r="L946" s="6"/>
      <c r="M946" s="6"/>
      <c r="N946" s="6"/>
      <c r="O946" s="6"/>
      <c r="P946" s="6"/>
      <c r="Q946" s="6"/>
      <c r="R946" s="6"/>
      <c r="S946" s="6"/>
      <c r="T946" s="6"/>
      <c r="U946" s="6"/>
      <c r="V946" s="6"/>
      <c r="W946" s="6"/>
      <c r="X946" s="6"/>
      <c r="Y946" s="6"/>
      <c r="Z946" s="6"/>
    </row>
    <row r="947" spans="1:26">
      <c r="A947" s="174"/>
      <c r="B947" s="6"/>
      <c r="C947" s="6"/>
      <c r="D947" s="6"/>
      <c r="E947" s="443"/>
      <c r="F947" s="15"/>
      <c r="G947" s="6"/>
      <c r="H947" s="6"/>
      <c r="I947" s="6"/>
      <c r="J947" s="6"/>
      <c r="K947" s="6"/>
      <c r="L947" s="6"/>
      <c r="M947" s="6"/>
      <c r="N947" s="6"/>
      <c r="O947" s="6"/>
      <c r="P947" s="6"/>
      <c r="Q947" s="6"/>
      <c r="R947" s="6"/>
      <c r="S947" s="6"/>
      <c r="T947" s="6"/>
      <c r="U947" s="6"/>
      <c r="V947" s="6"/>
      <c r="W947" s="6"/>
      <c r="X947" s="6"/>
      <c r="Y947" s="6"/>
      <c r="Z947" s="6"/>
    </row>
    <row r="948" spans="1:26">
      <c r="A948" s="174"/>
      <c r="B948" s="6"/>
      <c r="C948" s="6"/>
      <c r="D948" s="6"/>
      <c r="E948" s="443"/>
      <c r="F948" s="15"/>
      <c r="G948" s="6"/>
      <c r="H948" s="6"/>
      <c r="I948" s="6"/>
      <c r="J948" s="6"/>
      <c r="K948" s="6"/>
      <c r="L948" s="6"/>
      <c r="M948" s="6"/>
      <c r="N948" s="6"/>
      <c r="O948" s="6"/>
      <c r="P948" s="6"/>
      <c r="Q948" s="6"/>
      <c r="R948" s="6"/>
      <c r="S948" s="6"/>
      <c r="T948" s="6"/>
      <c r="U948" s="6"/>
      <c r="V948" s="6"/>
      <c r="W948" s="6"/>
      <c r="X948" s="6"/>
      <c r="Y948" s="6"/>
      <c r="Z948" s="6"/>
    </row>
    <row r="949" spans="1:26">
      <c r="A949" s="174"/>
      <c r="B949" s="6"/>
      <c r="C949" s="6"/>
      <c r="D949" s="6"/>
      <c r="E949" s="443"/>
      <c r="F949" s="15"/>
      <c r="G949" s="6"/>
      <c r="H949" s="6"/>
      <c r="I949" s="6"/>
      <c r="J949" s="6"/>
      <c r="K949" s="6"/>
      <c r="L949" s="6"/>
      <c r="M949" s="6"/>
      <c r="N949" s="6"/>
      <c r="O949" s="6"/>
      <c r="P949" s="6"/>
      <c r="Q949" s="6"/>
      <c r="R949" s="6"/>
      <c r="S949" s="6"/>
      <c r="T949" s="6"/>
      <c r="U949" s="6"/>
      <c r="V949" s="6"/>
      <c r="W949" s="6"/>
      <c r="X949" s="6"/>
      <c r="Y949" s="6"/>
      <c r="Z949" s="6"/>
    </row>
    <row r="950" spans="1:26">
      <c r="A950" s="174"/>
      <c r="B950" s="6"/>
      <c r="C950" s="6"/>
      <c r="D950" s="6"/>
      <c r="E950" s="443"/>
      <c r="F950" s="15"/>
      <c r="G950" s="6"/>
      <c r="H950" s="6"/>
      <c r="I950" s="6"/>
      <c r="J950" s="6"/>
      <c r="K950" s="6"/>
      <c r="L950" s="6"/>
      <c r="M950" s="6"/>
      <c r="N950" s="6"/>
      <c r="O950" s="6"/>
      <c r="P950" s="6"/>
      <c r="Q950" s="6"/>
      <c r="R950" s="6"/>
      <c r="S950" s="6"/>
      <c r="T950" s="6"/>
      <c r="U950" s="6"/>
      <c r="V950" s="6"/>
      <c r="W950" s="6"/>
      <c r="X950" s="6"/>
      <c r="Y950" s="6"/>
      <c r="Z950" s="6"/>
    </row>
    <row r="951" spans="1:26">
      <c r="A951" s="174"/>
      <c r="B951" s="6"/>
      <c r="C951" s="6"/>
      <c r="D951" s="6"/>
      <c r="E951" s="443"/>
      <c r="F951" s="15"/>
      <c r="G951" s="6"/>
      <c r="H951" s="6"/>
      <c r="I951" s="6"/>
      <c r="J951" s="6"/>
      <c r="K951" s="6"/>
      <c r="L951" s="6"/>
      <c r="M951" s="6"/>
      <c r="N951" s="6"/>
      <c r="O951" s="6"/>
      <c r="P951" s="6"/>
      <c r="Q951" s="6"/>
      <c r="R951" s="6"/>
      <c r="S951" s="6"/>
      <c r="T951" s="6"/>
      <c r="U951" s="6"/>
      <c r="V951" s="6"/>
      <c r="W951" s="6"/>
      <c r="X951" s="6"/>
      <c r="Y951" s="6"/>
      <c r="Z951" s="6"/>
    </row>
    <row r="952" spans="1:26">
      <c r="A952" s="174"/>
      <c r="B952" s="6"/>
      <c r="C952" s="6"/>
      <c r="D952" s="6"/>
      <c r="E952" s="443"/>
      <c r="F952" s="15"/>
      <c r="G952" s="6"/>
      <c r="H952" s="6"/>
      <c r="I952" s="6"/>
      <c r="J952" s="6"/>
      <c r="K952" s="6"/>
      <c r="L952" s="6"/>
      <c r="M952" s="6"/>
      <c r="N952" s="6"/>
      <c r="O952" s="6"/>
      <c r="P952" s="6"/>
      <c r="Q952" s="6"/>
      <c r="R952" s="6"/>
      <c r="S952" s="6"/>
      <c r="T952" s="6"/>
      <c r="U952" s="6"/>
      <c r="V952" s="6"/>
      <c r="W952" s="6"/>
      <c r="X952" s="6"/>
      <c r="Y952" s="6"/>
      <c r="Z952" s="6"/>
    </row>
    <row r="953" spans="1:26">
      <c r="A953" s="174"/>
      <c r="B953" s="6"/>
      <c r="C953" s="6"/>
      <c r="D953" s="6"/>
      <c r="E953" s="443"/>
      <c r="F953" s="15"/>
      <c r="G953" s="6"/>
      <c r="H953" s="6"/>
      <c r="I953" s="6"/>
      <c r="J953" s="6"/>
      <c r="K953" s="6"/>
      <c r="L953" s="6"/>
      <c r="M953" s="6"/>
      <c r="N953" s="6"/>
      <c r="O953" s="6"/>
      <c r="P953" s="6"/>
      <c r="Q953" s="6"/>
      <c r="R953" s="6"/>
      <c r="S953" s="6"/>
      <c r="T953" s="6"/>
      <c r="U953" s="6"/>
      <c r="V953" s="6"/>
      <c r="W953" s="6"/>
      <c r="X953" s="6"/>
      <c r="Y953" s="6"/>
      <c r="Z953" s="6"/>
    </row>
    <row r="954" spans="1:26">
      <c r="A954" s="174"/>
      <c r="B954" s="6"/>
      <c r="C954" s="6"/>
      <c r="D954" s="6"/>
      <c r="E954" s="443"/>
      <c r="F954" s="15"/>
      <c r="G954" s="6"/>
      <c r="H954" s="6"/>
      <c r="I954" s="6"/>
      <c r="J954" s="6"/>
      <c r="K954" s="6"/>
      <c r="L954" s="6"/>
      <c r="M954" s="6"/>
      <c r="N954" s="6"/>
      <c r="O954" s="6"/>
      <c r="P954" s="6"/>
      <c r="Q954" s="6"/>
      <c r="R954" s="6"/>
      <c r="S954" s="6"/>
      <c r="T954" s="6"/>
      <c r="U954" s="6"/>
      <c r="V954" s="6"/>
      <c r="W954" s="6"/>
      <c r="X954" s="6"/>
      <c r="Y954" s="6"/>
      <c r="Z954" s="6"/>
    </row>
    <row r="955" spans="1:26">
      <c r="A955" s="174"/>
      <c r="B955" s="6"/>
      <c r="C955" s="6"/>
      <c r="D955" s="6"/>
      <c r="E955" s="443"/>
      <c r="F955" s="15"/>
      <c r="G955" s="6"/>
      <c r="H955" s="6"/>
      <c r="I955" s="6"/>
      <c r="J955" s="6"/>
      <c r="K955" s="6"/>
      <c r="L955" s="6"/>
      <c r="M955" s="6"/>
      <c r="N955" s="6"/>
      <c r="O955" s="6"/>
      <c r="P955" s="6"/>
      <c r="Q955" s="6"/>
      <c r="R955" s="6"/>
      <c r="S955" s="6"/>
      <c r="T955" s="6"/>
      <c r="U955" s="6"/>
      <c r="V955" s="6"/>
      <c r="W955" s="6"/>
      <c r="X955" s="6"/>
      <c r="Y955" s="6"/>
      <c r="Z955" s="6"/>
    </row>
    <row r="956" spans="1:26">
      <c r="A956" s="174"/>
      <c r="B956" s="6"/>
      <c r="C956" s="6"/>
      <c r="D956" s="6"/>
      <c r="E956" s="443"/>
      <c r="F956" s="15"/>
      <c r="G956" s="6"/>
      <c r="H956" s="6"/>
      <c r="I956" s="6"/>
      <c r="J956" s="6"/>
      <c r="K956" s="6"/>
      <c r="L956" s="6"/>
      <c r="M956" s="6"/>
      <c r="N956" s="6"/>
      <c r="O956" s="6"/>
      <c r="P956" s="6"/>
      <c r="Q956" s="6"/>
      <c r="R956" s="6"/>
      <c r="S956" s="6"/>
      <c r="T956" s="6"/>
      <c r="U956" s="6"/>
      <c r="V956" s="6"/>
      <c r="W956" s="6"/>
      <c r="X956" s="6"/>
      <c r="Y956" s="6"/>
      <c r="Z956" s="6"/>
    </row>
    <row r="957" spans="1:26">
      <c r="A957" s="174"/>
      <c r="B957" s="6"/>
      <c r="C957" s="6"/>
      <c r="D957" s="6"/>
      <c r="E957" s="443"/>
      <c r="F957" s="15"/>
      <c r="G957" s="6"/>
      <c r="H957" s="6"/>
      <c r="I957" s="6"/>
      <c r="J957" s="6"/>
      <c r="K957" s="6"/>
      <c r="L957" s="6"/>
      <c r="M957" s="6"/>
      <c r="N957" s="6"/>
      <c r="O957" s="6"/>
      <c r="P957" s="6"/>
      <c r="Q957" s="6"/>
      <c r="R957" s="6"/>
      <c r="S957" s="6"/>
      <c r="T957" s="6"/>
      <c r="U957" s="6"/>
      <c r="V957" s="6"/>
      <c r="W957" s="6"/>
      <c r="X957" s="6"/>
      <c r="Y957" s="6"/>
      <c r="Z957" s="6"/>
    </row>
    <row r="958" spans="1:26">
      <c r="A958" s="174"/>
      <c r="B958" s="6"/>
      <c r="C958" s="6"/>
      <c r="D958" s="6"/>
      <c r="E958" s="443"/>
      <c r="F958" s="15"/>
      <c r="G958" s="6"/>
      <c r="H958" s="6"/>
      <c r="I958" s="6"/>
      <c r="J958" s="6"/>
      <c r="K958" s="6"/>
      <c r="L958" s="6"/>
      <c r="M958" s="6"/>
      <c r="N958" s="6"/>
      <c r="O958" s="6"/>
      <c r="P958" s="6"/>
      <c r="Q958" s="6"/>
      <c r="R958" s="6"/>
      <c r="S958" s="6"/>
      <c r="T958" s="6"/>
      <c r="U958" s="6"/>
      <c r="V958" s="6"/>
      <c r="W958" s="6"/>
      <c r="X958" s="6"/>
      <c r="Y958" s="6"/>
      <c r="Z958" s="6"/>
    </row>
    <row r="959" spans="1:26">
      <c r="A959" s="174"/>
      <c r="B959" s="6"/>
      <c r="C959" s="6"/>
      <c r="D959" s="6"/>
      <c r="E959" s="443"/>
      <c r="F959" s="15"/>
      <c r="G959" s="6"/>
      <c r="H959" s="6"/>
      <c r="I959" s="6"/>
      <c r="J959" s="6"/>
      <c r="K959" s="6"/>
      <c r="L959" s="6"/>
      <c r="M959" s="6"/>
      <c r="N959" s="6"/>
      <c r="O959" s="6"/>
      <c r="P959" s="6"/>
      <c r="Q959" s="6"/>
      <c r="R959" s="6"/>
      <c r="S959" s="6"/>
      <c r="T959" s="6"/>
      <c r="U959" s="6"/>
      <c r="V959" s="6"/>
      <c r="W959" s="6"/>
      <c r="X959" s="6"/>
      <c r="Y959" s="6"/>
      <c r="Z959" s="6"/>
    </row>
    <row r="960" spans="1:26">
      <c r="A960" s="174"/>
      <c r="B960" s="6"/>
      <c r="C960" s="6"/>
      <c r="D960" s="6"/>
      <c r="E960" s="443"/>
      <c r="F960" s="15"/>
      <c r="G960" s="6"/>
      <c r="H960" s="6"/>
      <c r="I960" s="6"/>
      <c r="J960" s="6"/>
      <c r="K960" s="6"/>
      <c r="L960" s="6"/>
      <c r="M960" s="6"/>
      <c r="N960" s="6"/>
      <c r="O960" s="6"/>
      <c r="P960" s="6"/>
      <c r="Q960" s="6"/>
      <c r="R960" s="6"/>
      <c r="S960" s="6"/>
      <c r="T960" s="6"/>
      <c r="U960" s="6"/>
      <c r="V960" s="6"/>
      <c r="W960" s="6"/>
      <c r="X960" s="6"/>
      <c r="Y960" s="6"/>
      <c r="Z960" s="6"/>
    </row>
    <row r="961" spans="1:26">
      <c r="A961" s="174"/>
      <c r="B961" s="6"/>
      <c r="C961" s="6"/>
      <c r="D961" s="6"/>
      <c r="E961" s="443"/>
      <c r="F961" s="15"/>
      <c r="G961" s="6"/>
      <c r="H961" s="6"/>
      <c r="I961" s="6"/>
      <c r="J961" s="6"/>
      <c r="K961" s="6"/>
      <c r="L961" s="6"/>
      <c r="M961" s="6"/>
      <c r="N961" s="6"/>
      <c r="O961" s="6"/>
      <c r="P961" s="6"/>
      <c r="Q961" s="6"/>
      <c r="R961" s="6"/>
      <c r="S961" s="6"/>
      <c r="T961" s="6"/>
      <c r="U961" s="6"/>
      <c r="V961" s="6"/>
      <c r="W961" s="6"/>
      <c r="X961" s="6"/>
      <c r="Y961" s="6"/>
      <c r="Z961" s="6"/>
    </row>
    <row r="962" spans="1:26">
      <c r="A962" s="174"/>
      <c r="B962" s="6"/>
      <c r="C962" s="6"/>
      <c r="D962" s="6"/>
      <c r="E962" s="443"/>
      <c r="F962" s="15"/>
      <c r="G962" s="6"/>
      <c r="H962" s="6"/>
      <c r="I962" s="6"/>
      <c r="J962" s="6"/>
      <c r="K962" s="6"/>
      <c r="L962" s="6"/>
      <c r="M962" s="6"/>
      <c r="N962" s="6"/>
      <c r="O962" s="6"/>
      <c r="P962" s="6"/>
      <c r="Q962" s="6"/>
      <c r="R962" s="6"/>
      <c r="S962" s="6"/>
      <c r="T962" s="6"/>
      <c r="U962" s="6"/>
      <c r="V962" s="6"/>
      <c r="W962" s="6"/>
      <c r="X962" s="6"/>
      <c r="Y962" s="6"/>
      <c r="Z962" s="6"/>
    </row>
    <row r="963" spans="1:26">
      <c r="A963" s="174"/>
      <c r="B963" s="6"/>
      <c r="C963" s="6"/>
      <c r="D963" s="6"/>
      <c r="E963" s="443"/>
      <c r="F963" s="15"/>
      <c r="G963" s="6"/>
      <c r="H963" s="6"/>
      <c r="I963" s="6"/>
      <c r="J963" s="6"/>
      <c r="K963" s="6"/>
      <c r="L963" s="6"/>
      <c r="M963" s="6"/>
      <c r="N963" s="6"/>
      <c r="O963" s="6"/>
      <c r="P963" s="6"/>
      <c r="Q963" s="6"/>
      <c r="R963" s="6"/>
      <c r="S963" s="6"/>
      <c r="T963" s="6"/>
      <c r="U963" s="6"/>
      <c r="V963" s="6"/>
      <c r="W963" s="6"/>
      <c r="X963" s="6"/>
      <c r="Y963" s="6"/>
      <c r="Z963" s="6"/>
    </row>
    <row r="964" spans="1:26">
      <c r="A964" s="174"/>
      <c r="B964" s="6"/>
      <c r="C964" s="6"/>
      <c r="D964" s="6"/>
      <c r="E964" s="443"/>
      <c r="F964" s="15"/>
      <c r="G964" s="6"/>
      <c r="H964" s="6"/>
      <c r="I964" s="6"/>
      <c r="J964" s="6"/>
      <c r="K964" s="6"/>
      <c r="L964" s="6"/>
      <c r="M964" s="6"/>
      <c r="N964" s="6"/>
      <c r="O964" s="6"/>
      <c r="P964" s="6"/>
      <c r="Q964" s="6"/>
      <c r="R964" s="6"/>
      <c r="S964" s="6"/>
      <c r="T964" s="6"/>
      <c r="U964" s="6"/>
      <c r="V964" s="6"/>
      <c r="W964" s="6"/>
      <c r="X964" s="6"/>
      <c r="Y964" s="6"/>
      <c r="Z964" s="6"/>
    </row>
    <row r="965" spans="1:26">
      <c r="A965" s="174"/>
      <c r="B965" s="6"/>
      <c r="C965" s="6"/>
      <c r="D965" s="6"/>
      <c r="E965" s="443"/>
      <c r="F965" s="15"/>
      <c r="G965" s="6"/>
      <c r="H965" s="6"/>
      <c r="I965" s="6"/>
      <c r="J965" s="6"/>
      <c r="K965" s="6"/>
      <c r="L965" s="6"/>
      <c r="M965" s="6"/>
      <c r="N965" s="6"/>
      <c r="O965" s="6"/>
      <c r="P965" s="6"/>
      <c r="Q965" s="6"/>
      <c r="R965" s="6"/>
      <c r="S965" s="6"/>
      <c r="T965" s="6"/>
      <c r="U965" s="6"/>
      <c r="V965" s="6"/>
      <c r="W965" s="6"/>
      <c r="X965" s="6"/>
      <c r="Y965" s="6"/>
      <c r="Z965" s="6"/>
    </row>
    <row r="966" spans="1:26">
      <c r="A966" s="174"/>
      <c r="B966" s="6"/>
      <c r="C966" s="6"/>
      <c r="D966" s="6"/>
      <c r="E966" s="443"/>
      <c r="F966" s="15"/>
      <c r="G966" s="6"/>
      <c r="H966" s="6"/>
      <c r="I966" s="6"/>
      <c r="J966" s="6"/>
      <c r="K966" s="6"/>
      <c r="L966" s="6"/>
      <c r="M966" s="6"/>
      <c r="N966" s="6"/>
      <c r="O966" s="6"/>
      <c r="P966" s="6"/>
      <c r="Q966" s="6"/>
      <c r="R966" s="6"/>
      <c r="S966" s="6"/>
      <c r="T966" s="6"/>
      <c r="U966" s="6"/>
      <c r="V966" s="6"/>
      <c r="W966" s="6"/>
      <c r="X966" s="6"/>
      <c r="Y966" s="6"/>
      <c r="Z966" s="6"/>
    </row>
    <row r="967" spans="1:26">
      <c r="A967" s="174"/>
      <c r="B967" s="6"/>
      <c r="C967" s="6"/>
      <c r="D967" s="6"/>
      <c r="E967" s="443"/>
      <c r="F967" s="15"/>
      <c r="G967" s="6"/>
      <c r="H967" s="6"/>
      <c r="I967" s="6"/>
      <c r="J967" s="6"/>
      <c r="K967" s="6"/>
      <c r="L967" s="6"/>
      <c r="M967" s="6"/>
      <c r="N967" s="6"/>
      <c r="O967" s="6"/>
      <c r="P967" s="6"/>
      <c r="Q967" s="6"/>
      <c r="R967" s="6"/>
      <c r="S967" s="6"/>
      <c r="T967" s="6"/>
      <c r="U967" s="6"/>
      <c r="V967" s="6"/>
      <c r="W967" s="6"/>
      <c r="X967" s="6"/>
      <c r="Y967" s="6"/>
      <c r="Z967" s="6"/>
    </row>
    <row r="968" spans="1:26">
      <c r="A968" s="174"/>
      <c r="B968" s="6"/>
      <c r="C968" s="6"/>
      <c r="D968" s="6"/>
      <c r="E968" s="443"/>
      <c r="F968" s="15"/>
      <c r="G968" s="6"/>
      <c r="H968" s="6"/>
      <c r="I968" s="6"/>
      <c r="J968" s="6"/>
      <c r="K968" s="6"/>
      <c r="L968" s="6"/>
      <c r="M968" s="6"/>
      <c r="N968" s="6"/>
      <c r="O968" s="6"/>
      <c r="P968" s="6"/>
      <c r="Q968" s="6"/>
      <c r="R968" s="6"/>
      <c r="S968" s="6"/>
      <c r="T968" s="6"/>
      <c r="U968" s="6"/>
      <c r="V968" s="6"/>
      <c r="W968" s="6"/>
      <c r="X968" s="6"/>
      <c r="Y968" s="6"/>
      <c r="Z968" s="6"/>
    </row>
    <row r="969" spans="1:26">
      <c r="A969" s="174"/>
      <c r="B969" s="6"/>
      <c r="C969" s="6"/>
      <c r="D969" s="6"/>
      <c r="E969" s="443"/>
      <c r="F969" s="15"/>
      <c r="G969" s="6"/>
      <c r="H969" s="6"/>
      <c r="I969" s="6"/>
      <c r="J969" s="6"/>
      <c r="K969" s="6"/>
      <c r="L969" s="6"/>
      <c r="M969" s="6"/>
      <c r="N969" s="6"/>
      <c r="O969" s="6"/>
      <c r="P969" s="6"/>
      <c r="Q969" s="6"/>
      <c r="R969" s="6"/>
      <c r="S969" s="6"/>
      <c r="T969" s="6"/>
      <c r="U969" s="6"/>
      <c r="V969" s="6"/>
      <c r="W969" s="6"/>
      <c r="X969" s="6"/>
      <c r="Y969" s="6"/>
      <c r="Z969" s="6"/>
    </row>
    <row r="970" spans="1:26">
      <c r="A970" s="174"/>
      <c r="B970" s="6"/>
      <c r="C970" s="6"/>
      <c r="D970" s="6"/>
      <c r="E970" s="443"/>
      <c r="F970" s="15"/>
      <c r="G970" s="6"/>
      <c r="H970" s="6"/>
      <c r="I970" s="6"/>
      <c r="J970" s="6"/>
      <c r="K970" s="6"/>
      <c r="L970" s="6"/>
      <c r="M970" s="6"/>
      <c r="N970" s="6"/>
      <c r="O970" s="6"/>
      <c r="P970" s="6"/>
      <c r="Q970" s="6"/>
      <c r="R970" s="6"/>
      <c r="S970" s="6"/>
      <c r="T970" s="6"/>
      <c r="U970" s="6"/>
      <c r="V970" s="6"/>
      <c r="W970" s="6"/>
      <c r="X970" s="6"/>
      <c r="Y970" s="6"/>
      <c r="Z970" s="6"/>
    </row>
    <row r="971" spans="1:26">
      <c r="A971" s="174"/>
      <c r="B971" s="6"/>
      <c r="C971" s="6"/>
      <c r="D971" s="6"/>
      <c r="E971" s="443"/>
      <c r="F971" s="15"/>
      <c r="G971" s="6"/>
      <c r="H971" s="6"/>
      <c r="I971" s="6"/>
      <c r="J971" s="6"/>
      <c r="K971" s="6"/>
      <c r="L971" s="6"/>
      <c r="M971" s="6"/>
      <c r="N971" s="6"/>
      <c r="O971" s="6"/>
      <c r="P971" s="6"/>
      <c r="Q971" s="6"/>
      <c r="R971" s="6"/>
      <c r="S971" s="6"/>
      <c r="T971" s="6"/>
      <c r="U971" s="6"/>
      <c r="V971" s="6"/>
      <c r="W971" s="6"/>
      <c r="X971" s="6"/>
      <c r="Y971" s="6"/>
      <c r="Z971" s="6"/>
    </row>
    <row r="972" spans="1:26">
      <c r="A972" s="174"/>
      <c r="B972" s="6"/>
      <c r="C972" s="6"/>
      <c r="D972" s="6"/>
      <c r="E972" s="443"/>
      <c r="F972" s="15"/>
      <c r="G972" s="6"/>
      <c r="H972" s="6"/>
      <c r="I972" s="6"/>
      <c r="J972" s="6"/>
      <c r="K972" s="6"/>
      <c r="L972" s="6"/>
      <c r="M972" s="6"/>
      <c r="N972" s="6"/>
      <c r="O972" s="6"/>
      <c r="P972" s="6"/>
      <c r="Q972" s="6"/>
      <c r="R972" s="6"/>
      <c r="S972" s="6"/>
      <c r="T972" s="6"/>
      <c r="U972" s="6"/>
      <c r="V972" s="6"/>
      <c r="W972" s="6"/>
      <c r="X972" s="6"/>
      <c r="Y972" s="6"/>
      <c r="Z972" s="6"/>
    </row>
    <row r="973" spans="1:26">
      <c r="A973" s="174"/>
      <c r="B973" s="6"/>
      <c r="C973" s="6"/>
      <c r="D973" s="6"/>
      <c r="E973" s="443"/>
      <c r="F973" s="15"/>
      <c r="G973" s="6"/>
      <c r="H973" s="6"/>
      <c r="I973" s="6"/>
      <c r="J973" s="6"/>
      <c r="K973" s="6"/>
      <c r="L973" s="6"/>
      <c r="M973" s="6"/>
      <c r="N973" s="6"/>
      <c r="O973" s="6"/>
      <c r="P973" s="6"/>
      <c r="Q973" s="6"/>
      <c r="R973" s="6"/>
      <c r="S973" s="6"/>
      <c r="T973" s="6"/>
      <c r="U973" s="6"/>
      <c r="V973" s="6"/>
      <c r="W973" s="6"/>
      <c r="X973" s="6"/>
      <c r="Y973" s="6"/>
      <c r="Z973" s="6"/>
    </row>
    <row r="974" spans="1:26">
      <c r="A974" s="174"/>
      <c r="B974" s="6"/>
      <c r="C974" s="6"/>
      <c r="D974" s="6"/>
      <c r="E974" s="443"/>
      <c r="F974" s="15"/>
      <c r="G974" s="6"/>
      <c r="H974" s="6"/>
      <c r="I974" s="6"/>
      <c r="J974" s="6"/>
      <c r="K974" s="6"/>
      <c r="L974" s="6"/>
      <c r="M974" s="6"/>
      <c r="N974" s="6"/>
      <c r="O974" s="6"/>
      <c r="P974" s="6"/>
      <c r="Q974" s="6"/>
      <c r="R974" s="6"/>
      <c r="S974" s="6"/>
      <c r="T974" s="6"/>
      <c r="U974" s="6"/>
      <c r="V974" s="6"/>
      <c r="W974" s="6"/>
      <c r="X974" s="6"/>
      <c r="Y974" s="6"/>
      <c r="Z974" s="6"/>
    </row>
    <row r="975" spans="1:26">
      <c r="A975" s="174"/>
      <c r="B975" s="6"/>
      <c r="C975" s="6"/>
      <c r="D975" s="6"/>
      <c r="E975" s="443"/>
      <c r="F975" s="15"/>
      <c r="G975" s="6"/>
      <c r="H975" s="6"/>
      <c r="I975" s="6"/>
      <c r="J975" s="6"/>
      <c r="K975" s="6"/>
      <c r="L975" s="6"/>
      <c r="M975" s="6"/>
      <c r="N975" s="6"/>
      <c r="O975" s="6"/>
      <c r="P975" s="6"/>
      <c r="Q975" s="6"/>
      <c r="R975" s="6"/>
      <c r="S975" s="6"/>
      <c r="T975" s="6"/>
      <c r="U975" s="6"/>
      <c r="V975" s="6"/>
      <c r="W975" s="6"/>
      <c r="X975" s="6"/>
      <c r="Y975" s="6"/>
      <c r="Z975" s="6"/>
    </row>
    <row r="976" spans="1:26">
      <c r="A976" s="174"/>
      <c r="B976" s="6"/>
      <c r="C976" s="6"/>
      <c r="D976" s="6"/>
      <c r="E976" s="443"/>
      <c r="F976" s="15"/>
      <c r="G976" s="6"/>
      <c r="H976" s="6"/>
      <c r="I976" s="6"/>
      <c r="J976" s="6"/>
      <c r="K976" s="6"/>
      <c r="L976" s="6"/>
      <c r="M976" s="6"/>
      <c r="N976" s="6"/>
      <c r="O976" s="6"/>
      <c r="P976" s="6"/>
      <c r="Q976" s="6"/>
      <c r="R976" s="6"/>
      <c r="S976" s="6"/>
      <c r="T976" s="6"/>
      <c r="U976" s="6"/>
      <c r="V976" s="6"/>
      <c r="W976" s="6"/>
      <c r="X976" s="6"/>
      <c r="Y976" s="6"/>
      <c r="Z976" s="6"/>
    </row>
    <row r="977" spans="1:26">
      <c r="A977" s="174"/>
      <c r="B977" s="6"/>
      <c r="C977" s="6"/>
      <c r="D977" s="6"/>
      <c r="E977" s="443"/>
      <c r="F977" s="15"/>
      <c r="G977" s="6"/>
      <c r="H977" s="6"/>
      <c r="I977" s="6"/>
      <c r="J977" s="6"/>
      <c r="K977" s="6"/>
      <c r="L977" s="6"/>
      <c r="M977" s="6"/>
      <c r="N977" s="6"/>
      <c r="O977" s="6"/>
      <c r="P977" s="6"/>
      <c r="Q977" s="6"/>
      <c r="R977" s="6"/>
      <c r="S977" s="6"/>
      <c r="T977" s="6"/>
      <c r="U977" s="6"/>
      <c r="V977" s="6"/>
      <c r="W977" s="6"/>
      <c r="X977" s="6"/>
      <c r="Y977" s="6"/>
      <c r="Z977" s="6"/>
    </row>
    <row r="978" spans="1:26">
      <c r="A978" s="174"/>
      <c r="B978" s="6"/>
      <c r="C978" s="6"/>
      <c r="D978" s="6"/>
      <c r="E978" s="443"/>
      <c r="F978" s="15"/>
      <c r="G978" s="6"/>
      <c r="H978" s="6"/>
      <c r="I978" s="6"/>
      <c r="J978" s="6"/>
      <c r="K978" s="6"/>
      <c r="L978" s="6"/>
      <c r="M978" s="6"/>
      <c r="N978" s="6"/>
      <c r="O978" s="6"/>
      <c r="P978" s="6"/>
      <c r="Q978" s="6"/>
      <c r="R978" s="6"/>
      <c r="S978" s="6"/>
      <c r="T978" s="6"/>
      <c r="U978" s="6"/>
      <c r="V978" s="6"/>
      <c r="W978" s="6"/>
      <c r="X978" s="6"/>
      <c r="Y978" s="6"/>
      <c r="Z978" s="6"/>
    </row>
    <row r="979" spans="1:26">
      <c r="A979" s="174"/>
      <c r="B979" s="6"/>
      <c r="C979" s="6"/>
      <c r="D979" s="6"/>
      <c r="E979" s="443"/>
      <c r="F979" s="15"/>
      <c r="G979" s="6"/>
      <c r="H979" s="6"/>
      <c r="I979" s="6"/>
      <c r="J979" s="6"/>
      <c r="K979" s="6"/>
      <c r="L979" s="6"/>
      <c r="M979" s="6"/>
      <c r="N979" s="6"/>
      <c r="O979" s="6"/>
      <c r="P979" s="6"/>
      <c r="Q979" s="6"/>
      <c r="R979" s="6"/>
      <c r="S979" s="6"/>
      <c r="T979" s="6"/>
      <c r="U979" s="6"/>
      <c r="V979" s="6"/>
      <c r="W979" s="6"/>
      <c r="X979" s="6"/>
      <c r="Y979" s="6"/>
      <c r="Z979" s="6"/>
    </row>
    <row r="980" spans="1:26">
      <c r="A980" s="174"/>
      <c r="B980" s="6"/>
      <c r="C980" s="6"/>
      <c r="D980" s="6"/>
      <c r="E980" s="443"/>
      <c r="F980" s="15"/>
      <c r="G980" s="6"/>
      <c r="H980" s="6"/>
      <c r="I980" s="6"/>
      <c r="J980" s="6"/>
      <c r="K980" s="6"/>
      <c r="L980" s="6"/>
      <c r="M980" s="6"/>
      <c r="N980" s="6"/>
      <c r="O980" s="6"/>
      <c r="P980" s="6"/>
      <c r="Q980" s="6"/>
      <c r="R980" s="6"/>
      <c r="S980" s="6"/>
      <c r="T980" s="6"/>
      <c r="U980" s="6"/>
      <c r="V980" s="6"/>
      <c r="W980" s="6"/>
      <c r="X980" s="6"/>
      <c r="Y980" s="6"/>
      <c r="Z980" s="6"/>
    </row>
    <row r="981" spans="1:26">
      <c r="A981" s="174"/>
      <c r="B981" s="6"/>
      <c r="C981" s="6"/>
      <c r="D981" s="6"/>
      <c r="E981" s="443"/>
      <c r="F981" s="15"/>
      <c r="G981" s="6"/>
      <c r="H981" s="6"/>
      <c r="I981" s="6"/>
      <c r="J981" s="6"/>
      <c r="K981" s="6"/>
      <c r="L981" s="6"/>
      <c r="M981" s="6"/>
      <c r="N981" s="6"/>
      <c r="O981" s="6"/>
      <c r="P981" s="6"/>
      <c r="Q981" s="6"/>
      <c r="R981" s="6"/>
      <c r="S981" s="6"/>
      <c r="T981" s="6"/>
      <c r="U981" s="6"/>
      <c r="V981" s="6"/>
      <c r="W981" s="6"/>
      <c r="X981" s="6"/>
      <c r="Y981" s="6"/>
      <c r="Z981" s="6"/>
    </row>
    <row r="982" spans="1:26">
      <c r="A982" s="174"/>
      <c r="B982" s="6"/>
      <c r="C982" s="6"/>
      <c r="D982" s="6"/>
      <c r="E982" s="443"/>
      <c r="F982" s="15"/>
      <c r="G982" s="6"/>
      <c r="H982" s="6"/>
      <c r="I982" s="6"/>
      <c r="J982" s="6"/>
      <c r="K982" s="6"/>
      <c r="L982" s="6"/>
      <c r="M982" s="6"/>
      <c r="N982" s="6"/>
      <c r="O982" s="6"/>
      <c r="P982" s="6"/>
      <c r="Q982" s="6"/>
      <c r="R982" s="6"/>
      <c r="S982" s="6"/>
      <c r="T982" s="6"/>
      <c r="U982" s="6"/>
      <c r="V982" s="6"/>
      <c r="W982" s="6"/>
      <c r="X982" s="6"/>
      <c r="Y982" s="6"/>
      <c r="Z982" s="6"/>
    </row>
    <row r="983" spans="1:26">
      <c r="A983" s="174"/>
      <c r="B983" s="6"/>
      <c r="C983" s="6"/>
      <c r="D983" s="6"/>
      <c r="E983" s="443"/>
      <c r="F983" s="15"/>
      <c r="G983" s="6"/>
      <c r="H983" s="6"/>
      <c r="I983" s="6"/>
      <c r="J983" s="6"/>
      <c r="K983" s="6"/>
      <c r="L983" s="6"/>
      <c r="M983" s="6"/>
      <c r="N983" s="6"/>
      <c r="O983" s="6"/>
      <c r="P983" s="6"/>
      <c r="Q983" s="6"/>
      <c r="R983" s="6"/>
      <c r="S983" s="6"/>
      <c r="T983" s="6"/>
      <c r="U983" s="6"/>
      <c r="V983" s="6"/>
      <c r="W983" s="6"/>
      <c r="X983" s="6"/>
      <c r="Y983" s="6"/>
      <c r="Z983" s="6"/>
    </row>
    <row r="984" spans="1:26">
      <c r="A984" s="174"/>
      <c r="B984" s="6"/>
      <c r="C984" s="6"/>
      <c r="D984" s="6"/>
      <c r="E984" s="443"/>
      <c r="F984" s="15"/>
      <c r="G984" s="6"/>
      <c r="H984" s="6"/>
      <c r="I984" s="6"/>
      <c r="J984" s="6"/>
      <c r="K984" s="6"/>
      <c r="L984" s="6"/>
      <c r="M984" s="6"/>
      <c r="N984" s="6"/>
      <c r="O984" s="6"/>
      <c r="P984" s="6"/>
      <c r="Q984" s="6"/>
      <c r="R984" s="6"/>
      <c r="S984" s="6"/>
      <c r="T984" s="6"/>
      <c r="U984" s="6"/>
      <c r="V984" s="6"/>
      <c r="W984" s="6"/>
      <c r="X984" s="6"/>
      <c r="Y984" s="6"/>
      <c r="Z984" s="6"/>
    </row>
    <row r="985" spans="1:26">
      <c r="A985" s="174"/>
      <c r="B985" s="6"/>
      <c r="C985" s="6"/>
      <c r="D985" s="6"/>
      <c r="E985" s="443"/>
      <c r="F985" s="15"/>
      <c r="G985" s="6"/>
      <c r="H985" s="6"/>
      <c r="I985" s="6"/>
      <c r="J985" s="6"/>
      <c r="K985" s="6"/>
      <c r="L985" s="6"/>
      <c r="M985" s="6"/>
      <c r="N985" s="6"/>
      <c r="O985" s="6"/>
      <c r="P985" s="6"/>
      <c r="Q985" s="6"/>
      <c r="R985" s="6"/>
      <c r="S985" s="6"/>
      <c r="T985" s="6"/>
      <c r="U985" s="6"/>
      <c r="V985" s="6"/>
      <c r="W985" s="6"/>
      <c r="X985" s="6"/>
      <c r="Y985" s="6"/>
      <c r="Z985" s="6"/>
    </row>
    <row r="986" spans="1:26">
      <c r="A986" s="174"/>
      <c r="B986" s="6"/>
      <c r="C986" s="6"/>
      <c r="D986" s="6"/>
      <c r="E986" s="443"/>
      <c r="F986" s="15"/>
      <c r="G986" s="6"/>
      <c r="H986" s="6"/>
      <c r="I986" s="6"/>
      <c r="J986" s="6"/>
      <c r="K986" s="6"/>
      <c r="L986" s="6"/>
      <c r="M986" s="6"/>
      <c r="N986" s="6"/>
      <c r="O986" s="6"/>
      <c r="P986" s="6"/>
      <c r="Q986" s="6"/>
      <c r="R986" s="6"/>
      <c r="S986" s="6"/>
      <c r="T986" s="6"/>
      <c r="U986" s="6"/>
      <c r="V986" s="6"/>
      <c r="W986" s="6"/>
      <c r="X986" s="6"/>
      <c r="Y986" s="6"/>
      <c r="Z986" s="6"/>
    </row>
    <row r="987" spans="1:26">
      <c r="A987" s="174"/>
      <c r="B987" s="6"/>
      <c r="C987" s="6"/>
      <c r="D987" s="6"/>
      <c r="E987" s="443"/>
      <c r="F987" s="15"/>
      <c r="G987" s="6"/>
      <c r="H987" s="6"/>
      <c r="I987" s="6"/>
      <c r="J987" s="6"/>
      <c r="K987" s="6"/>
      <c r="L987" s="6"/>
      <c r="M987" s="6"/>
      <c r="N987" s="6"/>
      <c r="O987" s="6"/>
      <c r="P987" s="6"/>
      <c r="Q987" s="6"/>
      <c r="R987" s="6"/>
      <c r="S987" s="6"/>
      <c r="T987" s="6"/>
      <c r="U987" s="6"/>
      <c r="V987" s="6"/>
      <c r="W987" s="6"/>
      <c r="X987" s="6"/>
      <c r="Y987" s="6"/>
      <c r="Z987" s="6"/>
    </row>
    <row r="988" spans="1:26">
      <c r="A988" s="174"/>
      <c r="B988" s="6"/>
      <c r="C988" s="6"/>
      <c r="D988" s="6"/>
      <c r="E988" s="443"/>
      <c r="F988" s="15"/>
      <c r="G988" s="6"/>
      <c r="H988" s="6"/>
      <c r="I988" s="6"/>
      <c r="J988" s="6"/>
      <c r="K988" s="6"/>
      <c r="L988" s="6"/>
      <c r="M988" s="6"/>
      <c r="N988" s="6"/>
      <c r="O988" s="6"/>
      <c r="P988" s="6"/>
      <c r="Q988" s="6"/>
      <c r="R988" s="6"/>
      <c r="S988" s="6"/>
      <c r="T988" s="6"/>
      <c r="U988" s="6"/>
      <c r="V988" s="6"/>
      <c r="W988" s="6"/>
      <c r="X988" s="6"/>
      <c r="Y988" s="6"/>
      <c r="Z988" s="6"/>
    </row>
    <row r="989" spans="1:26">
      <c r="A989" s="174"/>
      <c r="B989" s="6"/>
      <c r="C989" s="6"/>
      <c r="D989" s="6"/>
      <c r="E989" s="443"/>
      <c r="F989" s="15"/>
      <c r="G989" s="6"/>
      <c r="H989" s="6"/>
      <c r="I989" s="6"/>
      <c r="J989" s="6"/>
      <c r="K989" s="6"/>
      <c r="L989" s="6"/>
      <c r="M989" s="6"/>
      <c r="N989" s="6"/>
      <c r="O989" s="6"/>
      <c r="P989" s="6"/>
      <c r="Q989" s="6"/>
      <c r="R989" s="6"/>
      <c r="S989" s="6"/>
      <c r="T989" s="6"/>
      <c r="U989" s="6"/>
      <c r="V989" s="6"/>
      <c r="W989" s="6"/>
      <c r="X989" s="6"/>
      <c r="Y989" s="6"/>
      <c r="Z989" s="6"/>
    </row>
    <row r="990" spans="1:26">
      <c r="A990" s="174"/>
      <c r="B990" s="6"/>
      <c r="C990" s="6"/>
      <c r="D990" s="6"/>
      <c r="E990" s="443"/>
      <c r="F990" s="15"/>
      <c r="G990" s="6"/>
      <c r="H990" s="6"/>
      <c r="I990" s="6"/>
      <c r="J990" s="6"/>
      <c r="K990" s="6"/>
      <c r="L990" s="6"/>
      <c r="M990" s="6"/>
      <c r="N990" s="6"/>
      <c r="O990" s="6"/>
      <c r="P990" s="6"/>
      <c r="Q990" s="6"/>
      <c r="R990" s="6"/>
      <c r="S990" s="6"/>
      <c r="T990" s="6"/>
      <c r="U990" s="6"/>
      <c r="V990" s="6"/>
      <c r="W990" s="6"/>
      <c r="X990" s="6"/>
      <c r="Y990" s="6"/>
      <c r="Z990" s="6"/>
    </row>
    <row r="991" spans="1:26">
      <c r="A991" s="174"/>
      <c r="B991" s="6"/>
      <c r="C991" s="6"/>
      <c r="D991" s="6"/>
      <c r="E991" s="443"/>
      <c r="F991" s="15"/>
      <c r="G991" s="6"/>
      <c r="H991" s="6"/>
      <c r="I991" s="6"/>
      <c r="J991" s="6"/>
      <c r="K991" s="6"/>
      <c r="L991" s="6"/>
      <c r="M991" s="6"/>
      <c r="N991" s="6"/>
      <c r="O991" s="6"/>
      <c r="P991" s="6"/>
      <c r="Q991" s="6"/>
      <c r="R991" s="6"/>
      <c r="S991" s="6"/>
      <c r="T991" s="6"/>
      <c r="U991" s="6"/>
      <c r="V991" s="6"/>
      <c r="W991" s="6"/>
      <c r="X991" s="6"/>
      <c r="Y991" s="6"/>
      <c r="Z991" s="6"/>
    </row>
    <row r="992" spans="1:26">
      <c r="A992" s="174"/>
      <c r="B992" s="6"/>
      <c r="C992" s="6"/>
      <c r="D992" s="6"/>
      <c r="E992" s="443"/>
      <c r="F992" s="15"/>
      <c r="G992" s="6"/>
      <c r="H992" s="6"/>
      <c r="I992" s="6"/>
      <c r="J992" s="6"/>
      <c r="K992" s="6"/>
      <c r="L992" s="6"/>
      <c r="M992" s="6"/>
      <c r="N992" s="6"/>
      <c r="O992" s="6"/>
      <c r="P992" s="6"/>
      <c r="Q992" s="6"/>
      <c r="R992" s="6"/>
      <c r="S992" s="6"/>
      <c r="T992" s="6"/>
      <c r="U992" s="6"/>
      <c r="V992" s="6"/>
      <c r="W992" s="6"/>
      <c r="X992" s="6"/>
      <c r="Y992" s="6"/>
      <c r="Z992" s="6"/>
    </row>
    <row r="993" spans="1:26">
      <c r="A993" s="174"/>
      <c r="B993" s="6"/>
      <c r="C993" s="6"/>
      <c r="D993" s="6"/>
      <c r="E993" s="443"/>
      <c r="F993" s="15"/>
      <c r="G993" s="6"/>
      <c r="H993" s="6"/>
      <c r="I993" s="6"/>
      <c r="J993" s="6"/>
      <c r="K993" s="6"/>
      <c r="L993" s="6"/>
      <c r="M993" s="6"/>
      <c r="N993" s="6"/>
      <c r="O993" s="6"/>
      <c r="P993" s="6"/>
      <c r="Q993" s="6"/>
      <c r="R993" s="6"/>
      <c r="S993" s="6"/>
      <c r="T993" s="6"/>
      <c r="U993" s="6"/>
      <c r="V993" s="6"/>
      <c r="W993" s="6"/>
      <c r="X993" s="6"/>
      <c r="Y993" s="6"/>
      <c r="Z993" s="6"/>
    </row>
    <row r="994" spans="1:26">
      <c r="A994" s="174"/>
      <c r="B994" s="6"/>
      <c r="C994" s="6"/>
      <c r="D994" s="6"/>
      <c r="E994" s="443"/>
      <c r="F994" s="15"/>
      <c r="G994" s="6"/>
      <c r="H994" s="6"/>
      <c r="I994" s="6"/>
      <c r="J994" s="6"/>
      <c r="K994" s="6"/>
      <c r="L994" s="6"/>
      <c r="M994" s="6"/>
      <c r="N994" s="6"/>
      <c r="O994" s="6"/>
      <c r="P994" s="6"/>
      <c r="Q994" s="6"/>
      <c r="R994" s="6"/>
      <c r="S994" s="6"/>
      <c r="T994" s="6"/>
      <c r="U994" s="6"/>
      <c r="V994" s="6"/>
      <c r="W994" s="6"/>
      <c r="X994" s="6"/>
      <c r="Y994" s="6"/>
      <c r="Z994" s="6"/>
    </row>
    <row r="995" spans="1:26">
      <c r="A995" s="174"/>
      <c r="B995" s="6"/>
      <c r="C995" s="6"/>
      <c r="D995" s="6"/>
      <c r="E995" s="443"/>
      <c r="F995" s="15"/>
      <c r="G995" s="6"/>
      <c r="H995" s="6"/>
      <c r="I995" s="6"/>
      <c r="J995" s="6"/>
      <c r="K995" s="6"/>
      <c r="L995" s="6"/>
      <c r="M995" s="6"/>
      <c r="N995" s="6"/>
      <c r="O995" s="6"/>
      <c r="P995" s="6"/>
      <c r="Q995" s="6"/>
      <c r="R995" s="6"/>
      <c r="S995" s="6"/>
      <c r="T995" s="6"/>
      <c r="U995" s="6"/>
      <c r="V995" s="6"/>
      <c r="W995" s="6"/>
      <c r="X995" s="6"/>
      <c r="Y995" s="6"/>
      <c r="Z995" s="6"/>
    </row>
    <row r="996" spans="1:26">
      <c r="A996" s="174"/>
      <c r="B996" s="6"/>
      <c r="C996" s="6"/>
      <c r="D996" s="6"/>
      <c r="E996" s="443"/>
      <c r="F996" s="15"/>
      <c r="G996" s="6"/>
      <c r="H996" s="6"/>
      <c r="I996" s="6"/>
      <c r="J996" s="6"/>
      <c r="K996" s="6"/>
      <c r="L996" s="6"/>
      <c r="M996" s="6"/>
      <c r="N996" s="6"/>
      <c r="O996" s="6"/>
      <c r="P996" s="6"/>
      <c r="Q996" s="6"/>
      <c r="R996" s="6"/>
      <c r="S996" s="6"/>
      <c r="T996" s="6"/>
      <c r="U996" s="6"/>
      <c r="V996" s="6"/>
      <c r="W996" s="6"/>
      <c r="X996" s="6"/>
      <c r="Y996" s="6"/>
      <c r="Z996" s="6"/>
    </row>
    <row r="997" spans="1:26">
      <c r="A997" s="174"/>
      <c r="B997" s="6"/>
      <c r="C997" s="6"/>
      <c r="D997" s="6"/>
      <c r="E997" s="443"/>
      <c r="F997" s="15"/>
      <c r="G997" s="6"/>
      <c r="H997" s="6"/>
      <c r="I997" s="6"/>
      <c r="J997" s="6"/>
      <c r="K997" s="6"/>
      <c r="L997" s="6"/>
      <c r="M997" s="6"/>
      <c r="N997" s="6"/>
      <c r="O997" s="6"/>
      <c r="P997" s="6"/>
      <c r="Q997" s="6"/>
      <c r="R997" s="6"/>
      <c r="S997" s="6"/>
      <c r="T997" s="6"/>
      <c r="U997" s="6"/>
      <c r="V997" s="6"/>
      <c r="W997" s="6"/>
      <c r="X997" s="6"/>
      <c r="Y997" s="6"/>
      <c r="Z997" s="6"/>
    </row>
    <row r="998" spans="1:26">
      <c r="A998" s="174"/>
      <c r="B998" s="6"/>
      <c r="C998" s="6"/>
      <c r="D998" s="6"/>
      <c r="E998" s="443"/>
      <c r="F998" s="15"/>
      <c r="G998" s="6"/>
      <c r="H998" s="6"/>
      <c r="I998" s="6"/>
      <c r="J998" s="6"/>
      <c r="K998" s="6"/>
      <c r="L998" s="6"/>
      <c r="M998" s="6"/>
      <c r="N998" s="6"/>
      <c r="O998" s="6"/>
      <c r="P998" s="6"/>
      <c r="Q998" s="6"/>
      <c r="R998" s="6"/>
      <c r="S998" s="6"/>
      <c r="T998" s="6"/>
      <c r="U998" s="6"/>
      <c r="V998" s="6"/>
      <c r="W998" s="6"/>
      <c r="X998" s="6"/>
      <c r="Y998" s="6"/>
      <c r="Z998" s="6"/>
    </row>
    <row r="999" spans="1:26">
      <c r="A999" s="174"/>
      <c r="B999" s="6"/>
      <c r="C999" s="6"/>
      <c r="D999" s="6"/>
      <c r="E999" s="443"/>
      <c r="F999" s="15"/>
      <c r="G999" s="6"/>
      <c r="H999" s="6"/>
      <c r="I999" s="6"/>
      <c r="J999" s="6"/>
      <c r="K999" s="6"/>
      <c r="L999" s="6"/>
      <c r="M999" s="6"/>
      <c r="N999" s="6"/>
      <c r="O999" s="6"/>
      <c r="P999" s="6"/>
      <c r="Q999" s="6"/>
      <c r="R999" s="6"/>
      <c r="S999" s="6"/>
      <c r="T999" s="6"/>
      <c r="U999" s="6"/>
      <c r="V999" s="6"/>
      <c r="W999" s="6"/>
      <c r="X999" s="6"/>
      <c r="Y999" s="6"/>
      <c r="Z999" s="6"/>
    </row>
    <row r="1000" spans="1:26">
      <c r="A1000" s="223"/>
      <c r="B1000" s="444"/>
      <c r="C1000" s="444"/>
      <c r="D1000" s="444"/>
      <c r="E1000" s="445"/>
      <c r="F1000" s="15"/>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1001"/>
  <sheetViews>
    <sheetView workbookViewId="0">
      <selection activeCell="A3" sqref="A3"/>
    </sheetView>
  </sheetViews>
  <sheetFormatPr defaultColWidth="11.19921875" defaultRowHeight="15" customHeight="1"/>
  <cols>
    <col min="1" max="1" width="31.8984375" customWidth="1"/>
  </cols>
  <sheetData>
    <row r="1" spans="1:25" ht="16.8">
      <c r="A1" s="446" t="s">
        <v>365</v>
      </c>
      <c r="B1" s="447" t="s">
        <v>105</v>
      </c>
      <c r="C1" s="448" t="s">
        <v>106</v>
      </c>
      <c r="D1" s="448" t="s">
        <v>107</v>
      </c>
      <c r="E1" s="448" t="s">
        <v>108</v>
      </c>
      <c r="F1" s="448" t="s">
        <v>109</v>
      </c>
      <c r="G1" s="449" t="s">
        <v>64</v>
      </c>
      <c r="H1" s="449" t="s">
        <v>65</v>
      </c>
      <c r="I1" s="449" t="s">
        <v>66</v>
      </c>
      <c r="J1" s="449" t="s">
        <v>67</v>
      </c>
      <c r="K1" s="450" t="s">
        <v>68</v>
      </c>
      <c r="L1" s="451"/>
      <c r="M1" s="452"/>
      <c r="N1" s="452"/>
      <c r="O1" s="452"/>
      <c r="P1" s="452"/>
      <c r="Q1" s="452"/>
      <c r="R1" s="452"/>
      <c r="S1" s="452"/>
      <c r="T1" s="452"/>
      <c r="U1" s="452"/>
      <c r="V1" s="452"/>
      <c r="W1" s="452"/>
      <c r="X1" s="452"/>
      <c r="Y1" s="452"/>
    </row>
    <row r="2" spans="1:25" ht="29.25" customHeight="1">
      <c r="A2" s="453" t="s">
        <v>130</v>
      </c>
      <c r="B2" s="454">
        <f t="shared" ref="B2:K2" si="0">SUM(B8,B14,B20,B22,B32,B29)</f>
        <v>1150.8</v>
      </c>
      <c r="C2" s="455">
        <f t="shared" si="0"/>
        <v>1317.8999999999999</v>
      </c>
      <c r="D2" s="455">
        <f t="shared" si="0"/>
        <v>2408</v>
      </c>
      <c r="E2" s="455">
        <f t="shared" si="0"/>
        <v>2579.7000000000003</v>
      </c>
      <c r="F2" s="456">
        <f t="shared" si="0"/>
        <v>3468</v>
      </c>
      <c r="G2" s="457">
        <f t="shared" si="0"/>
        <v>3981.5844981519617</v>
      </c>
      <c r="H2" s="457">
        <f t="shared" si="0"/>
        <v>4412.2262817155743</v>
      </c>
      <c r="I2" s="457">
        <f t="shared" si="0"/>
        <v>4942.5736918602615</v>
      </c>
      <c r="J2" s="457">
        <f t="shared" si="0"/>
        <v>5487.9493411448784</v>
      </c>
      <c r="K2" s="458">
        <f t="shared" si="0"/>
        <v>6053.3523037765217</v>
      </c>
      <c r="L2" s="451"/>
      <c r="M2" s="452"/>
      <c r="N2" s="452"/>
      <c r="O2" s="452"/>
      <c r="P2" s="452"/>
      <c r="Q2" s="452"/>
      <c r="R2" s="452"/>
      <c r="S2" s="452"/>
      <c r="T2" s="452"/>
      <c r="U2" s="452"/>
      <c r="V2" s="452"/>
      <c r="W2" s="452"/>
      <c r="X2" s="452"/>
      <c r="Y2" s="452"/>
    </row>
    <row r="3" spans="1:25" ht="15.6">
      <c r="A3" s="459" t="s">
        <v>131</v>
      </c>
      <c r="B3" s="460"/>
      <c r="C3" s="461"/>
      <c r="D3" s="461"/>
      <c r="E3" s="461"/>
      <c r="F3" s="462"/>
      <c r="G3" s="35"/>
      <c r="H3" s="35"/>
      <c r="I3" s="35"/>
      <c r="J3" s="35"/>
      <c r="K3" s="36"/>
      <c r="L3" s="451"/>
      <c r="M3" s="452"/>
      <c r="N3" s="452"/>
      <c r="O3" s="452"/>
      <c r="P3" s="452"/>
      <c r="Q3" s="452"/>
      <c r="R3" s="452"/>
      <c r="S3" s="452"/>
      <c r="T3" s="452"/>
      <c r="U3" s="452"/>
      <c r="V3" s="452"/>
      <c r="W3" s="452"/>
      <c r="X3" s="452"/>
      <c r="Y3" s="452"/>
    </row>
    <row r="4" spans="1:25" ht="15.6">
      <c r="A4" s="463" t="s">
        <v>152</v>
      </c>
      <c r="B4" s="460">
        <v>744.9</v>
      </c>
      <c r="C4" s="464">
        <f t="shared" ref="C4:K4" si="1">B8</f>
        <v>744.9</v>
      </c>
      <c r="D4" s="464">
        <f t="shared" si="1"/>
        <v>970.9</v>
      </c>
      <c r="E4" s="464">
        <f t="shared" si="1"/>
        <v>1941.8</v>
      </c>
      <c r="F4" s="465">
        <f t="shared" si="1"/>
        <v>2038.9</v>
      </c>
      <c r="G4" s="466">
        <f t="shared" si="1"/>
        <v>2711.8</v>
      </c>
      <c r="H4" s="466">
        <f t="shared" si="1"/>
        <v>2874.5080000000003</v>
      </c>
      <c r="I4" s="466">
        <f t="shared" si="1"/>
        <v>2874.5080000000003</v>
      </c>
      <c r="J4" s="466">
        <f t="shared" si="1"/>
        <v>2874.5080000000003</v>
      </c>
      <c r="K4" s="467">
        <f t="shared" si="1"/>
        <v>2874.5080000000003</v>
      </c>
      <c r="L4" s="451"/>
      <c r="M4" s="452"/>
      <c r="N4" s="452"/>
      <c r="O4" s="452"/>
      <c r="P4" s="452"/>
      <c r="Q4" s="452"/>
      <c r="R4" s="452"/>
      <c r="S4" s="452"/>
      <c r="T4" s="452"/>
      <c r="U4" s="452"/>
      <c r="V4" s="452"/>
      <c r="W4" s="452"/>
      <c r="X4" s="452"/>
      <c r="Y4" s="452"/>
    </row>
    <row r="5" spans="1:25" ht="15.6">
      <c r="A5" s="463" t="s">
        <v>366</v>
      </c>
      <c r="B5" s="460">
        <v>0</v>
      </c>
      <c r="C5" s="461">
        <v>77.02</v>
      </c>
      <c r="D5" s="461">
        <f>D4</f>
        <v>970.9</v>
      </c>
      <c r="E5" s="461">
        <v>97.1</v>
      </c>
      <c r="F5" s="462">
        <v>509.7</v>
      </c>
      <c r="G5" s="35"/>
      <c r="H5" s="35"/>
      <c r="I5" s="35"/>
      <c r="J5" s="35"/>
      <c r="K5" s="36"/>
      <c r="L5" s="451"/>
      <c r="M5" s="452"/>
      <c r="N5" s="452"/>
      <c r="O5" s="452"/>
      <c r="P5" s="452"/>
      <c r="Q5" s="452"/>
      <c r="R5" s="452"/>
      <c r="S5" s="452"/>
      <c r="T5" s="452"/>
      <c r="U5" s="452"/>
      <c r="V5" s="452"/>
      <c r="W5" s="452"/>
      <c r="X5" s="452"/>
      <c r="Y5" s="452"/>
    </row>
    <row r="6" spans="1:25" ht="15.6">
      <c r="A6" s="463" t="s">
        <v>367</v>
      </c>
      <c r="B6" s="460">
        <v>0</v>
      </c>
      <c r="C6" s="461">
        <v>149</v>
      </c>
      <c r="D6" s="461"/>
      <c r="E6" s="461"/>
      <c r="F6" s="462">
        <v>163.1</v>
      </c>
      <c r="G6" s="35"/>
      <c r="H6" s="35"/>
      <c r="I6" s="35"/>
      <c r="J6" s="35"/>
      <c r="K6" s="36"/>
      <c r="L6" s="451"/>
      <c r="M6" s="452"/>
      <c r="N6" s="452"/>
      <c r="O6" s="452"/>
      <c r="P6" s="452"/>
      <c r="Q6" s="452"/>
      <c r="R6" s="452"/>
      <c r="S6" s="452"/>
      <c r="T6" s="452"/>
      <c r="U6" s="452"/>
      <c r="V6" s="452"/>
      <c r="W6" s="452"/>
      <c r="X6" s="452"/>
      <c r="Y6" s="452"/>
    </row>
    <row r="7" spans="1:25" ht="15.6">
      <c r="A7" s="463" t="s">
        <v>368</v>
      </c>
      <c r="B7" s="460">
        <v>0</v>
      </c>
      <c r="C7" s="461"/>
      <c r="D7" s="461"/>
      <c r="E7" s="461"/>
      <c r="F7" s="462"/>
      <c r="G7" s="35"/>
      <c r="H7" s="35"/>
      <c r="I7" s="35"/>
      <c r="J7" s="35"/>
      <c r="K7" s="36"/>
      <c r="L7" s="451"/>
      <c r="M7" s="452"/>
      <c r="N7" s="452"/>
      <c r="O7" s="452"/>
      <c r="P7" s="452"/>
      <c r="Q7" s="452"/>
      <c r="R7" s="452"/>
      <c r="S7" s="452"/>
      <c r="T7" s="452"/>
      <c r="U7" s="452"/>
      <c r="V7" s="452"/>
      <c r="W7" s="452"/>
      <c r="X7" s="452"/>
      <c r="Y7" s="452"/>
    </row>
    <row r="8" spans="1:25" ht="15.6">
      <c r="A8" s="463" t="s">
        <v>154</v>
      </c>
      <c r="B8" s="468">
        <f>BS!B26</f>
        <v>744.9</v>
      </c>
      <c r="C8" s="469">
        <f>BS!C26</f>
        <v>970.9</v>
      </c>
      <c r="D8" s="469">
        <f>BS!D26</f>
        <v>1941.8</v>
      </c>
      <c r="E8" s="469">
        <f>BS!E26</f>
        <v>2038.9</v>
      </c>
      <c r="F8" s="470">
        <f>BS!F26</f>
        <v>2711.8</v>
      </c>
      <c r="G8" s="35">
        <f>F8*1.06</f>
        <v>2874.5080000000003</v>
      </c>
      <c r="H8" s="35">
        <f>G8</f>
        <v>2874.5080000000003</v>
      </c>
      <c r="I8" s="35">
        <f t="shared" ref="I8:K8" si="2">$H$8</f>
        <v>2874.5080000000003</v>
      </c>
      <c r="J8" s="35">
        <f t="shared" si="2"/>
        <v>2874.5080000000003</v>
      </c>
      <c r="K8" s="36">
        <f t="shared" si="2"/>
        <v>2874.5080000000003</v>
      </c>
      <c r="L8" s="451"/>
      <c r="M8" s="452"/>
      <c r="N8" s="452"/>
      <c r="O8" s="452"/>
      <c r="P8" s="452"/>
      <c r="Q8" s="452"/>
      <c r="R8" s="452"/>
      <c r="S8" s="452"/>
      <c r="T8" s="452"/>
      <c r="U8" s="452"/>
      <c r="V8" s="452"/>
      <c r="W8" s="452"/>
      <c r="X8" s="452"/>
      <c r="Y8" s="452"/>
    </row>
    <row r="9" spans="1:25" ht="15.6">
      <c r="A9" s="471"/>
      <c r="B9" s="460"/>
      <c r="C9" s="461"/>
      <c r="D9" s="461"/>
      <c r="E9" s="461"/>
      <c r="F9" s="462"/>
      <c r="G9" s="35"/>
      <c r="H9" s="35"/>
      <c r="I9" s="35"/>
      <c r="J9" s="35"/>
      <c r="K9" s="36"/>
      <c r="L9" s="451"/>
      <c r="M9" s="452"/>
      <c r="N9" s="452"/>
      <c r="O9" s="452"/>
      <c r="P9" s="452"/>
      <c r="Q9" s="452"/>
      <c r="R9" s="452"/>
      <c r="S9" s="452"/>
      <c r="T9" s="452"/>
      <c r="U9" s="452"/>
      <c r="V9" s="452"/>
      <c r="W9" s="452"/>
      <c r="X9" s="452"/>
      <c r="Y9" s="452"/>
    </row>
    <row r="10" spans="1:25" ht="15.6">
      <c r="A10" s="472" t="s">
        <v>132</v>
      </c>
      <c r="B10" s="460"/>
      <c r="C10" s="461"/>
      <c r="D10" s="461"/>
      <c r="E10" s="461"/>
      <c r="F10" s="462"/>
      <c r="G10" s="35"/>
      <c r="H10" s="35"/>
      <c r="I10" s="35"/>
      <c r="J10" s="35"/>
      <c r="K10" s="36"/>
      <c r="L10" s="451"/>
      <c r="M10" s="452"/>
      <c r="N10" s="452"/>
      <c r="O10" s="452"/>
      <c r="P10" s="452"/>
      <c r="Q10" s="452"/>
      <c r="R10" s="452"/>
      <c r="S10" s="452"/>
      <c r="T10" s="452"/>
      <c r="U10" s="452"/>
      <c r="V10" s="452"/>
      <c r="W10" s="452"/>
      <c r="X10" s="452"/>
      <c r="Y10" s="452"/>
    </row>
    <row r="11" spans="1:25" ht="15.6">
      <c r="A11" s="463" t="s">
        <v>152</v>
      </c>
      <c r="B11" s="460"/>
      <c r="C11" s="464">
        <f t="shared" ref="C11:K11" si="3">B14</f>
        <v>2</v>
      </c>
      <c r="D11" s="464">
        <f t="shared" si="3"/>
        <v>28.9</v>
      </c>
      <c r="E11" s="464">
        <f t="shared" si="3"/>
        <v>29</v>
      </c>
      <c r="F11" s="465">
        <f t="shared" si="3"/>
        <v>38.700000000000003</v>
      </c>
      <c r="G11" s="466">
        <f t="shared" si="3"/>
        <v>38.200000000000003</v>
      </c>
      <c r="H11" s="466">
        <f t="shared" si="3"/>
        <v>38.200000000000003</v>
      </c>
      <c r="I11" s="466">
        <f t="shared" si="3"/>
        <v>38.200000000000003</v>
      </c>
      <c r="J11" s="466">
        <f t="shared" si="3"/>
        <v>38.200000000000003</v>
      </c>
      <c r="K11" s="467">
        <f t="shared" si="3"/>
        <v>38.200000000000003</v>
      </c>
      <c r="L11" s="451"/>
      <c r="M11" s="452"/>
      <c r="N11" s="452"/>
      <c r="O11" s="452"/>
      <c r="P11" s="452"/>
      <c r="Q11" s="452"/>
      <c r="R11" s="452"/>
      <c r="S11" s="452"/>
      <c r="T11" s="452"/>
      <c r="U11" s="452"/>
      <c r="V11" s="452"/>
      <c r="W11" s="452"/>
      <c r="X11" s="452"/>
      <c r="Y11" s="452"/>
    </row>
    <row r="12" spans="1:25" ht="15.6">
      <c r="A12" s="463" t="s">
        <v>366</v>
      </c>
      <c r="B12" s="460"/>
      <c r="C12" s="461">
        <v>27</v>
      </c>
      <c r="D12" s="461">
        <v>0.1</v>
      </c>
      <c r="E12" s="461">
        <v>9.6999999999999993</v>
      </c>
      <c r="F12" s="462">
        <v>-0.5</v>
      </c>
      <c r="G12" s="35"/>
      <c r="H12" s="35"/>
      <c r="I12" s="35"/>
      <c r="J12" s="35"/>
      <c r="K12" s="36"/>
      <c r="L12" s="451"/>
      <c r="M12" s="452"/>
      <c r="N12" s="452"/>
      <c r="O12" s="452"/>
      <c r="P12" s="452"/>
      <c r="Q12" s="452"/>
      <c r="R12" s="452"/>
      <c r="S12" s="452"/>
      <c r="T12" s="452"/>
      <c r="U12" s="452"/>
      <c r="V12" s="452"/>
      <c r="W12" s="452"/>
      <c r="X12" s="452"/>
      <c r="Y12" s="452"/>
    </row>
    <row r="13" spans="1:25" ht="15.6">
      <c r="A13" s="463" t="s">
        <v>368</v>
      </c>
      <c r="B13" s="460"/>
      <c r="C13" s="461"/>
      <c r="D13" s="461"/>
      <c r="E13" s="461"/>
      <c r="F13" s="462"/>
      <c r="G13" s="35"/>
      <c r="H13" s="35"/>
      <c r="I13" s="35"/>
      <c r="J13" s="35"/>
      <c r="K13" s="36"/>
      <c r="L13" s="451"/>
      <c r="M13" s="452"/>
      <c r="N13" s="452"/>
      <c r="O13" s="452"/>
      <c r="P13" s="452"/>
      <c r="Q13" s="452"/>
      <c r="R13" s="452"/>
      <c r="S13" s="452"/>
      <c r="T13" s="452"/>
      <c r="U13" s="452"/>
      <c r="V13" s="452"/>
      <c r="W13" s="452"/>
      <c r="X13" s="452"/>
      <c r="Y13" s="452"/>
    </row>
    <row r="14" spans="1:25" ht="15.6">
      <c r="A14" s="463" t="s">
        <v>154</v>
      </c>
      <c r="B14" s="468">
        <f>BS!B27</f>
        <v>2</v>
      </c>
      <c r="C14" s="469">
        <f>BS!C27</f>
        <v>28.9</v>
      </c>
      <c r="D14" s="469">
        <f>BS!D27</f>
        <v>29</v>
      </c>
      <c r="E14" s="469">
        <f>BS!E27</f>
        <v>38.700000000000003</v>
      </c>
      <c r="F14" s="470">
        <f>BS!F27</f>
        <v>38.200000000000003</v>
      </c>
      <c r="G14" s="473">
        <f>BS!G27</f>
        <v>38.200000000000003</v>
      </c>
      <c r="H14" s="473">
        <f>BS!H27</f>
        <v>38.200000000000003</v>
      </c>
      <c r="I14" s="473">
        <f>BS!I27</f>
        <v>38.200000000000003</v>
      </c>
      <c r="J14" s="473">
        <f>BS!J27</f>
        <v>38.200000000000003</v>
      </c>
      <c r="K14" s="474">
        <f>BS!K27</f>
        <v>38.200000000000003</v>
      </c>
      <c r="L14" s="451"/>
      <c r="M14" s="452"/>
      <c r="N14" s="452"/>
      <c r="O14" s="452"/>
      <c r="P14" s="452"/>
      <c r="Q14" s="452"/>
      <c r="R14" s="452"/>
      <c r="S14" s="452"/>
      <c r="T14" s="452"/>
      <c r="U14" s="452"/>
      <c r="V14" s="452"/>
      <c r="W14" s="452"/>
      <c r="X14" s="452"/>
      <c r="Y14" s="452"/>
    </row>
    <row r="15" spans="1:25" ht="15.6">
      <c r="A15" s="471"/>
      <c r="B15" s="460"/>
      <c r="C15" s="461"/>
      <c r="D15" s="461"/>
      <c r="E15" s="461"/>
      <c r="F15" s="462"/>
      <c r="G15" s="35"/>
      <c r="H15" s="35"/>
      <c r="I15" s="35"/>
      <c r="J15" s="35"/>
      <c r="K15" s="36"/>
      <c r="L15" s="451"/>
      <c r="M15" s="452"/>
      <c r="N15" s="452"/>
      <c r="O15" s="452"/>
      <c r="P15" s="452"/>
      <c r="Q15" s="452"/>
      <c r="R15" s="452"/>
      <c r="S15" s="452"/>
      <c r="T15" s="452"/>
      <c r="U15" s="452"/>
      <c r="V15" s="452"/>
      <c r="W15" s="452"/>
      <c r="X15" s="452"/>
      <c r="Y15" s="452"/>
    </row>
    <row r="16" spans="1:25" ht="15.6">
      <c r="A16" s="472" t="s">
        <v>134</v>
      </c>
      <c r="B16" s="460"/>
      <c r="C16" s="461"/>
      <c r="D16" s="461"/>
      <c r="E16" s="461"/>
      <c r="F16" s="462"/>
      <c r="G16" s="35"/>
      <c r="H16" s="35"/>
      <c r="I16" s="35"/>
      <c r="J16" s="35"/>
      <c r="K16" s="36"/>
      <c r="L16" s="451"/>
      <c r="M16" s="452"/>
      <c r="N16" s="452"/>
      <c r="O16" s="452"/>
      <c r="P16" s="452"/>
      <c r="Q16" s="452"/>
      <c r="R16" s="452"/>
      <c r="S16" s="452"/>
      <c r="T16" s="452"/>
      <c r="U16" s="452"/>
      <c r="V16" s="452"/>
      <c r="W16" s="452"/>
      <c r="X16" s="452"/>
      <c r="Y16" s="452"/>
    </row>
    <row r="17" spans="1:25" ht="15.6">
      <c r="A17" s="463" t="s">
        <v>152</v>
      </c>
      <c r="B17" s="460"/>
      <c r="C17" s="464">
        <f t="shared" ref="C17:K17" si="4">B20</f>
        <v>0</v>
      </c>
      <c r="D17" s="464">
        <f t="shared" si="4"/>
        <v>0</v>
      </c>
      <c r="E17" s="464">
        <f t="shared" si="4"/>
        <v>0</v>
      </c>
      <c r="F17" s="465">
        <f t="shared" si="4"/>
        <v>0</v>
      </c>
      <c r="G17" s="466">
        <f t="shared" si="4"/>
        <v>0</v>
      </c>
      <c r="H17" s="466">
        <f t="shared" si="4"/>
        <v>0</v>
      </c>
      <c r="I17" s="466">
        <f t="shared" si="4"/>
        <v>0</v>
      </c>
      <c r="J17" s="466">
        <f t="shared" si="4"/>
        <v>0</v>
      </c>
      <c r="K17" s="467">
        <f t="shared" si="4"/>
        <v>0</v>
      </c>
      <c r="L17" s="451"/>
      <c r="M17" s="452"/>
      <c r="N17" s="452"/>
      <c r="O17" s="452"/>
      <c r="P17" s="452"/>
      <c r="Q17" s="452"/>
      <c r="R17" s="452"/>
      <c r="S17" s="452"/>
      <c r="T17" s="452"/>
      <c r="U17" s="452"/>
      <c r="V17" s="452"/>
      <c r="W17" s="452"/>
      <c r="X17" s="452"/>
      <c r="Y17" s="452"/>
    </row>
    <row r="18" spans="1:25" ht="15.6">
      <c r="A18" s="463" t="s">
        <v>369</v>
      </c>
      <c r="B18" s="460"/>
      <c r="C18" s="461"/>
      <c r="D18" s="461"/>
      <c r="E18" s="461"/>
      <c r="F18" s="462"/>
      <c r="G18" s="35"/>
      <c r="H18" s="35"/>
      <c r="I18" s="35"/>
      <c r="J18" s="35"/>
      <c r="K18" s="36"/>
      <c r="L18" s="451"/>
      <c r="M18" s="452"/>
      <c r="N18" s="452"/>
      <c r="O18" s="452"/>
      <c r="P18" s="452"/>
      <c r="Q18" s="452"/>
      <c r="R18" s="452"/>
      <c r="S18" s="452"/>
      <c r="T18" s="452"/>
      <c r="U18" s="452"/>
      <c r="V18" s="452"/>
      <c r="W18" s="452"/>
      <c r="X18" s="452"/>
      <c r="Y18" s="452"/>
    </row>
    <row r="19" spans="1:25" ht="15.6">
      <c r="A19" s="463" t="s">
        <v>370</v>
      </c>
      <c r="B19" s="460"/>
      <c r="C19" s="461"/>
      <c r="D19" s="461"/>
      <c r="E19" s="461"/>
      <c r="F19" s="462"/>
      <c r="G19" s="35"/>
      <c r="H19" s="35"/>
      <c r="I19" s="35"/>
      <c r="J19" s="35"/>
      <c r="K19" s="36"/>
      <c r="L19" s="451"/>
      <c r="M19" s="452"/>
      <c r="N19" s="452"/>
      <c r="O19" s="452"/>
      <c r="P19" s="452"/>
      <c r="Q19" s="452"/>
      <c r="R19" s="452"/>
      <c r="S19" s="452"/>
      <c r="T19" s="452"/>
      <c r="U19" s="452"/>
      <c r="V19" s="452"/>
      <c r="W19" s="452"/>
      <c r="X19" s="452"/>
      <c r="Y19" s="452"/>
    </row>
    <row r="20" spans="1:25" ht="15.6">
      <c r="A20" s="463" t="s">
        <v>154</v>
      </c>
      <c r="B20" s="468">
        <f>BS!B29</f>
        <v>0</v>
      </c>
      <c r="C20" s="469">
        <f>BS!C29</f>
        <v>0</v>
      </c>
      <c r="D20" s="469">
        <f>BS!D29</f>
        <v>0</v>
      </c>
      <c r="E20" s="469">
        <f>BS!E29</f>
        <v>0</v>
      </c>
      <c r="F20" s="470">
        <f>BS!F29</f>
        <v>0</v>
      </c>
      <c r="G20" s="473">
        <f>BS!G29</f>
        <v>0</v>
      </c>
      <c r="H20" s="473">
        <f>BS!H29</f>
        <v>0</v>
      </c>
      <c r="I20" s="473">
        <f>BS!I29</f>
        <v>0</v>
      </c>
      <c r="J20" s="473">
        <f>BS!J29</f>
        <v>0</v>
      </c>
      <c r="K20" s="474">
        <f>BS!K29</f>
        <v>0</v>
      </c>
      <c r="L20" s="451"/>
      <c r="M20" s="452"/>
      <c r="N20" s="452"/>
      <c r="O20" s="452"/>
      <c r="P20" s="452"/>
      <c r="Q20" s="452"/>
      <c r="R20" s="452"/>
      <c r="S20" s="452"/>
      <c r="T20" s="452"/>
      <c r="U20" s="452"/>
      <c r="V20" s="452"/>
      <c r="W20" s="452"/>
      <c r="X20" s="452"/>
      <c r="Y20" s="452"/>
    </row>
    <row r="21" spans="1:25" ht="15.6">
      <c r="A21" s="463"/>
      <c r="B21" s="475"/>
      <c r="C21" s="464"/>
      <c r="D21" s="464"/>
      <c r="E21" s="464"/>
      <c r="F21" s="465"/>
      <c r="G21" s="35"/>
      <c r="H21" s="35"/>
      <c r="I21" s="35"/>
      <c r="J21" s="35"/>
      <c r="K21" s="36"/>
      <c r="L21" s="451"/>
      <c r="M21" s="452"/>
      <c r="N21" s="452"/>
      <c r="O21" s="452"/>
      <c r="P21" s="452"/>
      <c r="Q21" s="452"/>
      <c r="R21" s="452"/>
      <c r="S21" s="452"/>
      <c r="T21" s="452"/>
      <c r="U21" s="452"/>
      <c r="V21" s="452"/>
      <c r="W21" s="452"/>
      <c r="X21" s="452"/>
      <c r="Y21" s="452"/>
    </row>
    <row r="22" spans="1:25" ht="15.6">
      <c r="A22" s="472" t="s">
        <v>371</v>
      </c>
      <c r="B22" s="460">
        <f>'INPUT-Y'!F107</f>
        <v>49.1</v>
      </c>
      <c r="C22" s="461">
        <f>'INPUT-Y'!G107</f>
        <v>56.3</v>
      </c>
      <c r="D22" s="461">
        <f>'INPUT-Y'!H107</f>
        <v>61</v>
      </c>
      <c r="E22" s="461">
        <f>'INPUT-Y'!I107</f>
        <v>78.8</v>
      </c>
      <c r="F22" s="462">
        <f>'INPUT-Y'!J107</f>
        <v>87.3</v>
      </c>
      <c r="G22" s="35">
        <f t="shared" ref="G22:K22" si="5">F22*1.1</f>
        <v>96.03</v>
      </c>
      <c r="H22" s="35">
        <f t="shared" si="5"/>
        <v>105.63300000000001</v>
      </c>
      <c r="I22" s="35">
        <f t="shared" si="5"/>
        <v>116.19630000000002</v>
      </c>
      <c r="J22" s="35">
        <f t="shared" si="5"/>
        <v>127.81593000000004</v>
      </c>
      <c r="K22" s="36">
        <f t="shared" si="5"/>
        <v>140.59752300000005</v>
      </c>
      <c r="L22" s="451"/>
      <c r="M22" s="452"/>
      <c r="N22" s="452"/>
      <c r="O22" s="452"/>
      <c r="P22" s="452"/>
      <c r="Q22" s="452"/>
      <c r="R22" s="452"/>
      <c r="S22" s="452"/>
      <c r="T22" s="452"/>
      <c r="U22" s="452"/>
      <c r="V22" s="452"/>
      <c r="W22" s="452"/>
      <c r="X22" s="452"/>
      <c r="Y22" s="452"/>
    </row>
    <row r="23" spans="1:25" ht="15.6">
      <c r="A23" s="476"/>
      <c r="B23" s="24"/>
      <c r="C23" s="461"/>
      <c r="D23" s="461"/>
      <c r="E23" s="461"/>
      <c r="F23" s="462"/>
      <c r="G23" s="35"/>
      <c r="H23" s="35"/>
      <c r="I23" s="35"/>
      <c r="J23" s="35"/>
      <c r="K23" s="36"/>
      <c r="L23" s="451"/>
      <c r="M23" s="452"/>
      <c r="N23" s="452"/>
      <c r="O23" s="452"/>
      <c r="P23" s="452"/>
      <c r="Q23" s="452"/>
      <c r="R23" s="452"/>
      <c r="S23" s="452"/>
      <c r="T23" s="452"/>
      <c r="U23" s="452"/>
      <c r="V23" s="452"/>
      <c r="W23" s="452"/>
      <c r="X23" s="452"/>
      <c r="Y23" s="452"/>
    </row>
    <row r="24" spans="1:25" ht="15.6">
      <c r="A24" s="472" t="s">
        <v>136</v>
      </c>
      <c r="B24" s="24"/>
      <c r="C24" s="461"/>
      <c r="D24" s="461"/>
      <c r="E24" s="461"/>
      <c r="F24" s="462"/>
      <c r="G24" s="35"/>
      <c r="H24" s="35"/>
      <c r="I24" s="35"/>
      <c r="J24" s="35"/>
      <c r="K24" s="36"/>
      <c r="L24" s="451"/>
      <c r="M24" s="452"/>
      <c r="N24" s="452"/>
      <c r="O24" s="452"/>
      <c r="P24" s="452"/>
      <c r="Q24" s="452"/>
      <c r="R24" s="452"/>
      <c r="S24" s="452"/>
      <c r="T24" s="452"/>
      <c r="U24" s="452"/>
      <c r="V24" s="452"/>
      <c r="W24" s="452"/>
      <c r="X24" s="452"/>
      <c r="Y24" s="452"/>
    </row>
    <row r="25" spans="1:25" ht="15.6">
      <c r="A25" s="463" t="s">
        <v>152</v>
      </c>
      <c r="B25" s="477">
        <f>'INPUT-Y'!E110</f>
        <v>93.8</v>
      </c>
      <c r="C25" s="464">
        <f t="shared" ref="C25:K25" si="6">B29</f>
        <v>168.4</v>
      </c>
      <c r="D25" s="464">
        <f t="shared" si="6"/>
        <v>120</v>
      </c>
      <c r="E25" s="464">
        <f t="shared" si="6"/>
        <v>145.1</v>
      </c>
      <c r="F25" s="465">
        <f t="shared" si="6"/>
        <v>164.8</v>
      </c>
      <c r="G25" s="466">
        <f t="shared" si="6"/>
        <v>220</v>
      </c>
      <c r="H25" s="466">
        <f t="shared" si="6"/>
        <v>559.96399815196116</v>
      </c>
      <c r="I25" s="466">
        <f t="shared" si="6"/>
        <v>978.71115671557448</v>
      </c>
      <c r="J25" s="466">
        <f t="shared" si="6"/>
        <v>1496.0890606102612</v>
      </c>
      <c r="K25" s="467">
        <f t="shared" si="6"/>
        <v>2027.3185633323778</v>
      </c>
      <c r="L25" s="451"/>
      <c r="M25" s="452"/>
      <c r="N25" s="452"/>
      <c r="O25" s="452"/>
      <c r="P25" s="452"/>
      <c r="Q25" s="452"/>
      <c r="R25" s="452"/>
      <c r="S25" s="452"/>
      <c r="T25" s="452"/>
      <c r="U25" s="452"/>
      <c r="V25" s="452"/>
      <c r="W25" s="452"/>
      <c r="X25" s="452"/>
      <c r="Y25" s="452"/>
    </row>
    <row r="26" spans="1:25" ht="15.6">
      <c r="A26" s="463" t="s">
        <v>372</v>
      </c>
      <c r="B26" s="475">
        <f>IS!B18</f>
        <v>134.4</v>
      </c>
      <c r="C26" s="464">
        <f>IS!C18</f>
        <v>209.3</v>
      </c>
      <c r="D26" s="464">
        <f>IS!D18</f>
        <v>187.3</v>
      </c>
      <c r="E26" s="464">
        <f>IS!E18</f>
        <v>290.5</v>
      </c>
      <c r="F26" s="465">
        <f>IS!F18</f>
        <v>295</v>
      </c>
      <c r="G26" s="35">
        <f>IS!G18</f>
        <v>339.96399815196116</v>
      </c>
      <c r="H26" s="35">
        <f>IS!H18</f>
        <v>418.74715856361331</v>
      </c>
      <c r="I26" s="35">
        <f>IS!I18</f>
        <v>517.37790389468671</v>
      </c>
      <c r="J26" s="35">
        <f>IS!J18</f>
        <v>531.22950272211676</v>
      </c>
      <c r="K26" s="36">
        <f>IS!K18</f>
        <v>549.96852724101871</v>
      </c>
      <c r="L26" s="451"/>
      <c r="M26" s="452"/>
      <c r="N26" s="452"/>
      <c r="O26" s="452"/>
      <c r="P26" s="452"/>
      <c r="Q26" s="452"/>
      <c r="R26" s="452"/>
      <c r="S26" s="452"/>
      <c r="T26" s="452"/>
      <c r="U26" s="452"/>
      <c r="V26" s="452"/>
      <c r="W26" s="452"/>
      <c r="X26" s="452"/>
      <c r="Y26" s="452"/>
    </row>
    <row r="27" spans="1:25" ht="15.6">
      <c r="A27" s="478" t="s">
        <v>373</v>
      </c>
      <c r="B27" s="460"/>
      <c r="C27" s="461"/>
      <c r="D27" s="461"/>
      <c r="E27" s="461"/>
      <c r="F27" s="462"/>
      <c r="G27" s="35"/>
      <c r="H27" s="35"/>
      <c r="I27" s="35"/>
      <c r="J27" s="35"/>
      <c r="K27" s="36"/>
      <c r="L27" s="451"/>
      <c r="M27" s="452"/>
      <c r="N27" s="452"/>
      <c r="O27" s="452"/>
      <c r="P27" s="452"/>
      <c r="Q27" s="452"/>
      <c r="R27" s="452"/>
      <c r="S27" s="452"/>
      <c r="T27" s="452"/>
      <c r="U27" s="452"/>
      <c r="V27" s="452"/>
      <c r="W27" s="452"/>
      <c r="X27" s="452"/>
      <c r="Y27" s="452"/>
    </row>
    <row r="28" spans="1:25" ht="28.2">
      <c r="A28" s="478" t="s">
        <v>374</v>
      </c>
      <c r="B28" s="460"/>
      <c r="C28" s="461"/>
      <c r="D28" s="461"/>
      <c r="E28" s="461"/>
      <c r="F28" s="462"/>
      <c r="G28" s="35"/>
      <c r="H28" s="35"/>
      <c r="I28" s="35"/>
      <c r="J28" s="35"/>
      <c r="K28" s="36"/>
      <c r="L28" s="451"/>
      <c r="M28" s="452"/>
      <c r="N28" s="452"/>
      <c r="O28" s="452"/>
      <c r="P28" s="452"/>
      <c r="Q28" s="452"/>
      <c r="R28" s="452"/>
      <c r="S28" s="452"/>
      <c r="T28" s="452"/>
      <c r="U28" s="452"/>
      <c r="V28" s="452"/>
      <c r="W28" s="452"/>
      <c r="X28" s="452"/>
      <c r="Y28" s="452"/>
    </row>
    <row r="29" spans="1:25" ht="15.6">
      <c r="A29" s="463" t="s">
        <v>375</v>
      </c>
      <c r="B29" s="475">
        <f>BS!B31</f>
        <v>168.4</v>
      </c>
      <c r="C29" s="464">
        <f>BS!C31</f>
        <v>120</v>
      </c>
      <c r="D29" s="464">
        <f>BS!D31</f>
        <v>145.1</v>
      </c>
      <c r="E29" s="464">
        <f>BS!E31</f>
        <v>164.8</v>
      </c>
      <c r="F29" s="465">
        <f>BS!F31</f>
        <v>220</v>
      </c>
      <c r="G29" s="35">
        <f t="shared" ref="G29:K29" si="7">SUM(G25:G28)</f>
        <v>559.96399815196116</v>
      </c>
      <c r="H29" s="35">
        <f t="shared" si="7"/>
        <v>978.71115671557448</v>
      </c>
      <c r="I29" s="35">
        <f t="shared" si="7"/>
        <v>1496.0890606102612</v>
      </c>
      <c r="J29" s="35">
        <f t="shared" si="7"/>
        <v>2027.3185633323778</v>
      </c>
      <c r="K29" s="36">
        <f t="shared" si="7"/>
        <v>2577.2870905733967</v>
      </c>
      <c r="L29" s="451"/>
      <c r="M29" s="452"/>
      <c r="N29" s="452"/>
      <c r="O29" s="452"/>
      <c r="P29" s="452"/>
      <c r="Q29" s="452"/>
      <c r="R29" s="452"/>
      <c r="S29" s="452"/>
      <c r="T29" s="452"/>
      <c r="U29" s="452"/>
      <c r="V29" s="452"/>
      <c r="W29" s="452"/>
      <c r="X29" s="452"/>
      <c r="Y29" s="452"/>
    </row>
    <row r="30" spans="1:25" ht="15.6">
      <c r="A30" s="463" t="s">
        <v>376</v>
      </c>
      <c r="B30" s="460"/>
      <c r="C30" s="461"/>
      <c r="D30" s="461"/>
      <c r="E30" s="461"/>
      <c r="F30" s="462"/>
      <c r="G30" s="35">
        <f t="shared" ref="G30:K30" si="8">G31*G8</f>
        <v>86.235240000000005</v>
      </c>
      <c r="H30" s="35">
        <f t="shared" si="8"/>
        <v>0</v>
      </c>
      <c r="I30" s="35">
        <f t="shared" si="8"/>
        <v>0</v>
      </c>
      <c r="J30" s="35">
        <f t="shared" si="8"/>
        <v>0</v>
      </c>
      <c r="K30" s="36">
        <f t="shared" si="8"/>
        <v>0</v>
      </c>
      <c r="L30" s="451"/>
      <c r="M30" s="452"/>
      <c r="N30" s="452"/>
      <c r="O30" s="452"/>
      <c r="P30" s="452"/>
      <c r="Q30" s="452"/>
      <c r="R30" s="452"/>
      <c r="S30" s="452"/>
      <c r="T30" s="452"/>
      <c r="U30" s="452"/>
      <c r="V30" s="452"/>
      <c r="W30" s="452"/>
      <c r="X30" s="452"/>
      <c r="Y30" s="452"/>
    </row>
    <row r="31" spans="1:25" ht="15.6">
      <c r="A31" s="463" t="s">
        <v>377</v>
      </c>
      <c r="B31" s="479">
        <f>-'INPUT-Y'!C182/'INPUT-Y'!C99</f>
        <v>0.17861923886020273</v>
      </c>
      <c r="C31" s="112">
        <f>-'INPUT-Y'!D182/'INPUT-Y'!D99</f>
        <v>4.1576584067852987E-2</v>
      </c>
      <c r="D31" s="112">
        <f>-'INPUT-Y'!E182/'INPUT-Y'!E99</f>
        <v>4.8731373338703178E-2</v>
      </c>
      <c r="E31" s="112">
        <f>-'INPUT-Y'!F182/'INPUT-Y'!F99</f>
        <v>5.3027251980131564E-2</v>
      </c>
      <c r="F31" s="113">
        <f>-'INPUT-Y'!G182/'INPUT-Y'!G99</f>
        <v>3.0384179627150069E-2</v>
      </c>
      <c r="G31" s="91">
        <f>3%</f>
        <v>0.03</v>
      </c>
      <c r="H31" s="91">
        <v>0</v>
      </c>
      <c r="I31" s="91">
        <v>0</v>
      </c>
      <c r="J31" s="91">
        <v>0</v>
      </c>
      <c r="K31" s="92">
        <v>0</v>
      </c>
      <c r="L31" s="451"/>
      <c r="M31" s="452"/>
      <c r="N31" s="452"/>
      <c r="O31" s="452"/>
      <c r="P31" s="452"/>
      <c r="Q31" s="452"/>
      <c r="R31" s="452"/>
      <c r="S31" s="452"/>
      <c r="T31" s="452"/>
      <c r="U31" s="452"/>
      <c r="V31" s="452"/>
      <c r="W31" s="452"/>
      <c r="X31" s="452"/>
      <c r="Y31" s="452"/>
    </row>
    <row r="32" spans="1:25" ht="15.6">
      <c r="A32" s="480" t="s">
        <v>137</v>
      </c>
      <c r="B32" s="481">
        <f>BS!B32</f>
        <v>186.4</v>
      </c>
      <c r="C32" s="482">
        <f>BS!C32</f>
        <v>141.80000000000001</v>
      </c>
      <c r="D32" s="482">
        <f>BS!D32</f>
        <v>231.1</v>
      </c>
      <c r="E32" s="482">
        <f>BS!E32</f>
        <v>258.5</v>
      </c>
      <c r="F32" s="483">
        <f>BS!F32</f>
        <v>410.7</v>
      </c>
      <c r="G32" s="484">
        <f>BS!G32</f>
        <v>412.88249999999999</v>
      </c>
      <c r="H32" s="484">
        <f>BS!H32</f>
        <v>415.174125</v>
      </c>
      <c r="I32" s="484">
        <f>BS!I32</f>
        <v>417.58033125000003</v>
      </c>
      <c r="J32" s="484">
        <f>BS!J32</f>
        <v>420.10684781250001</v>
      </c>
      <c r="K32" s="485">
        <f>BS!K32</f>
        <v>422.75969020312499</v>
      </c>
      <c r="L32" s="451"/>
      <c r="M32" s="452"/>
      <c r="N32" s="452"/>
      <c r="O32" s="452"/>
      <c r="P32" s="452"/>
      <c r="Q32" s="452"/>
      <c r="R32" s="452"/>
      <c r="S32" s="452"/>
      <c r="T32" s="452"/>
      <c r="U32" s="452"/>
      <c r="V32" s="452"/>
      <c r="W32" s="452"/>
      <c r="X32" s="452"/>
      <c r="Y32" s="452"/>
    </row>
    <row r="33" spans="1:25" ht="15.6">
      <c r="A33" s="486"/>
      <c r="B33" s="486"/>
      <c r="C33" s="486"/>
      <c r="D33" s="486"/>
      <c r="E33" s="486"/>
      <c r="F33" s="486"/>
      <c r="G33" s="486"/>
      <c r="H33" s="486"/>
      <c r="I33" s="486"/>
      <c r="J33" s="486"/>
      <c r="K33" s="486"/>
      <c r="L33" s="452"/>
      <c r="M33" s="452"/>
      <c r="N33" s="452"/>
      <c r="O33" s="452"/>
      <c r="P33" s="452"/>
      <c r="Q33" s="452"/>
      <c r="R33" s="452"/>
      <c r="S33" s="452"/>
      <c r="T33" s="452"/>
      <c r="U33" s="452"/>
      <c r="V33" s="452"/>
      <c r="W33" s="452"/>
      <c r="X33" s="452"/>
      <c r="Y33" s="452"/>
    </row>
    <row r="34" spans="1:25" ht="15.6">
      <c r="A34" s="452"/>
      <c r="B34" s="452"/>
      <c r="C34" s="452"/>
      <c r="D34" s="452"/>
      <c r="E34" s="452"/>
      <c r="F34" s="452"/>
      <c r="G34" s="452"/>
      <c r="H34" s="452"/>
      <c r="I34" s="452"/>
      <c r="J34" s="452"/>
      <c r="K34" s="452"/>
      <c r="L34" s="452"/>
      <c r="M34" s="452"/>
      <c r="N34" s="452"/>
      <c r="O34" s="452"/>
      <c r="P34" s="452"/>
      <c r="Q34" s="452"/>
      <c r="R34" s="452"/>
      <c r="S34" s="452"/>
      <c r="T34" s="452"/>
      <c r="U34" s="452"/>
      <c r="V34" s="452"/>
      <c r="W34" s="452"/>
      <c r="X34" s="452"/>
      <c r="Y34" s="452"/>
    </row>
    <row r="35" spans="1:25" ht="15.6">
      <c r="A35" s="452"/>
      <c r="B35" s="452"/>
      <c r="C35" s="452"/>
      <c r="D35" s="452"/>
      <c r="E35" s="452"/>
      <c r="F35" s="452"/>
      <c r="G35" s="452"/>
      <c r="H35" s="452"/>
      <c r="I35" s="452"/>
      <c r="J35" s="452"/>
      <c r="K35" s="452"/>
      <c r="L35" s="452"/>
      <c r="M35" s="452"/>
      <c r="N35" s="452"/>
      <c r="O35" s="452"/>
      <c r="P35" s="452"/>
      <c r="Q35" s="452"/>
      <c r="R35" s="452"/>
      <c r="S35" s="452"/>
      <c r="T35" s="452"/>
      <c r="U35" s="452"/>
      <c r="V35" s="452"/>
      <c r="W35" s="452"/>
      <c r="X35" s="452"/>
      <c r="Y35" s="452"/>
    </row>
    <row r="36" spans="1:25" ht="15.6">
      <c r="A36" s="452"/>
      <c r="B36" s="452"/>
      <c r="C36" s="452"/>
      <c r="D36" s="452"/>
      <c r="E36" s="452"/>
      <c r="F36" s="452"/>
      <c r="G36" s="452"/>
      <c r="H36" s="452"/>
      <c r="I36" s="452"/>
      <c r="J36" s="452"/>
      <c r="K36" s="452"/>
      <c r="L36" s="452"/>
      <c r="M36" s="452"/>
      <c r="N36" s="452"/>
      <c r="O36" s="452"/>
      <c r="P36" s="452"/>
      <c r="Q36" s="452"/>
      <c r="R36" s="452"/>
      <c r="S36" s="452"/>
      <c r="T36" s="452"/>
      <c r="U36" s="452"/>
      <c r="V36" s="452"/>
      <c r="W36" s="452"/>
      <c r="X36" s="452"/>
      <c r="Y36" s="452"/>
    </row>
    <row r="37" spans="1:25" ht="15.6">
      <c r="A37" s="452"/>
      <c r="B37" s="452"/>
      <c r="C37" s="452"/>
      <c r="D37" s="452"/>
      <c r="E37" s="452"/>
      <c r="F37" s="452"/>
      <c r="G37" s="452"/>
      <c r="H37" s="452"/>
      <c r="I37" s="452"/>
      <c r="J37" s="452"/>
      <c r="K37" s="452"/>
      <c r="L37" s="452"/>
      <c r="M37" s="452"/>
      <c r="N37" s="452"/>
      <c r="O37" s="452"/>
      <c r="P37" s="452"/>
      <c r="Q37" s="452"/>
      <c r="R37" s="452"/>
      <c r="S37" s="452"/>
      <c r="T37" s="452"/>
      <c r="U37" s="452"/>
      <c r="V37" s="452"/>
      <c r="W37" s="452"/>
      <c r="X37" s="452"/>
      <c r="Y37" s="452"/>
    </row>
    <row r="38" spans="1:25" ht="15.6">
      <c r="A38" s="452"/>
      <c r="B38" s="452"/>
      <c r="C38" s="452"/>
      <c r="D38" s="452"/>
      <c r="E38" s="452"/>
      <c r="F38" s="452"/>
      <c r="G38" s="452"/>
      <c r="H38" s="452"/>
      <c r="I38" s="452"/>
      <c r="J38" s="452"/>
      <c r="K38" s="452"/>
      <c r="L38" s="452"/>
      <c r="M38" s="452"/>
      <c r="N38" s="452"/>
      <c r="O38" s="452"/>
      <c r="P38" s="452"/>
      <c r="Q38" s="452"/>
      <c r="R38" s="452"/>
      <c r="S38" s="452"/>
      <c r="T38" s="452"/>
      <c r="U38" s="452"/>
      <c r="V38" s="452"/>
      <c r="W38" s="452"/>
      <c r="X38" s="452"/>
      <c r="Y38" s="452"/>
    </row>
    <row r="39" spans="1:25" ht="15.6">
      <c r="A39" s="452"/>
      <c r="B39" s="452"/>
      <c r="C39" s="452"/>
      <c r="D39" s="452"/>
      <c r="E39" s="452"/>
      <c r="F39" s="452"/>
      <c r="G39" s="452"/>
      <c r="H39" s="452"/>
      <c r="I39" s="452"/>
      <c r="J39" s="452"/>
      <c r="K39" s="452"/>
      <c r="L39" s="452"/>
      <c r="M39" s="452"/>
      <c r="N39" s="452"/>
      <c r="O39" s="452"/>
      <c r="P39" s="452"/>
      <c r="Q39" s="452"/>
      <c r="R39" s="452"/>
      <c r="S39" s="452"/>
      <c r="T39" s="452"/>
      <c r="U39" s="452"/>
      <c r="V39" s="452"/>
      <c r="W39" s="452"/>
      <c r="X39" s="452"/>
      <c r="Y39" s="452"/>
    </row>
    <row r="40" spans="1:25" ht="15.6">
      <c r="A40" s="452"/>
      <c r="B40" s="452"/>
      <c r="C40" s="452"/>
      <c r="D40" s="452"/>
      <c r="E40" s="452"/>
      <c r="F40" s="452"/>
      <c r="G40" s="452"/>
      <c r="H40" s="452"/>
      <c r="I40" s="452"/>
      <c r="J40" s="452"/>
      <c r="K40" s="452"/>
      <c r="L40" s="452"/>
      <c r="M40" s="452"/>
      <c r="N40" s="452"/>
      <c r="O40" s="452"/>
      <c r="P40" s="452"/>
      <c r="Q40" s="452"/>
      <c r="R40" s="452"/>
      <c r="S40" s="452"/>
      <c r="T40" s="452"/>
      <c r="U40" s="452"/>
      <c r="V40" s="452"/>
      <c r="W40" s="452"/>
      <c r="X40" s="452"/>
      <c r="Y40" s="452"/>
    </row>
    <row r="41" spans="1:25" ht="15.6">
      <c r="A41" s="452"/>
      <c r="B41" s="452"/>
      <c r="C41" s="452"/>
      <c r="D41" s="452"/>
      <c r="E41" s="452"/>
      <c r="F41" s="452"/>
      <c r="G41" s="452"/>
      <c r="H41" s="452"/>
      <c r="I41" s="452"/>
      <c r="J41" s="452"/>
      <c r="K41" s="452"/>
      <c r="L41" s="452"/>
      <c r="M41" s="452"/>
      <c r="N41" s="452"/>
      <c r="O41" s="452"/>
      <c r="P41" s="452"/>
      <c r="Q41" s="452"/>
      <c r="R41" s="452"/>
      <c r="S41" s="452"/>
      <c r="T41" s="452"/>
      <c r="U41" s="452"/>
      <c r="V41" s="452"/>
      <c r="W41" s="452"/>
      <c r="X41" s="452"/>
      <c r="Y41" s="452"/>
    </row>
    <row r="42" spans="1:25" ht="15.6">
      <c r="A42" s="452"/>
      <c r="B42" s="452"/>
      <c r="C42" s="452"/>
      <c r="D42" s="452"/>
      <c r="E42" s="452"/>
      <c r="F42" s="452"/>
      <c r="G42" s="452"/>
      <c r="H42" s="452"/>
      <c r="I42" s="452"/>
      <c r="J42" s="452"/>
      <c r="K42" s="452"/>
      <c r="L42" s="452"/>
      <c r="M42" s="452"/>
      <c r="N42" s="452"/>
      <c r="O42" s="452"/>
      <c r="P42" s="452"/>
      <c r="Q42" s="452"/>
      <c r="R42" s="452"/>
      <c r="S42" s="452"/>
      <c r="T42" s="452"/>
      <c r="U42" s="452"/>
      <c r="V42" s="452"/>
      <c r="W42" s="452"/>
      <c r="X42" s="452"/>
      <c r="Y42" s="452"/>
    </row>
    <row r="43" spans="1:25" ht="15.6">
      <c r="A43" s="452"/>
      <c r="B43" s="452"/>
      <c r="C43" s="452"/>
      <c r="D43" s="452"/>
      <c r="E43" s="452"/>
      <c r="F43" s="452"/>
      <c r="G43" s="452"/>
      <c r="H43" s="452"/>
      <c r="I43" s="452"/>
      <c r="J43" s="452"/>
      <c r="K43" s="452"/>
      <c r="L43" s="452"/>
      <c r="M43" s="452"/>
      <c r="N43" s="452"/>
      <c r="O43" s="452"/>
      <c r="P43" s="452"/>
      <c r="Q43" s="452"/>
      <c r="R43" s="452"/>
      <c r="S43" s="452"/>
      <c r="T43" s="452"/>
      <c r="U43" s="452"/>
      <c r="V43" s="452"/>
      <c r="W43" s="452"/>
      <c r="X43" s="452"/>
      <c r="Y43" s="452"/>
    </row>
    <row r="44" spans="1:25" ht="15.6">
      <c r="A44" s="452"/>
      <c r="B44" s="452"/>
      <c r="C44" s="452"/>
      <c r="D44" s="452"/>
      <c r="E44" s="452"/>
      <c r="F44" s="452"/>
      <c r="G44" s="452"/>
      <c r="H44" s="452"/>
      <c r="I44" s="452"/>
      <c r="J44" s="452"/>
      <c r="K44" s="452"/>
      <c r="L44" s="452"/>
      <c r="M44" s="452"/>
      <c r="N44" s="452"/>
      <c r="O44" s="452"/>
      <c r="P44" s="452"/>
      <c r="Q44" s="452"/>
      <c r="R44" s="452"/>
      <c r="S44" s="452"/>
      <c r="T44" s="452"/>
      <c r="U44" s="452"/>
      <c r="V44" s="452"/>
      <c r="W44" s="452"/>
      <c r="X44" s="452"/>
      <c r="Y44" s="452"/>
    </row>
    <row r="45" spans="1:25" ht="15.6">
      <c r="A45" s="452"/>
      <c r="B45" s="452"/>
      <c r="C45" s="452"/>
      <c r="D45" s="452"/>
      <c r="E45" s="452"/>
      <c r="F45" s="452"/>
      <c r="G45" s="452"/>
      <c r="H45" s="452"/>
      <c r="I45" s="452"/>
      <c r="J45" s="452"/>
      <c r="K45" s="452"/>
      <c r="L45" s="452"/>
      <c r="M45" s="452"/>
      <c r="N45" s="452"/>
      <c r="O45" s="452"/>
      <c r="P45" s="452"/>
      <c r="Q45" s="452"/>
      <c r="R45" s="452"/>
      <c r="S45" s="452"/>
      <c r="T45" s="452"/>
      <c r="U45" s="452"/>
      <c r="V45" s="452"/>
      <c r="W45" s="452"/>
      <c r="X45" s="452"/>
      <c r="Y45" s="452"/>
    </row>
    <row r="46" spans="1:25" ht="15.6">
      <c r="A46" s="452"/>
      <c r="B46" s="452"/>
      <c r="C46" s="452"/>
      <c r="D46" s="452"/>
      <c r="E46" s="452"/>
      <c r="F46" s="452"/>
      <c r="G46" s="452"/>
      <c r="H46" s="452"/>
      <c r="I46" s="452"/>
      <c r="J46" s="452"/>
      <c r="K46" s="452"/>
      <c r="L46" s="452"/>
      <c r="M46" s="452"/>
      <c r="N46" s="452"/>
      <c r="O46" s="452"/>
      <c r="P46" s="452"/>
      <c r="Q46" s="452"/>
      <c r="R46" s="452"/>
      <c r="S46" s="452"/>
      <c r="T46" s="452"/>
      <c r="U46" s="452"/>
      <c r="V46" s="452"/>
      <c r="W46" s="452"/>
      <c r="X46" s="452"/>
      <c r="Y46" s="452"/>
    </row>
    <row r="47" spans="1:25" ht="15.6">
      <c r="A47" s="452"/>
      <c r="B47" s="452"/>
      <c r="C47" s="452"/>
      <c r="D47" s="452"/>
      <c r="E47" s="452"/>
      <c r="F47" s="452"/>
      <c r="G47" s="452"/>
      <c r="H47" s="452"/>
      <c r="I47" s="452"/>
      <c r="J47" s="452"/>
      <c r="K47" s="452"/>
      <c r="L47" s="452"/>
      <c r="M47" s="452"/>
      <c r="N47" s="452"/>
      <c r="O47" s="452"/>
      <c r="P47" s="452"/>
      <c r="Q47" s="452"/>
      <c r="R47" s="452"/>
      <c r="S47" s="452"/>
      <c r="T47" s="452"/>
      <c r="U47" s="452"/>
      <c r="V47" s="452"/>
      <c r="W47" s="452"/>
      <c r="X47" s="452"/>
      <c r="Y47" s="452"/>
    </row>
    <row r="48" spans="1:25" ht="15.6">
      <c r="A48" s="452"/>
      <c r="B48" s="452"/>
      <c r="C48" s="452"/>
      <c r="D48" s="452"/>
      <c r="E48" s="452"/>
      <c r="F48" s="452"/>
      <c r="G48" s="452"/>
      <c r="H48" s="452"/>
      <c r="I48" s="452"/>
      <c r="J48" s="452"/>
      <c r="K48" s="452"/>
      <c r="L48" s="452"/>
      <c r="M48" s="452"/>
      <c r="N48" s="452"/>
      <c r="O48" s="452"/>
      <c r="P48" s="452"/>
      <c r="Q48" s="452"/>
      <c r="R48" s="452"/>
      <c r="S48" s="452"/>
      <c r="T48" s="452"/>
      <c r="U48" s="452"/>
      <c r="V48" s="452"/>
      <c r="W48" s="452"/>
      <c r="X48" s="452"/>
      <c r="Y48" s="452"/>
    </row>
    <row r="49" spans="1:25" ht="15.6">
      <c r="A49" s="452"/>
      <c r="B49" s="452"/>
      <c r="C49" s="452"/>
      <c r="D49" s="452"/>
      <c r="E49" s="452"/>
      <c r="F49" s="452"/>
      <c r="G49" s="452"/>
      <c r="H49" s="452"/>
      <c r="I49" s="452"/>
      <c r="J49" s="452"/>
      <c r="K49" s="452"/>
      <c r="L49" s="452"/>
      <c r="M49" s="452"/>
      <c r="N49" s="452"/>
      <c r="O49" s="452"/>
      <c r="P49" s="452"/>
      <c r="Q49" s="452"/>
      <c r="R49" s="452"/>
      <c r="S49" s="452"/>
      <c r="T49" s="452"/>
      <c r="U49" s="452"/>
      <c r="V49" s="452"/>
      <c r="W49" s="452"/>
      <c r="X49" s="452"/>
      <c r="Y49" s="452"/>
    </row>
    <row r="50" spans="1:25" ht="15.6">
      <c r="A50" s="452"/>
      <c r="B50" s="452"/>
      <c r="C50" s="452"/>
      <c r="D50" s="452"/>
      <c r="E50" s="452"/>
      <c r="F50" s="452"/>
      <c r="G50" s="452"/>
      <c r="H50" s="452"/>
      <c r="I50" s="452"/>
      <c r="J50" s="452"/>
      <c r="K50" s="452"/>
      <c r="L50" s="452"/>
      <c r="M50" s="452"/>
      <c r="N50" s="452"/>
      <c r="O50" s="452"/>
      <c r="P50" s="452"/>
      <c r="Q50" s="452"/>
      <c r="R50" s="452"/>
      <c r="S50" s="452"/>
      <c r="T50" s="452"/>
      <c r="U50" s="452"/>
      <c r="V50" s="452"/>
      <c r="W50" s="452"/>
      <c r="X50" s="452"/>
      <c r="Y50" s="452"/>
    </row>
    <row r="51" spans="1:25" ht="15.6">
      <c r="A51" s="452"/>
      <c r="B51" s="452"/>
      <c r="C51" s="452"/>
      <c r="D51" s="452"/>
      <c r="E51" s="452"/>
      <c r="F51" s="452"/>
      <c r="G51" s="452"/>
      <c r="H51" s="452"/>
      <c r="I51" s="452"/>
      <c r="J51" s="452"/>
      <c r="K51" s="452"/>
      <c r="L51" s="452"/>
      <c r="M51" s="452"/>
      <c r="N51" s="452"/>
      <c r="O51" s="452"/>
      <c r="P51" s="452"/>
      <c r="Q51" s="452"/>
      <c r="R51" s="452"/>
      <c r="S51" s="452"/>
      <c r="T51" s="452"/>
      <c r="U51" s="452"/>
      <c r="V51" s="452"/>
      <c r="W51" s="452"/>
      <c r="X51" s="452"/>
      <c r="Y51" s="452"/>
    </row>
    <row r="52" spans="1:25" ht="15.6">
      <c r="A52" s="452"/>
      <c r="B52" s="452"/>
      <c r="C52" s="452"/>
      <c r="D52" s="452"/>
      <c r="E52" s="452"/>
      <c r="F52" s="452"/>
      <c r="G52" s="452"/>
      <c r="H52" s="452"/>
      <c r="I52" s="452"/>
      <c r="J52" s="452"/>
      <c r="K52" s="452"/>
      <c r="L52" s="452"/>
      <c r="M52" s="452"/>
      <c r="N52" s="452"/>
      <c r="O52" s="452"/>
      <c r="P52" s="452"/>
      <c r="Q52" s="452"/>
      <c r="R52" s="452"/>
      <c r="S52" s="452"/>
      <c r="T52" s="452"/>
      <c r="U52" s="452"/>
      <c r="V52" s="452"/>
      <c r="W52" s="452"/>
      <c r="X52" s="452"/>
      <c r="Y52" s="452"/>
    </row>
    <row r="53" spans="1:25" ht="15.6">
      <c r="A53" s="452"/>
      <c r="B53" s="452"/>
      <c r="C53" s="452"/>
      <c r="D53" s="452"/>
      <c r="E53" s="452"/>
      <c r="F53" s="452"/>
      <c r="G53" s="452"/>
      <c r="H53" s="452"/>
      <c r="I53" s="452"/>
      <c r="J53" s="452"/>
      <c r="K53" s="452"/>
      <c r="L53" s="452"/>
      <c r="M53" s="452"/>
      <c r="N53" s="452"/>
      <c r="O53" s="452"/>
      <c r="P53" s="452"/>
      <c r="Q53" s="452"/>
      <c r="R53" s="452"/>
      <c r="S53" s="452"/>
      <c r="T53" s="452"/>
      <c r="U53" s="452"/>
      <c r="V53" s="452"/>
      <c r="W53" s="452"/>
      <c r="X53" s="452"/>
      <c r="Y53" s="452"/>
    </row>
    <row r="54" spans="1:25" ht="15.6">
      <c r="A54" s="452"/>
      <c r="B54" s="452"/>
      <c r="C54" s="452"/>
      <c r="D54" s="452"/>
      <c r="E54" s="452"/>
      <c r="F54" s="452"/>
      <c r="G54" s="452"/>
      <c r="H54" s="452"/>
      <c r="I54" s="452"/>
      <c r="J54" s="452"/>
      <c r="K54" s="452"/>
      <c r="L54" s="452"/>
      <c r="M54" s="452"/>
      <c r="N54" s="452"/>
      <c r="O54" s="452"/>
      <c r="P54" s="452"/>
      <c r="Q54" s="452"/>
      <c r="R54" s="452"/>
      <c r="S54" s="452"/>
      <c r="T54" s="452"/>
      <c r="U54" s="452"/>
      <c r="V54" s="452"/>
      <c r="W54" s="452"/>
      <c r="X54" s="452"/>
      <c r="Y54" s="452"/>
    </row>
    <row r="55" spans="1:25" ht="15.6">
      <c r="A55" s="452"/>
      <c r="B55" s="452"/>
      <c r="C55" s="452"/>
      <c r="D55" s="452"/>
      <c r="E55" s="452"/>
      <c r="F55" s="452"/>
      <c r="G55" s="452"/>
      <c r="H55" s="452"/>
      <c r="I55" s="452"/>
      <c r="J55" s="452"/>
      <c r="K55" s="452"/>
      <c r="L55" s="452"/>
      <c r="M55" s="452"/>
      <c r="N55" s="452"/>
      <c r="O55" s="452"/>
      <c r="P55" s="452"/>
      <c r="Q55" s="452"/>
      <c r="R55" s="452"/>
      <c r="S55" s="452"/>
      <c r="T55" s="452"/>
      <c r="U55" s="452"/>
      <c r="V55" s="452"/>
      <c r="W55" s="452"/>
      <c r="X55" s="452"/>
      <c r="Y55" s="452"/>
    </row>
    <row r="56" spans="1:25" ht="15.6">
      <c r="A56" s="452"/>
      <c r="B56" s="452"/>
      <c r="C56" s="452"/>
      <c r="D56" s="452"/>
      <c r="E56" s="452"/>
      <c r="F56" s="452"/>
      <c r="G56" s="452"/>
      <c r="H56" s="452"/>
      <c r="I56" s="452"/>
      <c r="J56" s="452"/>
      <c r="K56" s="452"/>
      <c r="L56" s="452"/>
      <c r="M56" s="452"/>
      <c r="N56" s="452"/>
      <c r="O56" s="452"/>
      <c r="P56" s="452"/>
      <c r="Q56" s="452"/>
      <c r="R56" s="452"/>
      <c r="S56" s="452"/>
      <c r="T56" s="452"/>
      <c r="U56" s="452"/>
      <c r="V56" s="452"/>
      <c r="W56" s="452"/>
      <c r="X56" s="452"/>
      <c r="Y56" s="452"/>
    </row>
    <row r="57" spans="1:25" ht="15.6">
      <c r="A57" s="452"/>
      <c r="B57" s="452"/>
      <c r="C57" s="452"/>
      <c r="D57" s="452"/>
      <c r="E57" s="452"/>
      <c r="F57" s="452"/>
      <c r="G57" s="452"/>
      <c r="H57" s="452"/>
      <c r="I57" s="452"/>
      <c r="J57" s="452"/>
      <c r="K57" s="452"/>
      <c r="L57" s="452"/>
      <c r="M57" s="452"/>
      <c r="N57" s="452"/>
      <c r="O57" s="452"/>
      <c r="P57" s="452"/>
      <c r="Q57" s="452"/>
      <c r="R57" s="452"/>
      <c r="S57" s="452"/>
      <c r="T57" s="452"/>
      <c r="U57" s="452"/>
      <c r="V57" s="452"/>
      <c r="W57" s="452"/>
      <c r="X57" s="452"/>
      <c r="Y57" s="452"/>
    </row>
    <row r="58" spans="1:25" ht="15.6">
      <c r="A58" s="452"/>
      <c r="B58" s="452"/>
      <c r="C58" s="452"/>
      <c r="D58" s="452"/>
      <c r="E58" s="452"/>
      <c r="F58" s="452"/>
      <c r="G58" s="452"/>
      <c r="H58" s="452"/>
      <c r="I58" s="452"/>
      <c r="J58" s="452"/>
      <c r="K58" s="452"/>
      <c r="L58" s="452"/>
      <c r="M58" s="452"/>
      <c r="N58" s="452"/>
      <c r="O58" s="452"/>
      <c r="P58" s="452"/>
      <c r="Q58" s="452"/>
      <c r="R58" s="452"/>
      <c r="S58" s="452"/>
      <c r="T58" s="452"/>
      <c r="U58" s="452"/>
      <c r="V58" s="452"/>
      <c r="W58" s="452"/>
      <c r="X58" s="452"/>
      <c r="Y58" s="452"/>
    </row>
    <row r="59" spans="1:25" ht="15.6">
      <c r="A59" s="452"/>
      <c r="B59" s="452"/>
      <c r="C59" s="452"/>
      <c r="D59" s="452"/>
      <c r="E59" s="452"/>
      <c r="F59" s="452"/>
      <c r="G59" s="452"/>
      <c r="H59" s="452"/>
      <c r="I59" s="452"/>
      <c r="J59" s="452"/>
      <c r="K59" s="452"/>
      <c r="L59" s="452"/>
      <c r="M59" s="452"/>
      <c r="N59" s="452"/>
      <c r="O59" s="452"/>
      <c r="P59" s="452"/>
      <c r="Q59" s="452"/>
      <c r="R59" s="452"/>
      <c r="S59" s="452"/>
      <c r="T59" s="452"/>
      <c r="U59" s="452"/>
      <c r="V59" s="452"/>
      <c r="W59" s="452"/>
      <c r="X59" s="452"/>
      <c r="Y59" s="452"/>
    </row>
    <row r="60" spans="1:25" ht="15.6">
      <c r="A60" s="452"/>
      <c r="B60" s="452"/>
      <c r="C60" s="452"/>
      <c r="D60" s="452"/>
      <c r="E60" s="452"/>
      <c r="F60" s="452"/>
      <c r="G60" s="452"/>
      <c r="H60" s="452"/>
      <c r="I60" s="452"/>
      <c r="J60" s="452"/>
      <c r="K60" s="452"/>
      <c r="L60" s="452"/>
      <c r="M60" s="452"/>
      <c r="N60" s="452"/>
      <c r="O60" s="452"/>
      <c r="P60" s="452"/>
      <c r="Q60" s="452"/>
      <c r="R60" s="452"/>
      <c r="S60" s="452"/>
      <c r="T60" s="452"/>
      <c r="U60" s="452"/>
      <c r="V60" s="452"/>
      <c r="W60" s="452"/>
      <c r="X60" s="452"/>
      <c r="Y60" s="452"/>
    </row>
    <row r="61" spans="1:25" ht="15.6">
      <c r="A61" s="452"/>
      <c r="B61" s="452"/>
      <c r="C61" s="452"/>
      <c r="D61" s="452"/>
      <c r="E61" s="452"/>
      <c r="F61" s="452"/>
      <c r="G61" s="452"/>
      <c r="H61" s="452"/>
      <c r="I61" s="452"/>
      <c r="J61" s="452"/>
      <c r="K61" s="452"/>
      <c r="L61" s="452"/>
      <c r="M61" s="452"/>
      <c r="N61" s="452"/>
      <c r="O61" s="452"/>
      <c r="P61" s="452"/>
      <c r="Q61" s="452"/>
      <c r="R61" s="452"/>
      <c r="S61" s="452"/>
      <c r="T61" s="452"/>
      <c r="U61" s="452"/>
      <c r="V61" s="452"/>
      <c r="W61" s="452"/>
      <c r="X61" s="452"/>
      <c r="Y61" s="452"/>
    </row>
    <row r="62" spans="1:25" ht="15.6">
      <c r="A62" s="452"/>
      <c r="B62" s="452"/>
      <c r="C62" s="452"/>
      <c r="D62" s="452"/>
      <c r="E62" s="452"/>
      <c r="F62" s="452"/>
      <c r="G62" s="452"/>
      <c r="H62" s="452"/>
      <c r="I62" s="452"/>
      <c r="J62" s="452"/>
      <c r="K62" s="452"/>
      <c r="L62" s="452"/>
      <c r="M62" s="452"/>
      <c r="N62" s="452"/>
      <c r="O62" s="452"/>
      <c r="P62" s="452"/>
      <c r="Q62" s="452"/>
      <c r="R62" s="452"/>
      <c r="S62" s="452"/>
      <c r="T62" s="452"/>
      <c r="U62" s="452"/>
      <c r="V62" s="452"/>
      <c r="W62" s="452"/>
      <c r="X62" s="452"/>
      <c r="Y62" s="452"/>
    </row>
    <row r="63" spans="1:25" ht="15.6">
      <c r="A63" s="452"/>
      <c r="B63" s="452"/>
      <c r="C63" s="452"/>
      <c r="D63" s="452"/>
      <c r="E63" s="452"/>
      <c r="F63" s="452"/>
      <c r="G63" s="452"/>
      <c r="H63" s="452"/>
      <c r="I63" s="452"/>
      <c r="J63" s="452"/>
      <c r="K63" s="452"/>
      <c r="L63" s="452"/>
      <c r="M63" s="452"/>
      <c r="N63" s="452"/>
      <c r="O63" s="452"/>
      <c r="P63" s="452"/>
      <c r="Q63" s="452"/>
      <c r="R63" s="452"/>
      <c r="S63" s="452"/>
      <c r="T63" s="452"/>
      <c r="U63" s="452"/>
      <c r="V63" s="452"/>
      <c r="W63" s="452"/>
      <c r="X63" s="452"/>
      <c r="Y63" s="452"/>
    </row>
    <row r="64" spans="1:25" ht="15.6">
      <c r="A64" s="452"/>
      <c r="B64" s="452"/>
      <c r="C64" s="452"/>
      <c r="D64" s="452"/>
      <c r="E64" s="452"/>
      <c r="F64" s="452"/>
      <c r="G64" s="452"/>
      <c r="H64" s="452"/>
      <c r="I64" s="452"/>
      <c r="J64" s="452"/>
      <c r="K64" s="452"/>
      <c r="L64" s="452"/>
      <c r="M64" s="452"/>
      <c r="N64" s="452"/>
      <c r="O64" s="452"/>
      <c r="P64" s="452"/>
      <c r="Q64" s="452"/>
      <c r="R64" s="452"/>
      <c r="S64" s="452"/>
      <c r="T64" s="452"/>
      <c r="U64" s="452"/>
      <c r="V64" s="452"/>
      <c r="W64" s="452"/>
      <c r="X64" s="452"/>
      <c r="Y64" s="452"/>
    </row>
    <row r="65" spans="1:25" ht="15.6">
      <c r="A65" s="452"/>
      <c r="B65" s="452"/>
      <c r="C65" s="452"/>
      <c r="D65" s="452"/>
      <c r="E65" s="452"/>
      <c r="F65" s="452"/>
      <c r="G65" s="452"/>
      <c r="H65" s="452"/>
      <c r="I65" s="452"/>
      <c r="J65" s="452"/>
      <c r="K65" s="452"/>
      <c r="L65" s="452"/>
      <c r="M65" s="452"/>
      <c r="N65" s="452"/>
      <c r="O65" s="452"/>
      <c r="P65" s="452"/>
      <c r="Q65" s="452"/>
      <c r="R65" s="452"/>
      <c r="S65" s="452"/>
      <c r="T65" s="452"/>
      <c r="U65" s="452"/>
      <c r="V65" s="452"/>
      <c r="W65" s="452"/>
      <c r="X65" s="452"/>
      <c r="Y65" s="452"/>
    </row>
    <row r="66" spans="1:25" ht="15.6">
      <c r="A66" s="452"/>
      <c r="B66" s="452"/>
      <c r="C66" s="452"/>
      <c r="D66" s="452"/>
      <c r="E66" s="452"/>
      <c r="F66" s="452"/>
      <c r="G66" s="452"/>
      <c r="H66" s="452"/>
      <c r="I66" s="452"/>
      <c r="J66" s="452"/>
      <c r="K66" s="452"/>
      <c r="L66" s="452"/>
      <c r="M66" s="452"/>
      <c r="N66" s="452"/>
      <c r="O66" s="452"/>
      <c r="P66" s="452"/>
      <c r="Q66" s="452"/>
      <c r="R66" s="452"/>
      <c r="S66" s="452"/>
      <c r="T66" s="452"/>
      <c r="U66" s="452"/>
      <c r="V66" s="452"/>
      <c r="W66" s="452"/>
      <c r="X66" s="452"/>
      <c r="Y66" s="452"/>
    </row>
    <row r="67" spans="1:25" ht="15.6">
      <c r="A67" s="452"/>
      <c r="B67" s="452"/>
      <c r="C67" s="452"/>
      <c r="D67" s="452"/>
      <c r="E67" s="452"/>
      <c r="F67" s="452"/>
      <c r="G67" s="452"/>
      <c r="H67" s="452"/>
      <c r="I67" s="452"/>
      <c r="J67" s="452"/>
      <c r="K67" s="452"/>
      <c r="L67" s="452"/>
      <c r="M67" s="452"/>
      <c r="N67" s="452"/>
      <c r="O67" s="452"/>
      <c r="P67" s="452"/>
      <c r="Q67" s="452"/>
      <c r="R67" s="452"/>
      <c r="S67" s="452"/>
      <c r="T67" s="452"/>
      <c r="U67" s="452"/>
      <c r="V67" s="452"/>
      <c r="W67" s="452"/>
      <c r="X67" s="452"/>
      <c r="Y67" s="452"/>
    </row>
    <row r="68" spans="1:25" ht="15.6">
      <c r="A68" s="452"/>
      <c r="B68" s="452"/>
      <c r="C68" s="452"/>
      <c r="D68" s="452"/>
      <c r="E68" s="452"/>
      <c r="F68" s="452"/>
      <c r="G68" s="452"/>
      <c r="H68" s="452"/>
      <c r="I68" s="452"/>
      <c r="J68" s="452"/>
      <c r="K68" s="452"/>
      <c r="L68" s="452"/>
      <c r="M68" s="452"/>
      <c r="N68" s="452"/>
      <c r="O68" s="452"/>
      <c r="P68" s="452"/>
      <c r="Q68" s="452"/>
      <c r="R68" s="452"/>
      <c r="S68" s="452"/>
      <c r="T68" s="452"/>
      <c r="U68" s="452"/>
      <c r="V68" s="452"/>
      <c r="W68" s="452"/>
      <c r="X68" s="452"/>
      <c r="Y68" s="452"/>
    </row>
    <row r="69" spans="1:25" ht="15.6">
      <c r="A69" s="452"/>
      <c r="B69" s="452"/>
      <c r="C69" s="452"/>
      <c r="D69" s="452"/>
      <c r="E69" s="452"/>
      <c r="F69" s="452"/>
      <c r="G69" s="452"/>
      <c r="H69" s="452"/>
      <c r="I69" s="452"/>
      <c r="J69" s="452"/>
      <c r="K69" s="452"/>
      <c r="L69" s="452"/>
      <c r="M69" s="452"/>
      <c r="N69" s="452"/>
      <c r="O69" s="452"/>
      <c r="P69" s="452"/>
      <c r="Q69" s="452"/>
      <c r="R69" s="452"/>
      <c r="S69" s="452"/>
      <c r="T69" s="452"/>
      <c r="U69" s="452"/>
      <c r="V69" s="452"/>
      <c r="W69" s="452"/>
      <c r="X69" s="452"/>
      <c r="Y69" s="452"/>
    </row>
    <row r="70" spans="1:25" ht="15.6">
      <c r="A70" s="452"/>
      <c r="B70" s="452"/>
      <c r="C70" s="452"/>
      <c r="D70" s="452"/>
      <c r="E70" s="452"/>
      <c r="F70" s="452"/>
      <c r="G70" s="452"/>
      <c r="H70" s="452"/>
      <c r="I70" s="452"/>
      <c r="J70" s="452"/>
      <c r="K70" s="452"/>
      <c r="L70" s="452"/>
      <c r="M70" s="452"/>
      <c r="N70" s="452"/>
      <c r="O70" s="452"/>
      <c r="P70" s="452"/>
      <c r="Q70" s="452"/>
      <c r="R70" s="452"/>
      <c r="S70" s="452"/>
      <c r="T70" s="452"/>
      <c r="U70" s="452"/>
      <c r="V70" s="452"/>
      <c r="W70" s="452"/>
      <c r="X70" s="452"/>
      <c r="Y70" s="452"/>
    </row>
    <row r="71" spans="1:25" ht="15.6">
      <c r="A71" s="452"/>
      <c r="B71" s="452"/>
      <c r="C71" s="452"/>
      <c r="D71" s="452"/>
      <c r="E71" s="452"/>
      <c r="F71" s="452"/>
      <c r="G71" s="452"/>
      <c r="H71" s="452"/>
      <c r="I71" s="452"/>
      <c r="J71" s="452"/>
      <c r="K71" s="452"/>
      <c r="L71" s="452"/>
      <c r="M71" s="452"/>
      <c r="N71" s="452"/>
      <c r="O71" s="452"/>
      <c r="P71" s="452"/>
      <c r="Q71" s="452"/>
      <c r="R71" s="452"/>
      <c r="S71" s="452"/>
      <c r="T71" s="452"/>
      <c r="U71" s="452"/>
      <c r="V71" s="452"/>
      <c r="W71" s="452"/>
      <c r="X71" s="452"/>
      <c r="Y71" s="452"/>
    </row>
    <row r="72" spans="1:25" ht="15.6">
      <c r="A72" s="452"/>
      <c r="B72" s="452"/>
      <c r="C72" s="452"/>
      <c r="D72" s="452"/>
      <c r="E72" s="452"/>
      <c r="F72" s="452"/>
      <c r="G72" s="452"/>
      <c r="H72" s="452"/>
      <c r="I72" s="452"/>
      <c r="J72" s="452"/>
      <c r="K72" s="452"/>
      <c r="L72" s="452"/>
      <c r="M72" s="452"/>
      <c r="N72" s="452"/>
      <c r="O72" s="452"/>
      <c r="P72" s="452"/>
      <c r="Q72" s="452"/>
      <c r="R72" s="452"/>
      <c r="S72" s="452"/>
      <c r="T72" s="452"/>
      <c r="U72" s="452"/>
      <c r="V72" s="452"/>
      <c r="W72" s="452"/>
      <c r="X72" s="452"/>
      <c r="Y72" s="452"/>
    </row>
    <row r="73" spans="1:25" ht="15.6">
      <c r="A73" s="452"/>
      <c r="B73" s="452"/>
      <c r="C73" s="452"/>
      <c r="D73" s="452"/>
      <c r="E73" s="452"/>
      <c r="F73" s="452"/>
      <c r="G73" s="452"/>
      <c r="H73" s="452"/>
      <c r="I73" s="452"/>
      <c r="J73" s="452"/>
      <c r="K73" s="452"/>
      <c r="L73" s="452"/>
      <c r="M73" s="452"/>
      <c r="N73" s="452"/>
      <c r="O73" s="452"/>
      <c r="P73" s="452"/>
      <c r="Q73" s="452"/>
      <c r="R73" s="452"/>
      <c r="S73" s="452"/>
      <c r="T73" s="452"/>
      <c r="U73" s="452"/>
      <c r="V73" s="452"/>
      <c r="W73" s="452"/>
      <c r="X73" s="452"/>
      <c r="Y73" s="452"/>
    </row>
    <row r="74" spans="1:25" ht="15.6">
      <c r="A74" s="452"/>
      <c r="B74" s="452"/>
      <c r="C74" s="452"/>
      <c r="D74" s="452"/>
      <c r="E74" s="452"/>
      <c r="F74" s="452"/>
      <c r="G74" s="452"/>
      <c r="H74" s="452"/>
      <c r="I74" s="452"/>
      <c r="J74" s="452"/>
      <c r="K74" s="452"/>
      <c r="L74" s="452"/>
      <c r="M74" s="452"/>
      <c r="N74" s="452"/>
      <c r="O74" s="452"/>
      <c r="P74" s="452"/>
      <c r="Q74" s="452"/>
      <c r="R74" s="452"/>
      <c r="S74" s="452"/>
      <c r="T74" s="452"/>
      <c r="U74" s="452"/>
      <c r="V74" s="452"/>
      <c r="W74" s="452"/>
      <c r="X74" s="452"/>
      <c r="Y74" s="452"/>
    </row>
    <row r="75" spans="1:25" ht="15.6">
      <c r="A75" s="452"/>
      <c r="B75" s="452"/>
      <c r="C75" s="452"/>
      <c r="D75" s="452"/>
      <c r="E75" s="452"/>
      <c r="F75" s="452"/>
      <c r="G75" s="452"/>
      <c r="H75" s="452"/>
      <c r="I75" s="452"/>
      <c r="J75" s="452"/>
      <c r="K75" s="452"/>
      <c r="L75" s="452"/>
      <c r="M75" s="452"/>
      <c r="N75" s="452"/>
      <c r="O75" s="452"/>
      <c r="P75" s="452"/>
      <c r="Q75" s="452"/>
      <c r="R75" s="452"/>
      <c r="S75" s="452"/>
      <c r="T75" s="452"/>
      <c r="U75" s="452"/>
      <c r="V75" s="452"/>
      <c r="W75" s="452"/>
      <c r="X75" s="452"/>
      <c r="Y75" s="452"/>
    </row>
    <row r="76" spans="1:25" ht="15.6">
      <c r="A76" s="452"/>
      <c r="B76" s="452"/>
      <c r="C76" s="452"/>
      <c r="D76" s="452"/>
      <c r="E76" s="452"/>
      <c r="F76" s="452"/>
      <c r="G76" s="452"/>
      <c r="H76" s="452"/>
      <c r="I76" s="452"/>
      <c r="J76" s="452"/>
      <c r="K76" s="452"/>
      <c r="L76" s="452"/>
      <c r="M76" s="452"/>
      <c r="N76" s="452"/>
      <c r="O76" s="452"/>
      <c r="P76" s="452"/>
      <c r="Q76" s="452"/>
      <c r="R76" s="452"/>
      <c r="S76" s="452"/>
      <c r="T76" s="452"/>
      <c r="U76" s="452"/>
      <c r="V76" s="452"/>
      <c r="W76" s="452"/>
      <c r="X76" s="452"/>
      <c r="Y76" s="452"/>
    </row>
    <row r="77" spans="1:25" ht="15.6">
      <c r="A77" s="452"/>
      <c r="B77" s="452"/>
      <c r="C77" s="452"/>
      <c r="D77" s="452"/>
      <c r="E77" s="452"/>
      <c r="F77" s="452"/>
      <c r="G77" s="452"/>
      <c r="H77" s="452"/>
      <c r="I77" s="452"/>
      <c r="J77" s="452"/>
      <c r="K77" s="452"/>
      <c r="L77" s="452"/>
      <c r="M77" s="452"/>
      <c r="N77" s="452"/>
      <c r="O77" s="452"/>
      <c r="P77" s="452"/>
      <c r="Q77" s="452"/>
      <c r="R77" s="452"/>
      <c r="S77" s="452"/>
      <c r="T77" s="452"/>
      <c r="U77" s="452"/>
      <c r="V77" s="452"/>
      <c r="W77" s="452"/>
      <c r="X77" s="452"/>
      <c r="Y77" s="452"/>
    </row>
    <row r="78" spans="1:25" ht="15.6">
      <c r="A78" s="452"/>
      <c r="B78" s="452"/>
      <c r="C78" s="452"/>
      <c r="D78" s="452"/>
      <c r="E78" s="452"/>
      <c r="F78" s="452"/>
      <c r="G78" s="452"/>
      <c r="H78" s="452"/>
      <c r="I78" s="452"/>
      <c r="J78" s="452"/>
      <c r="K78" s="452"/>
      <c r="L78" s="452"/>
      <c r="M78" s="452"/>
      <c r="N78" s="452"/>
      <c r="O78" s="452"/>
      <c r="P78" s="452"/>
      <c r="Q78" s="452"/>
      <c r="R78" s="452"/>
      <c r="S78" s="452"/>
      <c r="T78" s="452"/>
      <c r="U78" s="452"/>
      <c r="V78" s="452"/>
      <c r="W78" s="452"/>
      <c r="X78" s="452"/>
      <c r="Y78" s="452"/>
    </row>
    <row r="79" spans="1:25" ht="15.6">
      <c r="A79" s="452"/>
      <c r="B79" s="452"/>
      <c r="C79" s="452"/>
      <c r="D79" s="452"/>
      <c r="E79" s="452"/>
      <c r="F79" s="452"/>
      <c r="G79" s="452"/>
      <c r="H79" s="452"/>
      <c r="I79" s="452"/>
      <c r="J79" s="452"/>
      <c r="K79" s="452"/>
      <c r="L79" s="452"/>
      <c r="M79" s="452"/>
      <c r="N79" s="452"/>
      <c r="O79" s="452"/>
      <c r="P79" s="452"/>
      <c r="Q79" s="452"/>
      <c r="R79" s="452"/>
      <c r="S79" s="452"/>
      <c r="T79" s="452"/>
      <c r="U79" s="452"/>
      <c r="V79" s="452"/>
      <c r="W79" s="452"/>
      <c r="X79" s="452"/>
      <c r="Y79" s="452"/>
    </row>
    <row r="80" spans="1:25" ht="15.6">
      <c r="A80" s="452"/>
      <c r="B80" s="452"/>
      <c r="C80" s="452"/>
      <c r="D80" s="452"/>
      <c r="E80" s="452"/>
      <c r="F80" s="452"/>
      <c r="G80" s="452"/>
      <c r="H80" s="452"/>
      <c r="I80" s="452"/>
      <c r="J80" s="452"/>
      <c r="K80" s="452"/>
      <c r="L80" s="452"/>
      <c r="M80" s="452"/>
      <c r="N80" s="452"/>
      <c r="O80" s="452"/>
      <c r="P80" s="452"/>
      <c r="Q80" s="452"/>
      <c r="R80" s="452"/>
      <c r="S80" s="452"/>
      <c r="T80" s="452"/>
      <c r="U80" s="452"/>
      <c r="V80" s="452"/>
      <c r="W80" s="452"/>
      <c r="X80" s="452"/>
      <c r="Y80" s="452"/>
    </row>
    <row r="81" spans="1:25" ht="15.6">
      <c r="A81" s="452"/>
      <c r="B81" s="452"/>
      <c r="C81" s="452"/>
      <c r="D81" s="452"/>
      <c r="E81" s="452"/>
      <c r="F81" s="452"/>
      <c r="G81" s="452"/>
      <c r="H81" s="452"/>
      <c r="I81" s="452"/>
      <c r="J81" s="452"/>
      <c r="K81" s="452"/>
      <c r="L81" s="452"/>
      <c r="M81" s="452"/>
      <c r="N81" s="452"/>
      <c r="O81" s="452"/>
      <c r="P81" s="452"/>
      <c r="Q81" s="452"/>
      <c r="R81" s="452"/>
      <c r="S81" s="452"/>
      <c r="T81" s="452"/>
      <c r="U81" s="452"/>
      <c r="V81" s="452"/>
      <c r="W81" s="452"/>
      <c r="X81" s="452"/>
      <c r="Y81" s="452"/>
    </row>
    <row r="82" spans="1:25" ht="15.6">
      <c r="A82" s="452"/>
      <c r="B82" s="452"/>
      <c r="C82" s="452"/>
      <c r="D82" s="452"/>
      <c r="E82" s="452"/>
      <c r="F82" s="452"/>
      <c r="G82" s="452"/>
      <c r="H82" s="452"/>
      <c r="I82" s="452"/>
      <c r="J82" s="452"/>
      <c r="K82" s="452"/>
      <c r="L82" s="452"/>
      <c r="M82" s="452"/>
      <c r="N82" s="452"/>
      <c r="O82" s="452"/>
      <c r="P82" s="452"/>
      <c r="Q82" s="452"/>
      <c r="R82" s="452"/>
      <c r="S82" s="452"/>
      <c r="T82" s="452"/>
      <c r="U82" s="452"/>
      <c r="V82" s="452"/>
      <c r="W82" s="452"/>
      <c r="X82" s="452"/>
      <c r="Y82" s="452"/>
    </row>
    <row r="83" spans="1:25" ht="15.6">
      <c r="A83" s="452"/>
      <c r="B83" s="452"/>
      <c r="C83" s="452"/>
      <c r="D83" s="452"/>
      <c r="E83" s="452"/>
      <c r="F83" s="452"/>
      <c r="G83" s="452"/>
      <c r="H83" s="452"/>
      <c r="I83" s="452"/>
      <c r="J83" s="452"/>
      <c r="K83" s="452"/>
      <c r="L83" s="452"/>
      <c r="M83" s="452"/>
      <c r="N83" s="452"/>
      <c r="O83" s="452"/>
      <c r="P83" s="452"/>
      <c r="Q83" s="452"/>
      <c r="R83" s="452"/>
      <c r="S83" s="452"/>
      <c r="T83" s="452"/>
      <c r="U83" s="452"/>
      <c r="V83" s="452"/>
      <c r="W83" s="452"/>
      <c r="X83" s="452"/>
      <c r="Y83" s="452"/>
    </row>
    <row r="84" spans="1:25" ht="15.6">
      <c r="A84" s="452"/>
      <c r="B84" s="452"/>
      <c r="C84" s="452"/>
      <c r="D84" s="452"/>
      <c r="E84" s="452"/>
      <c r="F84" s="452"/>
      <c r="G84" s="452"/>
      <c r="H84" s="452"/>
      <c r="I84" s="452"/>
      <c r="J84" s="452"/>
      <c r="K84" s="452"/>
      <c r="L84" s="452"/>
      <c r="M84" s="452"/>
      <c r="N84" s="452"/>
      <c r="O84" s="452"/>
      <c r="P84" s="452"/>
      <c r="Q84" s="452"/>
      <c r="R84" s="452"/>
      <c r="S84" s="452"/>
      <c r="T84" s="452"/>
      <c r="U84" s="452"/>
      <c r="V84" s="452"/>
      <c r="W84" s="452"/>
      <c r="X84" s="452"/>
      <c r="Y84" s="452"/>
    </row>
    <row r="85" spans="1:25" ht="15.6">
      <c r="A85" s="452"/>
      <c r="B85" s="452"/>
      <c r="C85" s="452"/>
      <c r="D85" s="452"/>
      <c r="E85" s="452"/>
      <c r="F85" s="452"/>
      <c r="G85" s="452"/>
      <c r="H85" s="452"/>
      <c r="I85" s="452"/>
      <c r="J85" s="452"/>
      <c r="K85" s="452"/>
      <c r="L85" s="452"/>
      <c r="M85" s="452"/>
      <c r="N85" s="452"/>
      <c r="O85" s="452"/>
      <c r="P85" s="452"/>
      <c r="Q85" s="452"/>
      <c r="R85" s="452"/>
      <c r="S85" s="452"/>
      <c r="T85" s="452"/>
      <c r="U85" s="452"/>
      <c r="V85" s="452"/>
      <c r="W85" s="452"/>
      <c r="X85" s="452"/>
      <c r="Y85" s="452"/>
    </row>
    <row r="86" spans="1:25" ht="15.6">
      <c r="A86" s="452"/>
      <c r="B86" s="452"/>
      <c r="C86" s="452"/>
      <c r="D86" s="452"/>
      <c r="E86" s="452"/>
      <c r="F86" s="452"/>
      <c r="G86" s="452"/>
      <c r="H86" s="452"/>
      <c r="I86" s="452"/>
      <c r="J86" s="452"/>
      <c r="K86" s="452"/>
      <c r="L86" s="452"/>
      <c r="M86" s="452"/>
      <c r="N86" s="452"/>
      <c r="O86" s="452"/>
      <c r="P86" s="452"/>
      <c r="Q86" s="452"/>
      <c r="R86" s="452"/>
      <c r="S86" s="452"/>
      <c r="T86" s="452"/>
      <c r="U86" s="452"/>
      <c r="V86" s="452"/>
      <c r="W86" s="452"/>
      <c r="X86" s="452"/>
      <c r="Y86" s="452"/>
    </row>
    <row r="87" spans="1:25" ht="15.6">
      <c r="A87" s="452"/>
      <c r="B87" s="452"/>
      <c r="C87" s="452"/>
      <c r="D87" s="452"/>
      <c r="E87" s="452"/>
      <c r="F87" s="452"/>
      <c r="G87" s="452"/>
      <c r="H87" s="452"/>
      <c r="I87" s="452"/>
      <c r="J87" s="452"/>
      <c r="K87" s="452"/>
      <c r="L87" s="452"/>
      <c r="M87" s="452"/>
      <c r="N87" s="452"/>
      <c r="O87" s="452"/>
      <c r="P87" s="452"/>
      <c r="Q87" s="452"/>
      <c r="R87" s="452"/>
      <c r="S87" s="452"/>
      <c r="T87" s="452"/>
      <c r="U87" s="452"/>
      <c r="V87" s="452"/>
      <c r="W87" s="452"/>
      <c r="X87" s="452"/>
      <c r="Y87" s="452"/>
    </row>
    <row r="88" spans="1:25" ht="15.6">
      <c r="A88" s="452"/>
      <c r="B88" s="452"/>
      <c r="C88" s="452"/>
      <c r="D88" s="452"/>
      <c r="E88" s="452"/>
      <c r="F88" s="452"/>
      <c r="G88" s="452"/>
      <c r="H88" s="452"/>
      <c r="I88" s="452"/>
      <c r="J88" s="452"/>
      <c r="K88" s="452"/>
      <c r="L88" s="452"/>
      <c r="M88" s="452"/>
      <c r="N88" s="452"/>
      <c r="O88" s="452"/>
      <c r="P88" s="452"/>
      <c r="Q88" s="452"/>
      <c r="R88" s="452"/>
      <c r="S88" s="452"/>
      <c r="T88" s="452"/>
      <c r="U88" s="452"/>
      <c r="V88" s="452"/>
      <c r="W88" s="452"/>
      <c r="X88" s="452"/>
      <c r="Y88" s="452"/>
    </row>
    <row r="89" spans="1:25" ht="15.6">
      <c r="A89" s="452"/>
      <c r="B89" s="452"/>
      <c r="C89" s="452"/>
      <c r="D89" s="452"/>
      <c r="E89" s="452"/>
      <c r="F89" s="452"/>
      <c r="G89" s="452"/>
      <c r="H89" s="452"/>
      <c r="I89" s="452"/>
      <c r="J89" s="452"/>
      <c r="K89" s="452"/>
      <c r="L89" s="452"/>
      <c r="M89" s="452"/>
      <c r="N89" s="452"/>
      <c r="O89" s="452"/>
      <c r="P89" s="452"/>
      <c r="Q89" s="452"/>
      <c r="R89" s="452"/>
      <c r="S89" s="452"/>
      <c r="T89" s="452"/>
      <c r="U89" s="452"/>
      <c r="V89" s="452"/>
      <c r="W89" s="452"/>
      <c r="X89" s="452"/>
      <c r="Y89" s="452"/>
    </row>
    <row r="90" spans="1:25" ht="15.6">
      <c r="A90" s="452"/>
      <c r="B90" s="452"/>
      <c r="C90" s="452"/>
      <c r="D90" s="452"/>
      <c r="E90" s="452"/>
      <c r="F90" s="452"/>
      <c r="G90" s="452"/>
      <c r="H90" s="452"/>
      <c r="I90" s="452"/>
      <c r="J90" s="452"/>
      <c r="K90" s="452"/>
      <c r="L90" s="452"/>
      <c r="M90" s="452"/>
      <c r="N90" s="452"/>
      <c r="O90" s="452"/>
      <c r="P90" s="452"/>
      <c r="Q90" s="452"/>
      <c r="R90" s="452"/>
      <c r="S90" s="452"/>
      <c r="T90" s="452"/>
      <c r="U90" s="452"/>
      <c r="V90" s="452"/>
      <c r="W90" s="452"/>
      <c r="X90" s="452"/>
      <c r="Y90" s="452"/>
    </row>
    <row r="91" spans="1:25" ht="15.6">
      <c r="A91" s="452"/>
      <c r="B91" s="452"/>
      <c r="C91" s="452"/>
      <c r="D91" s="452"/>
      <c r="E91" s="452"/>
      <c r="F91" s="452"/>
      <c r="G91" s="452"/>
      <c r="H91" s="452"/>
      <c r="I91" s="452"/>
      <c r="J91" s="452"/>
      <c r="K91" s="452"/>
      <c r="L91" s="452"/>
      <c r="M91" s="452"/>
      <c r="N91" s="452"/>
      <c r="O91" s="452"/>
      <c r="P91" s="452"/>
      <c r="Q91" s="452"/>
      <c r="R91" s="452"/>
      <c r="S91" s="452"/>
      <c r="T91" s="452"/>
      <c r="U91" s="452"/>
      <c r="V91" s="452"/>
      <c r="W91" s="452"/>
      <c r="X91" s="452"/>
      <c r="Y91" s="452"/>
    </row>
    <row r="92" spans="1:25" ht="15.6">
      <c r="A92" s="452"/>
      <c r="B92" s="452"/>
      <c r="C92" s="452"/>
      <c r="D92" s="452"/>
      <c r="E92" s="452"/>
      <c r="F92" s="452"/>
      <c r="G92" s="452"/>
      <c r="H92" s="452"/>
      <c r="I92" s="452"/>
      <c r="J92" s="452"/>
      <c r="K92" s="452"/>
      <c r="L92" s="452"/>
      <c r="M92" s="452"/>
      <c r="N92" s="452"/>
      <c r="O92" s="452"/>
      <c r="P92" s="452"/>
      <c r="Q92" s="452"/>
      <c r="R92" s="452"/>
      <c r="S92" s="452"/>
      <c r="T92" s="452"/>
      <c r="U92" s="452"/>
      <c r="V92" s="452"/>
      <c r="W92" s="452"/>
      <c r="X92" s="452"/>
      <c r="Y92" s="452"/>
    </row>
    <row r="93" spans="1:25" ht="15.6">
      <c r="A93" s="452"/>
      <c r="B93" s="452"/>
      <c r="C93" s="452"/>
      <c r="D93" s="452"/>
      <c r="E93" s="452"/>
      <c r="F93" s="452"/>
      <c r="G93" s="452"/>
      <c r="H93" s="452"/>
      <c r="I93" s="452"/>
      <c r="J93" s="452"/>
      <c r="K93" s="452"/>
      <c r="L93" s="452"/>
      <c r="M93" s="452"/>
      <c r="N93" s="452"/>
      <c r="O93" s="452"/>
      <c r="P93" s="452"/>
      <c r="Q93" s="452"/>
      <c r="R93" s="452"/>
      <c r="S93" s="452"/>
      <c r="T93" s="452"/>
      <c r="U93" s="452"/>
      <c r="V93" s="452"/>
      <c r="W93" s="452"/>
      <c r="X93" s="452"/>
      <c r="Y93" s="452"/>
    </row>
    <row r="94" spans="1:25" ht="15.6">
      <c r="A94" s="452"/>
      <c r="B94" s="452"/>
      <c r="C94" s="452"/>
      <c r="D94" s="452"/>
      <c r="E94" s="452"/>
      <c r="F94" s="452"/>
      <c r="G94" s="452"/>
      <c r="H94" s="452"/>
      <c r="I94" s="452"/>
      <c r="J94" s="452"/>
      <c r="K94" s="452"/>
      <c r="L94" s="452"/>
      <c r="M94" s="452"/>
      <c r="N94" s="452"/>
      <c r="O94" s="452"/>
      <c r="P94" s="452"/>
      <c r="Q94" s="452"/>
      <c r="R94" s="452"/>
      <c r="S94" s="452"/>
      <c r="T94" s="452"/>
      <c r="U94" s="452"/>
      <c r="V94" s="452"/>
      <c r="W94" s="452"/>
      <c r="X94" s="452"/>
      <c r="Y94" s="452"/>
    </row>
    <row r="95" spans="1:25" ht="15.6">
      <c r="A95" s="452"/>
      <c r="B95" s="452"/>
      <c r="C95" s="452"/>
      <c r="D95" s="452"/>
      <c r="E95" s="452"/>
      <c r="F95" s="452"/>
      <c r="G95" s="452"/>
      <c r="H95" s="452"/>
      <c r="I95" s="452"/>
      <c r="J95" s="452"/>
      <c r="K95" s="452"/>
      <c r="L95" s="452"/>
      <c r="M95" s="452"/>
      <c r="N95" s="452"/>
      <c r="O95" s="452"/>
      <c r="P95" s="452"/>
      <c r="Q95" s="452"/>
      <c r="R95" s="452"/>
      <c r="S95" s="452"/>
      <c r="T95" s="452"/>
      <c r="U95" s="452"/>
      <c r="V95" s="452"/>
      <c r="W95" s="452"/>
      <c r="X95" s="452"/>
      <c r="Y95" s="452"/>
    </row>
    <row r="96" spans="1:25" ht="15.6">
      <c r="A96" s="452"/>
      <c r="B96" s="452"/>
      <c r="C96" s="452"/>
      <c r="D96" s="452"/>
      <c r="E96" s="452"/>
      <c r="F96" s="452"/>
      <c r="G96" s="452"/>
      <c r="H96" s="452"/>
      <c r="I96" s="452"/>
      <c r="J96" s="452"/>
      <c r="K96" s="452"/>
      <c r="L96" s="452"/>
      <c r="M96" s="452"/>
      <c r="N96" s="452"/>
      <c r="O96" s="452"/>
      <c r="P96" s="452"/>
      <c r="Q96" s="452"/>
      <c r="R96" s="452"/>
      <c r="S96" s="452"/>
      <c r="T96" s="452"/>
      <c r="U96" s="452"/>
      <c r="V96" s="452"/>
      <c r="W96" s="452"/>
      <c r="X96" s="452"/>
      <c r="Y96" s="452"/>
    </row>
    <row r="97" spans="1:25" ht="15.6">
      <c r="A97" s="452"/>
      <c r="B97" s="452"/>
      <c r="C97" s="452"/>
      <c r="D97" s="452"/>
      <c r="E97" s="452"/>
      <c r="F97" s="452"/>
      <c r="G97" s="452"/>
      <c r="H97" s="452"/>
      <c r="I97" s="452"/>
      <c r="J97" s="452"/>
      <c r="K97" s="452"/>
      <c r="L97" s="452"/>
      <c r="M97" s="452"/>
      <c r="N97" s="452"/>
      <c r="O97" s="452"/>
      <c r="P97" s="452"/>
      <c r="Q97" s="452"/>
      <c r="R97" s="452"/>
      <c r="S97" s="452"/>
      <c r="T97" s="452"/>
      <c r="U97" s="452"/>
      <c r="V97" s="452"/>
      <c r="W97" s="452"/>
      <c r="X97" s="452"/>
      <c r="Y97" s="452"/>
    </row>
    <row r="98" spans="1:25" ht="15.6">
      <c r="A98" s="452"/>
      <c r="B98" s="452"/>
      <c r="C98" s="452"/>
      <c r="D98" s="452"/>
      <c r="E98" s="452"/>
      <c r="F98" s="452"/>
      <c r="G98" s="452"/>
      <c r="H98" s="452"/>
      <c r="I98" s="452"/>
      <c r="J98" s="452"/>
      <c r="K98" s="452"/>
      <c r="L98" s="452"/>
      <c r="M98" s="452"/>
      <c r="N98" s="452"/>
      <c r="O98" s="452"/>
      <c r="P98" s="452"/>
      <c r="Q98" s="452"/>
      <c r="R98" s="452"/>
      <c r="S98" s="452"/>
      <c r="T98" s="452"/>
      <c r="U98" s="452"/>
      <c r="V98" s="452"/>
      <c r="W98" s="452"/>
      <c r="X98" s="452"/>
      <c r="Y98" s="452"/>
    </row>
    <row r="99" spans="1:25" ht="15.6">
      <c r="A99" s="452"/>
      <c r="B99" s="452"/>
      <c r="C99" s="452"/>
      <c r="D99" s="452"/>
      <c r="E99" s="452"/>
      <c r="F99" s="452"/>
      <c r="G99" s="452"/>
      <c r="H99" s="452"/>
      <c r="I99" s="452"/>
      <c r="J99" s="452"/>
      <c r="K99" s="452"/>
      <c r="L99" s="452"/>
      <c r="M99" s="452"/>
      <c r="N99" s="452"/>
      <c r="O99" s="452"/>
      <c r="P99" s="452"/>
      <c r="Q99" s="452"/>
      <c r="R99" s="452"/>
      <c r="S99" s="452"/>
      <c r="T99" s="452"/>
      <c r="U99" s="452"/>
      <c r="V99" s="452"/>
      <c r="W99" s="452"/>
      <c r="X99" s="452"/>
      <c r="Y99" s="452"/>
    </row>
    <row r="100" spans="1:25" ht="15.6">
      <c r="A100" s="452"/>
      <c r="B100" s="452"/>
      <c r="C100" s="452"/>
      <c r="D100" s="452"/>
      <c r="E100" s="452"/>
      <c r="F100" s="452"/>
      <c r="G100" s="452"/>
      <c r="H100" s="452"/>
      <c r="I100" s="452"/>
      <c r="J100" s="452"/>
      <c r="K100" s="452"/>
      <c r="L100" s="452"/>
      <c r="M100" s="452"/>
      <c r="N100" s="452"/>
      <c r="O100" s="452"/>
      <c r="P100" s="452"/>
      <c r="Q100" s="452"/>
      <c r="R100" s="452"/>
      <c r="S100" s="452"/>
      <c r="T100" s="452"/>
      <c r="U100" s="452"/>
      <c r="V100" s="452"/>
      <c r="W100" s="452"/>
      <c r="X100" s="452"/>
      <c r="Y100" s="452"/>
    </row>
    <row r="101" spans="1:25" ht="15.6">
      <c r="A101" s="452"/>
      <c r="B101" s="452"/>
      <c r="C101" s="452"/>
      <c r="D101" s="452"/>
      <c r="E101" s="452"/>
      <c r="F101" s="452"/>
      <c r="G101" s="452"/>
      <c r="H101" s="452"/>
      <c r="I101" s="452"/>
      <c r="J101" s="452"/>
      <c r="K101" s="452"/>
      <c r="L101" s="452"/>
      <c r="M101" s="452"/>
      <c r="N101" s="452"/>
      <c r="O101" s="452"/>
      <c r="P101" s="452"/>
      <c r="Q101" s="452"/>
      <c r="R101" s="452"/>
      <c r="S101" s="452"/>
      <c r="T101" s="452"/>
      <c r="U101" s="452"/>
      <c r="V101" s="452"/>
      <c r="W101" s="452"/>
      <c r="X101" s="452"/>
      <c r="Y101" s="452"/>
    </row>
    <row r="102" spans="1:25" ht="15.6">
      <c r="A102" s="452"/>
      <c r="B102" s="452"/>
      <c r="C102" s="452"/>
      <c r="D102" s="452"/>
      <c r="E102" s="452"/>
      <c r="F102" s="452"/>
      <c r="G102" s="452"/>
      <c r="H102" s="452"/>
      <c r="I102" s="452"/>
      <c r="J102" s="452"/>
      <c r="K102" s="452"/>
      <c r="L102" s="452"/>
      <c r="M102" s="452"/>
      <c r="N102" s="452"/>
      <c r="O102" s="452"/>
      <c r="P102" s="452"/>
      <c r="Q102" s="452"/>
      <c r="R102" s="452"/>
      <c r="S102" s="452"/>
      <c r="T102" s="452"/>
      <c r="U102" s="452"/>
      <c r="V102" s="452"/>
      <c r="W102" s="452"/>
      <c r="X102" s="452"/>
      <c r="Y102" s="452"/>
    </row>
    <row r="103" spans="1:25" ht="15.6">
      <c r="A103" s="452"/>
      <c r="B103" s="452"/>
      <c r="C103" s="452"/>
      <c r="D103" s="452"/>
      <c r="E103" s="452"/>
      <c r="F103" s="452"/>
      <c r="G103" s="452"/>
      <c r="H103" s="452"/>
      <c r="I103" s="452"/>
      <c r="J103" s="452"/>
      <c r="K103" s="452"/>
      <c r="L103" s="452"/>
      <c r="M103" s="452"/>
      <c r="N103" s="452"/>
      <c r="O103" s="452"/>
      <c r="P103" s="452"/>
      <c r="Q103" s="452"/>
      <c r="R103" s="452"/>
      <c r="S103" s="452"/>
      <c r="T103" s="452"/>
      <c r="U103" s="452"/>
      <c r="V103" s="452"/>
      <c r="W103" s="452"/>
      <c r="X103" s="452"/>
      <c r="Y103" s="452"/>
    </row>
    <row r="104" spans="1:25" ht="15.6">
      <c r="A104" s="452"/>
      <c r="B104" s="452"/>
      <c r="C104" s="452"/>
      <c r="D104" s="452"/>
      <c r="E104" s="452"/>
      <c r="F104" s="452"/>
      <c r="G104" s="452"/>
      <c r="H104" s="452"/>
      <c r="I104" s="452"/>
      <c r="J104" s="452"/>
      <c r="K104" s="452"/>
      <c r="L104" s="452"/>
      <c r="M104" s="452"/>
      <c r="N104" s="452"/>
      <c r="O104" s="452"/>
      <c r="P104" s="452"/>
      <c r="Q104" s="452"/>
      <c r="R104" s="452"/>
      <c r="S104" s="452"/>
      <c r="T104" s="452"/>
      <c r="U104" s="452"/>
      <c r="V104" s="452"/>
      <c r="W104" s="452"/>
      <c r="X104" s="452"/>
      <c r="Y104" s="452"/>
    </row>
    <row r="105" spans="1:25" ht="15.6">
      <c r="A105" s="452"/>
      <c r="B105" s="452"/>
      <c r="C105" s="452"/>
      <c r="D105" s="452"/>
      <c r="E105" s="452"/>
      <c r="F105" s="452"/>
      <c r="G105" s="452"/>
      <c r="H105" s="452"/>
      <c r="I105" s="452"/>
      <c r="J105" s="452"/>
      <c r="K105" s="452"/>
      <c r="L105" s="452"/>
      <c r="M105" s="452"/>
      <c r="N105" s="452"/>
      <c r="O105" s="452"/>
      <c r="P105" s="452"/>
      <c r="Q105" s="452"/>
      <c r="R105" s="452"/>
      <c r="S105" s="452"/>
      <c r="T105" s="452"/>
      <c r="U105" s="452"/>
      <c r="V105" s="452"/>
      <c r="W105" s="452"/>
      <c r="X105" s="452"/>
      <c r="Y105" s="452"/>
    </row>
    <row r="106" spans="1:25" ht="15.6">
      <c r="A106" s="452"/>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row>
    <row r="107" spans="1:25" ht="15.6">
      <c r="A107" s="452"/>
      <c r="B107" s="452"/>
      <c r="C107" s="452"/>
      <c r="D107" s="452"/>
      <c r="E107" s="452"/>
      <c r="F107" s="452"/>
      <c r="G107" s="452"/>
      <c r="H107" s="452"/>
      <c r="I107" s="452"/>
      <c r="J107" s="452"/>
      <c r="K107" s="452"/>
      <c r="L107" s="452"/>
      <c r="M107" s="452"/>
      <c r="N107" s="452"/>
      <c r="O107" s="452"/>
      <c r="P107" s="452"/>
      <c r="Q107" s="452"/>
      <c r="R107" s="452"/>
      <c r="S107" s="452"/>
      <c r="T107" s="452"/>
      <c r="U107" s="452"/>
      <c r="V107" s="452"/>
      <c r="W107" s="452"/>
      <c r="X107" s="452"/>
      <c r="Y107" s="452"/>
    </row>
    <row r="108" spans="1:25" ht="15.6">
      <c r="A108" s="452"/>
      <c r="B108" s="452"/>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row>
    <row r="109" spans="1:25" ht="15.6">
      <c r="A109" s="452"/>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row>
    <row r="110" spans="1:25" ht="15.6">
      <c r="A110" s="452"/>
      <c r="B110" s="452"/>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row>
    <row r="111" spans="1:25" ht="15.6">
      <c r="A111" s="452"/>
      <c r="B111" s="452"/>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row>
    <row r="112" spans="1:25" ht="15.6">
      <c r="A112" s="452"/>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row>
    <row r="113" spans="1:25" ht="15.6">
      <c r="A113" s="452"/>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row>
    <row r="114" spans="1:25" ht="15.6">
      <c r="A114" s="452"/>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row>
    <row r="115" spans="1:25" ht="15.6">
      <c r="A115" s="452"/>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row>
    <row r="116" spans="1:25" ht="15.6">
      <c r="A116" s="452"/>
      <c r="B116" s="452"/>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row>
    <row r="117" spans="1:25" ht="15.6">
      <c r="A117" s="452"/>
      <c r="B117" s="452"/>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row>
    <row r="118" spans="1:25" ht="15.6">
      <c r="A118" s="452"/>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row>
    <row r="119" spans="1:25" ht="15.6">
      <c r="A119" s="452"/>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row>
    <row r="120" spans="1:25" ht="15.6">
      <c r="A120" s="452"/>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row>
    <row r="121" spans="1:25" ht="15.6">
      <c r="A121" s="452"/>
      <c r="B121" s="452"/>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row>
    <row r="122" spans="1:25" ht="15.6">
      <c r="A122" s="452"/>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row>
    <row r="123" spans="1:25" ht="15.6">
      <c r="A123" s="452"/>
      <c r="B123" s="452"/>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row>
    <row r="124" spans="1:25" ht="15.6">
      <c r="A124" s="452"/>
      <c r="B124" s="452"/>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row>
    <row r="125" spans="1:25" ht="15.6">
      <c r="A125" s="452"/>
      <c r="B125" s="452"/>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row>
    <row r="126" spans="1:25" ht="15.6">
      <c r="A126" s="452"/>
      <c r="B126" s="452"/>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row>
    <row r="127" spans="1:25" ht="15.6">
      <c r="A127" s="452"/>
      <c r="B127" s="452"/>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row>
    <row r="128" spans="1:25" ht="15.6">
      <c r="A128" s="452"/>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row>
    <row r="129" spans="1:25" ht="15.6">
      <c r="A129" s="452"/>
      <c r="B129" s="452"/>
      <c r="C129" s="452"/>
      <c r="D129" s="452"/>
      <c r="E129" s="452"/>
      <c r="F129" s="452"/>
      <c r="G129" s="452"/>
      <c r="H129" s="452"/>
      <c r="I129" s="452"/>
      <c r="J129" s="452"/>
      <c r="K129" s="452"/>
      <c r="L129" s="452"/>
      <c r="M129" s="452"/>
      <c r="N129" s="452"/>
      <c r="O129" s="452"/>
      <c r="P129" s="452"/>
      <c r="Q129" s="452"/>
      <c r="R129" s="452"/>
      <c r="S129" s="452"/>
      <c r="T129" s="452"/>
      <c r="U129" s="452"/>
      <c r="V129" s="452"/>
      <c r="W129" s="452"/>
      <c r="X129" s="452"/>
      <c r="Y129" s="452"/>
    </row>
    <row r="130" spans="1:25" ht="15.6">
      <c r="A130" s="452"/>
      <c r="B130" s="452"/>
      <c r="C130" s="452"/>
      <c r="D130" s="452"/>
      <c r="E130" s="452"/>
      <c r="F130" s="452"/>
      <c r="G130" s="452"/>
      <c r="H130" s="452"/>
      <c r="I130" s="452"/>
      <c r="J130" s="452"/>
      <c r="K130" s="452"/>
      <c r="L130" s="452"/>
      <c r="M130" s="452"/>
      <c r="N130" s="452"/>
      <c r="O130" s="452"/>
      <c r="P130" s="452"/>
      <c r="Q130" s="452"/>
      <c r="R130" s="452"/>
      <c r="S130" s="452"/>
      <c r="T130" s="452"/>
      <c r="U130" s="452"/>
      <c r="V130" s="452"/>
      <c r="W130" s="452"/>
      <c r="X130" s="452"/>
      <c r="Y130" s="452"/>
    </row>
    <row r="131" spans="1:25" ht="15.6">
      <c r="A131" s="452"/>
      <c r="B131" s="452"/>
      <c r="C131" s="452"/>
      <c r="D131" s="452"/>
      <c r="E131" s="452"/>
      <c r="F131" s="452"/>
      <c r="G131" s="452"/>
      <c r="H131" s="452"/>
      <c r="I131" s="452"/>
      <c r="J131" s="452"/>
      <c r="K131" s="452"/>
      <c r="L131" s="452"/>
      <c r="M131" s="452"/>
      <c r="N131" s="452"/>
      <c r="O131" s="452"/>
      <c r="P131" s="452"/>
      <c r="Q131" s="452"/>
      <c r="R131" s="452"/>
      <c r="S131" s="452"/>
      <c r="T131" s="452"/>
      <c r="U131" s="452"/>
      <c r="V131" s="452"/>
      <c r="W131" s="452"/>
      <c r="X131" s="452"/>
      <c r="Y131" s="452"/>
    </row>
    <row r="132" spans="1:25" ht="15.6">
      <c r="A132" s="452"/>
      <c r="B132" s="452"/>
      <c r="C132" s="452"/>
      <c r="D132" s="452"/>
      <c r="E132" s="452"/>
      <c r="F132" s="452"/>
      <c r="G132" s="452"/>
      <c r="H132" s="452"/>
      <c r="I132" s="452"/>
      <c r="J132" s="452"/>
      <c r="K132" s="452"/>
      <c r="L132" s="452"/>
      <c r="M132" s="452"/>
      <c r="N132" s="452"/>
      <c r="O132" s="452"/>
      <c r="P132" s="452"/>
      <c r="Q132" s="452"/>
      <c r="R132" s="452"/>
      <c r="S132" s="452"/>
      <c r="T132" s="452"/>
      <c r="U132" s="452"/>
      <c r="V132" s="452"/>
      <c r="W132" s="452"/>
      <c r="X132" s="452"/>
      <c r="Y132" s="452"/>
    </row>
    <row r="133" spans="1:25" ht="15.6">
      <c r="A133" s="452"/>
      <c r="B133" s="452"/>
      <c r="C133" s="452"/>
      <c r="D133" s="452"/>
      <c r="E133" s="452"/>
      <c r="F133" s="452"/>
      <c r="G133" s="452"/>
      <c r="H133" s="452"/>
      <c r="I133" s="452"/>
      <c r="J133" s="452"/>
      <c r="K133" s="452"/>
      <c r="L133" s="452"/>
      <c r="M133" s="452"/>
      <c r="N133" s="452"/>
      <c r="O133" s="452"/>
      <c r="P133" s="452"/>
      <c r="Q133" s="452"/>
      <c r="R133" s="452"/>
      <c r="S133" s="452"/>
      <c r="T133" s="452"/>
      <c r="U133" s="452"/>
      <c r="V133" s="452"/>
      <c r="W133" s="452"/>
      <c r="X133" s="452"/>
      <c r="Y133" s="452"/>
    </row>
    <row r="134" spans="1:25" ht="15.6">
      <c r="A134" s="452"/>
      <c r="B134" s="452"/>
      <c r="C134" s="452"/>
      <c r="D134" s="452"/>
      <c r="E134" s="452"/>
      <c r="F134" s="452"/>
      <c r="G134" s="452"/>
      <c r="H134" s="452"/>
      <c r="I134" s="452"/>
      <c r="J134" s="452"/>
      <c r="K134" s="452"/>
      <c r="L134" s="452"/>
      <c r="M134" s="452"/>
      <c r="N134" s="452"/>
      <c r="O134" s="452"/>
      <c r="P134" s="452"/>
      <c r="Q134" s="452"/>
      <c r="R134" s="452"/>
      <c r="S134" s="452"/>
      <c r="T134" s="452"/>
      <c r="U134" s="452"/>
      <c r="V134" s="452"/>
      <c r="W134" s="452"/>
      <c r="X134" s="452"/>
      <c r="Y134" s="452"/>
    </row>
    <row r="135" spans="1:25" ht="15.6">
      <c r="A135" s="452"/>
      <c r="B135" s="452"/>
      <c r="C135" s="452"/>
      <c r="D135" s="452"/>
      <c r="E135" s="452"/>
      <c r="F135" s="452"/>
      <c r="G135" s="452"/>
      <c r="H135" s="452"/>
      <c r="I135" s="452"/>
      <c r="J135" s="452"/>
      <c r="K135" s="452"/>
      <c r="L135" s="452"/>
      <c r="M135" s="452"/>
      <c r="N135" s="452"/>
      <c r="O135" s="452"/>
      <c r="P135" s="452"/>
      <c r="Q135" s="452"/>
      <c r="R135" s="452"/>
      <c r="S135" s="452"/>
      <c r="T135" s="452"/>
      <c r="U135" s="452"/>
      <c r="V135" s="452"/>
      <c r="W135" s="452"/>
      <c r="X135" s="452"/>
      <c r="Y135" s="452"/>
    </row>
    <row r="136" spans="1:25" ht="15.6">
      <c r="A136" s="452"/>
      <c r="B136" s="452"/>
      <c r="C136" s="452"/>
      <c r="D136" s="452"/>
      <c r="E136" s="452"/>
      <c r="F136" s="452"/>
      <c r="G136" s="452"/>
      <c r="H136" s="452"/>
      <c r="I136" s="452"/>
      <c r="J136" s="452"/>
      <c r="K136" s="452"/>
      <c r="L136" s="452"/>
      <c r="M136" s="452"/>
      <c r="N136" s="452"/>
      <c r="O136" s="452"/>
      <c r="P136" s="452"/>
      <c r="Q136" s="452"/>
      <c r="R136" s="452"/>
      <c r="S136" s="452"/>
      <c r="T136" s="452"/>
      <c r="U136" s="452"/>
      <c r="V136" s="452"/>
      <c r="W136" s="452"/>
      <c r="X136" s="452"/>
      <c r="Y136" s="452"/>
    </row>
    <row r="137" spans="1:25" ht="15.6">
      <c r="A137" s="452"/>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row>
    <row r="138" spans="1:25" ht="15.6">
      <c r="A138" s="452"/>
      <c r="B138" s="452"/>
      <c r="C138" s="452"/>
      <c r="D138" s="452"/>
      <c r="E138" s="452"/>
      <c r="F138" s="452"/>
      <c r="G138" s="452"/>
      <c r="H138" s="452"/>
      <c r="I138" s="452"/>
      <c r="J138" s="452"/>
      <c r="K138" s="452"/>
      <c r="L138" s="452"/>
      <c r="M138" s="452"/>
      <c r="N138" s="452"/>
      <c r="O138" s="452"/>
      <c r="P138" s="452"/>
      <c r="Q138" s="452"/>
      <c r="R138" s="452"/>
      <c r="S138" s="452"/>
      <c r="T138" s="452"/>
      <c r="U138" s="452"/>
      <c r="V138" s="452"/>
      <c r="W138" s="452"/>
      <c r="X138" s="452"/>
      <c r="Y138" s="452"/>
    </row>
    <row r="139" spans="1:25" ht="15.6">
      <c r="A139" s="452"/>
      <c r="B139" s="452"/>
      <c r="C139" s="452"/>
      <c r="D139" s="452"/>
      <c r="E139" s="452"/>
      <c r="F139" s="452"/>
      <c r="G139" s="452"/>
      <c r="H139" s="452"/>
      <c r="I139" s="452"/>
      <c r="J139" s="452"/>
      <c r="K139" s="452"/>
      <c r="L139" s="452"/>
      <c r="M139" s="452"/>
      <c r="N139" s="452"/>
      <c r="O139" s="452"/>
      <c r="P139" s="452"/>
      <c r="Q139" s="452"/>
      <c r="R139" s="452"/>
      <c r="S139" s="452"/>
      <c r="T139" s="452"/>
      <c r="U139" s="452"/>
      <c r="V139" s="452"/>
      <c r="W139" s="452"/>
      <c r="X139" s="452"/>
      <c r="Y139" s="452"/>
    </row>
    <row r="140" spans="1:25" ht="15.6">
      <c r="A140" s="452"/>
      <c r="B140" s="452"/>
      <c r="C140" s="452"/>
      <c r="D140" s="452"/>
      <c r="E140" s="452"/>
      <c r="F140" s="452"/>
      <c r="G140" s="452"/>
      <c r="H140" s="452"/>
      <c r="I140" s="452"/>
      <c r="J140" s="452"/>
      <c r="K140" s="452"/>
      <c r="L140" s="452"/>
      <c r="M140" s="452"/>
      <c r="N140" s="452"/>
      <c r="O140" s="452"/>
      <c r="P140" s="452"/>
      <c r="Q140" s="452"/>
      <c r="R140" s="452"/>
      <c r="S140" s="452"/>
      <c r="T140" s="452"/>
      <c r="U140" s="452"/>
      <c r="V140" s="452"/>
      <c r="W140" s="452"/>
      <c r="X140" s="452"/>
      <c r="Y140" s="452"/>
    </row>
    <row r="141" spans="1:25" ht="15.6">
      <c r="A141" s="452"/>
      <c r="B141" s="452"/>
      <c r="C141" s="452"/>
      <c r="D141" s="452"/>
      <c r="E141" s="452"/>
      <c r="F141" s="452"/>
      <c r="G141" s="452"/>
      <c r="H141" s="452"/>
      <c r="I141" s="452"/>
      <c r="J141" s="452"/>
      <c r="K141" s="452"/>
      <c r="L141" s="452"/>
      <c r="M141" s="452"/>
      <c r="N141" s="452"/>
      <c r="O141" s="452"/>
      <c r="P141" s="452"/>
      <c r="Q141" s="452"/>
      <c r="R141" s="452"/>
      <c r="S141" s="452"/>
      <c r="T141" s="452"/>
      <c r="U141" s="452"/>
      <c r="V141" s="452"/>
      <c r="W141" s="452"/>
      <c r="X141" s="452"/>
      <c r="Y141" s="452"/>
    </row>
    <row r="142" spans="1:25" ht="15.6">
      <c r="A142" s="452"/>
      <c r="B142" s="452"/>
      <c r="C142" s="452"/>
      <c r="D142" s="452"/>
      <c r="E142" s="452"/>
      <c r="F142" s="452"/>
      <c r="G142" s="452"/>
      <c r="H142" s="452"/>
      <c r="I142" s="452"/>
      <c r="J142" s="452"/>
      <c r="K142" s="452"/>
      <c r="L142" s="452"/>
      <c r="M142" s="452"/>
      <c r="N142" s="452"/>
      <c r="O142" s="452"/>
      <c r="P142" s="452"/>
      <c r="Q142" s="452"/>
      <c r="R142" s="452"/>
      <c r="S142" s="452"/>
      <c r="T142" s="452"/>
      <c r="U142" s="452"/>
      <c r="V142" s="452"/>
      <c r="W142" s="452"/>
      <c r="X142" s="452"/>
      <c r="Y142" s="452"/>
    </row>
    <row r="143" spans="1:25" ht="15.6">
      <c r="A143" s="452"/>
      <c r="B143" s="452"/>
      <c r="C143" s="452"/>
      <c r="D143" s="452"/>
      <c r="E143" s="452"/>
      <c r="F143" s="452"/>
      <c r="G143" s="452"/>
      <c r="H143" s="452"/>
      <c r="I143" s="452"/>
      <c r="J143" s="452"/>
      <c r="K143" s="452"/>
      <c r="L143" s="452"/>
      <c r="M143" s="452"/>
      <c r="N143" s="452"/>
      <c r="O143" s="452"/>
      <c r="P143" s="452"/>
      <c r="Q143" s="452"/>
      <c r="R143" s="452"/>
      <c r="S143" s="452"/>
      <c r="T143" s="452"/>
      <c r="U143" s="452"/>
      <c r="V143" s="452"/>
      <c r="W143" s="452"/>
      <c r="X143" s="452"/>
      <c r="Y143" s="452"/>
    </row>
    <row r="144" spans="1:25" ht="15.6">
      <c r="A144" s="452"/>
      <c r="B144" s="452"/>
      <c r="C144" s="452"/>
      <c r="D144" s="452"/>
      <c r="E144" s="452"/>
      <c r="F144" s="452"/>
      <c r="G144" s="452"/>
      <c r="H144" s="452"/>
      <c r="I144" s="452"/>
      <c r="J144" s="452"/>
      <c r="K144" s="452"/>
      <c r="L144" s="452"/>
      <c r="M144" s="452"/>
      <c r="N144" s="452"/>
      <c r="O144" s="452"/>
      <c r="P144" s="452"/>
      <c r="Q144" s="452"/>
      <c r="R144" s="452"/>
      <c r="S144" s="452"/>
      <c r="T144" s="452"/>
      <c r="U144" s="452"/>
      <c r="V144" s="452"/>
      <c r="W144" s="452"/>
      <c r="X144" s="452"/>
      <c r="Y144" s="452"/>
    </row>
    <row r="145" spans="1:25" ht="15.6">
      <c r="A145" s="452"/>
      <c r="B145" s="452"/>
      <c r="C145" s="452"/>
      <c r="D145" s="452"/>
      <c r="E145" s="452"/>
      <c r="F145" s="452"/>
      <c r="G145" s="452"/>
      <c r="H145" s="452"/>
      <c r="I145" s="452"/>
      <c r="J145" s="452"/>
      <c r="K145" s="452"/>
      <c r="L145" s="452"/>
      <c r="M145" s="452"/>
      <c r="N145" s="452"/>
      <c r="O145" s="452"/>
      <c r="P145" s="452"/>
      <c r="Q145" s="452"/>
      <c r="R145" s="452"/>
      <c r="S145" s="452"/>
      <c r="T145" s="452"/>
      <c r="U145" s="452"/>
      <c r="V145" s="452"/>
      <c r="W145" s="452"/>
      <c r="X145" s="452"/>
      <c r="Y145" s="452"/>
    </row>
    <row r="146" spans="1:25" ht="15.6">
      <c r="A146" s="452"/>
      <c r="B146" s="452"/>
      <c r="C146" s="452"/>
      <c r="D146" s="452"/>
      <c r="E146" s="452"/>
      <c r="F146" s="452"/>
      <c r="G146" s="452"/>
      <c r="H146" s="452"/>
      <c r="I146" s="452"/>
      <c r="J146" s="452"/>
      <c r="K146" s="452"/>
      <c r="L146" s="452"/>
      <c r="M146" s="452"/>
      <c r="N146" s="452"/>
      <c r="O146" s="452"/>
      <c r="P146" s="452"/>
      <c r="Q146" s="452"/>
      <c r="R146" s="452"/>
      <c r="S146" s="452"/>
      <c r="T146" s="452"/>
      <c r="U146" s="452"/>
      <c r="V146" s="452"/>
      <c r="W146" s="452"/>
      <c r="X146" s="452"/>
      <c r="Y146" s="452"/>
    </row>
    <row r="147" spans="1:25" ht="15.6">
      <c r="A147" s="452"/>
      <c r="B147" s="452"/>
      <c r="C147" s="452"/>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row>
    <row r="148" spans="1:25" ht="15.6">
      <c r="A148" s="452"/>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row>
    <row r="149" spans="1:25" ht="15.6">
      <c r="A149" s="452"/>
      <c r="B149" s="452"/>
      <c r="C149" s="452"/>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s="452"/>
    </row>
    <row r="150" spans="1:25" ht="15.6">
      <c r="A150" s="452"/>
      <c r="B150" s="452"/>
      <c r="C150" s="452"/>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row>
    <row r="151" spans="1:25" ht="15.6">
      <c r="A151" s="452"/>
      <c r="B151" s="452"/>
      <c r="C151" s="452"/>
      <c r="D151" s="452"/>
      <c r="E151" s="452"/>
      <c r="F151" s="452"/>
      <c r="G151" s="452"/>
      <c r="H151" s="452"/>
      <c r="I151" s="452"/>
      <c r="J151" s="452"/>
      <c r="K151" s="452"/>
      <c r="L151" s="452"/>
      <c r="M151" s="452"/>
      <c r="N151" s="452"/>
      <c r="O151" s="452"/>
      <c r="P151" s="452"/>
      <c r="Q151" s="452"/>
      <c r="R151" s="452"/>
      <c r="S151" s="452"/>
      <c r="T151" s="452"/>
      <c r="U151" s="452"/>
      <c r="V151" s="452"/>
      <c r="W151" s="452"/>
      <c r="X151" s="452"/>
      <c r="Y151" s="452"/>
    </row>
    <row r="152" spans="1:25" ht="15.6">
      <c r="A152" s="452"/>
      <c r="B152" s="452"/>
      <c r="C152" s="452"/>
      <c r="D152" s="452"/>
      <c r="E152" s="452"/>
      <c r="F152" s="452"/>
      <c r="G152" s="452"/>
      <c r="H152" s="452"/>
      <c r="I152" s="452"/>
      <c r="J152" s="452"/>
      <c r="K152" s="452"/>
      <c r="L152" s="452"/>
      <c r="M152" s="452"/>
      <c r="N152" s="452"/>
      <c r="O152" s="452"/>
      <c r="P152" s="452"/>
      <c r="Q152" s="452"/>
      <c r="R152" s="452"/>
      <c r="S152" s="452"/>
      <c r="T152" s="452"/>
      <c r="U152" s="452"/>
      <c r="V152" s="452"/>
      <c r="W152" s="452"/>
      <c r="X152" s="452"/>
      <c r="Y152" s="452"/>
    </row>
    <row r="153" spans="1:25" ht="15.6">
      <c r="A153" s="452"/>
      <c r="B153" s="452"/>
      <c r="C153" s="452"/>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row>
    <row r="154" spans="1:25" ht="15.6">
      <c r="A154" s="452"/>
      <c r="B154" s="452"/>
      <c r="C154" s="452"/>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row>
    <row r="155" spans="1:25" ht="15.6">
      <c r="A155" s="452"/>
      <c r="B155" s="452"/>
      <c r="C155" s="452"/>
      <c r="D155" s="452"/>
      <c r="E155" s="452"/>
      <c r="F155" s="452"/>
      <c r="G155" s="452"/>
      <c r="H155" s="452"/>
      <c r="I155" s="452"/>
      <c r="J155" s="452"/>
      <c r="K155" s="452"/>
      <c r="L155" s="452"/>
      <c r="M155" s="452"/>
      <c r="N155" s="452"/>
      <c r="O155" s="452"/>
      <c r="P155" s="452"/>
      <c r="Q155" s="452"/>
      <c r="R155" s="452"/>
      <c r="S155" s="452"/>
      <c r="T155" s="452"/>
      <c r="U155" s="452"/>
      <c r="V155" s="452"/>
      <c r="W155" s="452"/>
      <c r="X155" s="452"/>
      <c r="Y155" s="452"/>
    </row>
    <row r="156" spans="1:25" ht="15.6">
      <c r="A156" s="452"/>
      <c r="B156" s="452"/>
      <c r="C156" s="452"/>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row>
    <row r="157" spans="1:25" ht="15.6">
      <c r="A157" s="452"/>
      <c r="B157" s="452"/>
      <c r="C157" s="452"/>
      <c r="D157" s="452"/>
      <c r="E157" s="452"/>
      <c r="F157" s="452"/>
      <c r="G157" s="452"/>
      <c r="H157" s="452"/>
      <c r="I157" s="452"/>
      <c r="J157" s="452"/>
      <c r="K157" s="452"/>
      <c r="L157" s="452"/>
      <c r="M157" s="452"/>
      <c r="N157" s="452"/>
      <c r="O157" s="452"/>
      <c r="P157" s="452"/>
      <c r="Q157" s="452"/>
      <c r="R157" s="452"/>
      <c r="S157" s="452"/>
      <c r="T157" s="452"/>
      <c r="U157" s="452"/>
      <c r="V157" s="452"/>
      <c r="W157" s="452"/>
      <c r="X157" s="452"/>
      <c r="Y157" s="452"/>
    </row>
    <row r="158" spans="1:25" ht="15.6">
      <c r="A158" s="452"/>
      <c r="B158" s="452"/>
      <c r="C158" s="452"/>
      <c r="D158" s="452"/>
      <c r="E158" s="452"/>
      <c r="F158" s="452"/>
      <c r="G158" s="452"/>
      <c r="H158" s="452"/>
      <c r="I158" s="452"/>
      <c r="J158" s="452"/>
      <c r="K158" s="452"/>
      <c r="L158" s="452"/>
      <c r="M158" s="452"/>
      <c r="N158" s="452"/>
      <c r="O158" s="452"/>
      <c r="P158" s="452"/>
      <c r="Q158" s="452"/>
      <c r="R158" s="452"/>
      <c r="S158" s="452"/>
      <c r="T158" s="452"/>
      <c r="U158" s="452"/>
      <c r="V158" s="452"/>
      <c r="W158" s="452"/>
      <c r="X158" s="452"/>
      <c r="Y158" s="452"/>
    </row>
    <row r="159" spans="1:25" ht="15.6">
      <c r="A159" s="452"/>
      <c r="B159" s="452"/>
      <c r="C159" s="452"/>
      <c r="D159" s="452"/>
      <c r="E159" s="452"/>
      <c r="F159" s="452"/>
      <c r="G159" s="452"/>
      <c r="H159" s="452"/>
      <c r="I159" s="452"/>
      <c r="J159" s="452"/>
      <c r="K159" s="452"/>
      <c r="L159" s="452"/>
      <c r="M159" s="452"/>
      <c r="N159" s="452"/>
      <c r="O159" s="452"/>
      <c r="P159" s="452"/>
      <c r="Q159" s="452"/>
      <c r="R159" s="452"/>
      <c r="S159" s="452"/>
      <c r="T159" s="452"/>
      <c r="U159" s="452"/>
      <c r="V159" s="452"/>
      <c r="W159" s="452"/>
      <c r="X159" s="452"/>
      <c r="Y159" s="452"/>
    </row>
    <row r="160" spans="1:25" ht="15.6">
      <c r="A160" s="452"/>
      <c r="B160" s="452"/>
      <c r="C160" s="452"/>
      <c r="D160" s="452"/>
      <c r="E160" s="452"/>
      <c r="F160" s="452"/>
      <c r="G160" s="452"/>
      <c r="H160" s="452"/>
      <c r="I160" s="452"/>
      <c r="J160" s="452"/>
      <c r="K160" s="452"/>
      <c r="L160" s="452"/>
      <c r="M160" s="452"/>
      <c r="N160" s="452"/>
      <c r="O160" s="452"/>
      <c r="P160" s="452"/>
      <c r="Q160" s="452"/>
      <c r="R160" s="452"/>
      <c r="S160" s="452"/>
      <c r="T160" s="452"/>
      <c r="U160" s="452"/>
      <c r="V160" s="452"/>
      <c r="W160" s="452"/>
      <c r="X160" s="452"/>
      <c r="Y160" s="452"/>
    </row>
    <row r="161" spans="1:25" ht="15.6">
      <c r="A161" s="452"/>
      <c r="B161" s="452"/>
      <c r="C161" s="452"/>
      <c r="D161" s="452"/>
      <c r="E161" s="452"/>
      <c r="F161" s="452"/>
      <c r="G161" s="452"/>
      <c r="H161" s="452"/>
      <c r="I161" s="452"/>
      <c r="J161" s="452"/>
      <c r="K161" s="452"/>
      <c r="L161" s="452"/>
      <c r="M161" s="452"/>
      <c r="N161" s="452"/>
      <c r="O161" s="452"/>
      <c r="P161" s="452"/>
      <c r="Q161" s="452"/>
      <c r="R161" s="452"/>
      <c r="S161" s="452"/>
      <c r="T161" s="452"/>
      <c r="U161" s="452"/>
      <c r="V161" s="452"/>
      <c r="W161" s="452"/>
      <c r="X161" s="452"/>
      <c r="Y161" s="452"/>
    </row>
    <row r="162" spans="1:25" ht="15.6">
      <c r="A162" s="452"/>
      <c r="B162" s="452"/>
      <c r="C162" s="452"/>
      <c r="D162" s="452"/>
      <c r="E162" s="452"/>
      <c r="F162" s="452"/>
      <c r="G162" s="452"/>
      <c r="H162" s="452"/>
      <c r="I162" s="452"/>
      <c r="J162" s="452"/>
      <c r="K162" s="452"/>
      <c r="L162" s="452"/>
      <c r="M162" s="452"/>
      <c r="N162" s="452"/>
      <c r="O162" s="452"/>
      <c r="P162" s="452"/>
      <c r="Q162" s="452"/>
      <c r="R162" s="452"/>
      <c r="S162" s="452"/>
      <c r="T162" s="452"/>
      <c r="U162" s="452"/>
      <c r="V162" s="452"/>
      <c r="W162" s="452"/>
      <c r="X162" s="452"/>
      <c r="Y162" s="452"/>
    </row>
    <row r="163" spans="1:25" ht="15.6">
      <c r="A163" s="452"/>
      <c r="B163" s="452"/>
      <c r="C163" s="452"/>
      <c r="D163" s="452"/>
      <c r="E163" s="452"/>
      <c r="F163" s="452"/>
      <c r="G163" s="452"/>
      <c r="H163" s="452"/>
      <c r="I163" s="452"/>
      <c r="J163" s="452"/>
      <c r="K163" s="452"/>
      <c r="L163" s="452"/>
      <c r="M163" s="452"/>
      <c r="N163" s="452"/>
      <c r="O163" s="452"/>
      <c r="P163" s="452"/>
      <c r="Q163" s="452"/>
      <c r="R163" s="452"/>
      <c r="S163" s="452"/>
      <c r="T163" s="452"/>
      <c r="U163" s="452"/>
      <c r="V163" s="452"/>
      <c r="W163" s="452"/>
      <c r="X163" s="452"/>
      <c r="Y163" s="452"/>
    </row>
    <row r="164" spans="1:25" ht="15.6">
      <c r="A164" s="452"/>
      <c r="B164" s="452"/>
      <c r="C164" s="452"/>
      <c r="D164" s="452"/>
      <c r="E164" s="452"/>
      <c r="F164" s="452"/>
      <c r="G164" s="452"/>
      <c r="H164" s="452"/>
      <c r="I164" s="452"/>
      <c r="J164" s="452"/>
      <c r="K164" s="452"/>
      <c r="L164" s="452"/>
      <c r="M164" s="452"/>
      <c r="N164" s="452"/>
      <c r="O164" s="452"/>
      <c r="P164" s="452"/>
      <c r="Q164" s="452"/>
      <c r="R164" s="452"/>
      <c r="S164" s="452"/>
      <c r="T164" s="452"/>
      <c r="U164" s="452"/>
      <c r="V164" s="452"/>
      <c r="W164" s="452"/>
      <c r="X164" s="452"/>
      <c r="Y164" s="452"/>
    </row>
    <row r="165" spans="1:25" ht="15.6">
      <c r="A165" s="452"/>
      <c r="B165" s="452"/>
      <c r="C165" s="452"/>
      <c r="D165" s="452"/>
      <c r="E165" s="452"/>
      <c r="F165" s="452"/>
      <c r="G165" s="452"/>
      <c r="H165" s="452"/>
      <c r="I165" s="452"/>
      <c r="J165" s="452"/>
      <c r="K165" s="452"/>
      <c r="L165" s="452"/>
      <c r="M165" s="452"/>
      <c r="N165" s="452"/>
      <c r="O165" s="452"/>
      <c r="P165" s="452"/>
      <c r="Q165" s="452"/>
      <c r="R165" s="452"/>
      <c r="S165" s="452"/>
      <c r="T165" s="452"/>
      <c r="U165" s="452"/>
      <c r="V165" s="452"/>
      <c r="W165" s="452"/>
      <c r="X165" s="452"/>
      <c r="Y165" s="452"/>
    </row>
    <row r="166" spans="1:25" ht="15.6">
      <c r="A166" s="452"/>
      <c r="B166" s="452"/>
      <c r="C166" s="452"/>
      <c r="D166" s="452"/>
      <c r="E166" s="452"/>
      <c r="F166" s="452"/>
      <c r="G166" s="452"/>
      <c r="H166" s="452"/>
      <c r="I166" s="452"/>
      <c r="J166" s="452"/>
      <c r="K166" s="452"/>
      <c r="L166" s="452"/>
      <c r="M166" s="452"/>
      <c r="N166" s="452"/>
      <c r="O166" s="452"/>
      <c r="P166" s="452"/>
      <c r="Q166" s="452"/>
      <c r="R166" s="452"/>
      <c r="S166" s="452"/>
      <c r="T166" s="452"/>
      <c r="U166" s="452"/>
      <c r="V166" s="452"/>
      <c r="W166" s="452"/>
      <c r="X166" s="452"/>
      <c r="Y166" s="452"/>
    </row>
    <row r="167" spans="1:25" ht="15.6">
      <c r="A167" s="452"/>
      <c r="B167" s="452"/>
      <c r="C167" s="452"/>
      <c r="D167" s="452"/>
      <c r="E167" s="452"/>
      <c r="F167" s="452"/>
      <c r="G167" s="452"/>
      <c r="H167" s="452"/>
      <c r="I167" s="452"/>
      <c r="J167" s="452"/>
      <c r="K167" s="452"/>
      <c r="L167" s="452"/>
      <c r="M167" s="452"/>
      <c r="N167" s="452"/>
      <c r="O167" s="452"/>
      <c r="P167" s="452"/>
      <c r="Q167" s="452"/>
      <c r="R167" s="452"/>
      <c r="S167" s="452"/>
      <c r="T167" s="452"/>
      <c r="U167" s="452"/>
      <c r="V167" s="452"/>
      <c r="W167" s="452"/>
      <c r="X167" s="452"/>
      <c r="Y167" s="452"/>
    </row>
    <row r="168" spans="1:25" ht="15.6">
      <c r="A168" s="452"/>
      <c r="B168" s="452"/>
      <c r="C168" s="452"/>
      <c r="D168" s="452"/>
      <c r="E168" s="452"/>
      <c r="F168" s="452"/>
      <c r="G168" s="452"/>
      <c r="H168" s="452"/>
      <c r="I168" s="452"/>
      <c r="J168" s="452"/>
      <c r="K168" s="452"/>
      <c r="L168" s="452"/>
      <c r="M168" s="452"/>
      <c r="N168" s="452"/>
      <c r="O168" s="452"/>
      <c r="P168" s="452"/>
      <c r="Q168" s="452"/>
      <c r="R168" s="452"/>
      <c r="S168" s="452"/>
      <c r="T168" s="452"/>
      <c r="U168" s="452"/>
      <c r="V168" s="452"/>
      <c r="W168" s="452"/>
      <c r="X168" s="452"/>
      <c r="Y168" s="452"/>
    </row>
    <row r="169" spans="1:25" ht="15.6">
      <c r="A169" s="452"/>
      <c r="B169" s="452"/>
      <c r="C169" s="452"/>
      <c r="D169" s="452"/>
      <c r="E169" s="452"/>
      <c r="F169" s="452"/>
      <c r="G169" s="452"/>
      <c r="H169" s="452"/>
      <c r="I169" s="452"/>
      <c r="J169" s="452"/>
      <c r="K169" s="452"/>
      <c r="L169" s="452"/>
      <c r="M169" s="452"/>
      <c r="N169" s="452"/>
      <c r="O169" s="452"/>
      <c r="P169" s="452"/>
      <c r="Q169" s="452"/>
      <c r="R169" s="452"/>
      <c r="S169" s="452"/>
      <c r="T169" s="452"/>
      <c r="U169" s="452"/>
      <c r="V169" s="452"/>
      <c r="W169" s="452"/>
      <c r="X169" s="452"/>
      <c r="Y169" s="452"/>
    </row>
    <row r="170" spans="1:25" ht="15.6">
      <c r="A170" s="452"/>
      <c r="B170" s="452"/>
      <c r="C170" s="452"/>
      <c r="D170" s="452"/>
      <c r="E170" s="452"/>
      <c r="F170" s="452"/>
      <c r="G170" s="452"/>
      <c r="H170" s="452"/>
      <c r="I170" s="452"/>
      <c r="J170" s="452"/>
      <c r="K170" s="452"/>
      <c r="L170" s="452"/>
      <c r="M170" s="452"/>
      <c r="N170" s="452"/>
      <c r="O170" s="452"/>
      <c r="P170" s="452"/>
      <c r="Q170" s="452"/>
      <c r="R170" s="452"/>
      <c r="S170" s="452"/>
      <c r="T170" s="452"/>
      <c r="U170" s="452"/>
      <c r="V170" s="452"/>
      <c r="W170" s="452"/>
      <c r="X170" s="452"/>
      <c r="Y170" s="452"/>
    </row>
    <row r="171" spans="1:25" ht="15.6">
      <c r="A171" s="452"/>
      <c r="B171" s="452"/>
      <c r="C171" s="452"/>
      <c r="D171" s="452"/>
      <c r="E171" s="452"/>
      <c r="F171" s="452"/>
      <c r="G171" s="452"/>
      <c r="H171" s="452"/>
      <c r="I171" s="452"/>
      <c r="J171" s="452"/>
      <c r="K171" s="452"/>
      <c r="L171" s="452"/>
      <c r="M171" s="452"/>
      <c r="N171" s="452"/>
      <c r="O171" s="452"/>
      <c r="P171" s="452"/>
      <c r="Q171" s="452"/>
      <c r="R171" s="452"/>
      <c r="S171" s="452"/>
      <c r="T171" s="452"/>
      <c r="U171" s="452"/>
      <c r="V171" s="452"/>
      <c r="W171" s="452"/>
      <c r="X171" s="452"/>
      <c r="Y171" s="452"/>
    </row>
    <row r="172" spans="1:25" ht="15.6">
      <c r="A172" s="452"/>
      <c r="B172" s="452"/>
      <c r="C172" s="452"/>
      <c r="D172" s="452"/>
      <c r="E172" s="452"/>
      <c r="F172" s="452"/>
      <c r="G172" s="452"/>
      <c r="H172" s="452"/>
      <c r="I172" s="452"/>
      <c r="J172" s="452"/>
      <c r="K172" s="452"/>
      <c r="L172" s="452"/>
      <c r="M172" s="452"/>
      <c r="N172" s="452"/>
      <c r="O172" s="452"/>
      <c r="P172" s="452"/>
      <c r="Q172" s="452"/>
      <c r="R172" s="452"/>
      <c r="S172" s="452"/>
      <c r="T172" s="452"/>
      <c r="U172" s="452"/>
      <c r="V172" s="452"/>
      <c r="W172" s="452"/>
      <c r="X172" s="452"/>
      <c r="Y172" s="452"/>
    </row>
    <row r="173" spans="1:25" ht="15.6">
      <c r="A173" s="452"/>
      <c r="B173" s="452"/>
      <c r="C173" s="452"/>
      <c r="D173" s="452"/>
      <c r="E173" s="452"/>
      <c r="F173" s="452"/>
      <c r="G173" s="452"/>
      <c r="H173" s="452"/>
      <c r="I173" s="452"/>
      <c r="J173" s="452"/>
      <c r="K173" s="452"/>
      <c r="L173" s="452"/>
      <c r="M173" s="452"/>
      <c r="N173" s="452"/>
      <c r="O173" s="452"/>
      <c r="P173" s="452"/>
      <c r="Q173" s="452"/>
      <c r="R173" s="452"/>
      <c r="S173" s="452"/>
      <c r="T173" s="452"/>
      <c r="U173" s="452"/>
      <c r="V173" s="452"/>
      <c r="W173" s="452"/>
      <c r="X173" s="452"/>
      <c r="Y173" s="452"/>
    </row>
    <row r="174" spans="1:25" ht="15.6">
      <c r="A174" s="452"/>
      <c r="B174" s="452"/>
      <c r="C174" s="452"/>
      <c r="D174" s="452"/>
      <c r="E174" s="452"/>
      <c r="F174" s="452"/>
      <c r="G174" s="452"/>
      <c r="H174" s="452"/>
      <c r="I174" s="452"/>
      <c r="J174" s="452"/>
      <c r="K174" s="452"/>
      <c r="L174" s="452"/>
      <c r="M174" s="452"/>
      <c r="N174" s="452"/>
      <c r="O174" s="452"/>
      <c r="P174" s="452"/>
      <c r="Q174" s="452"/>
      <c r="R174" s="452"/>
      <c r="S174" s="452"/>
      <c r="T174" s="452"/>
      <c r="U174" s="452"/>
      <c r="V174" s="452"/>
      <c r="W174" s="452"/>
      <c r="X174" s="452"/>
      <c r="Y174" s="452"/>
    </row>
    <row r="175" spans="1:25" ht="15.6">
      <c r="A175" s="452"/>
      <c r="B175" s="452"/>
      <c r="C175" s="452"/>
      <c r="D175" s="452"/>
      <c r="E175" s="452"/>
      <c r="F175" s="452"/>
      <c r="G175" s="452"/>
      <c r="H175" s="452"/>
      <c r="I175" s="452"/>
      <c r="J175" s="452"/>
      <c r="K175" s="452"/>
      <c r="L175" s="452"/>
      <c r="M175" s="452"/>
      <c r="N175" s="452"/>
      <c r="O175" s="452"/>
      <c r="P175" s="452"/>
      <c r="Q175" s="452"/>
      <c r="R175" s="452"/>
      <c r="S175" s="452"/>
      <c r="T175" s="452"/>
      <c r="U175" s="452"/>
      <c r="V175" s="452"/>
      <c r="W175" s="452"/>
      <c r="X175" s="452"/>
      <c r="Y175" s="452"/>
    </row>
    <row r="176" spans="1:25" ht="15.6">
      <c r="A176" s="452"/>
      <c r="B176" s="452"/>
      <c r="C176" s="452"/>
      <c r="D176" s="452"/>
      <c r="E176" s="452"/>
      <c r="F176" s="452"/>
      <c r="G176" s="452"/>
      <c r="H176" s="452"/>
      <c r="I176" s="452"/>
      <c r="J176" s="452"/>
      <c r="K176" s="452"/>
      <c r="L176" s="452"/>
      <c r="M176" s="452"/>
      <c r="N176" s="452"/>
      <c r="O176" s="452"/>
      <c r="P176" s="452"/>
      <c r="Q176" s="452"/>
      <c r="R176" s="452"/>
      <c r="S176" s="452"/>
      <c r="T176" s="452"/>
      <c r="U176" s="452"/>
      <c r="V176" s="452"/>
      <c r="W176" s="452"/>
      <c r="X176" s="452"/>
      <c r="Y176" s="452"/>
    </row>
    <row r="177" spans="1:25" ht="15.6">
      <c r="A177" s="452"/>
      <c r="B177" s="452"/>
      <c r="C177" s="452"/>
      <c r="D177" s="452"/>
      <c r="E177" s="452"/>
      <c r="F177" s="452"/>
      <c r="G177" s="452"/>
      <c r="H177" s="452"/>
      <c r="I177" s="452"/>
      <c r="J177" s="452"/>
      <c r="K177" s="452"/>
      <c r="L177" s="452"/>
      <c r="M177" s="452"/>
      <c r="N177" s="452"/>
      <c r="O177" s="452"/>
      <c r="P177" s="452"/>
      <c r="Q177" s="452"/>
      <c r="R177" s="452"/>
      <c r="S177" s="452"/>
      <c r="T177" s="452"/>
      <c r="U177" s="452"/>
      <c r="V177" s="452"/>
      <c r="W177" s="452"/>
      <c r="X177" s="452"/>
      <c r="Y177" s="452"/>
    </row>
    <row r="178" spans="1:25" ht="15.6">
      <c r="A178" s="452"/>
      <c r="B178" s="452"/>
      <c r="C178" s="452"/>
      <c r="D178" s="452"/>
      <c r="E178" s="452"/>
      <c r="F178" s="452"/>
      <c r="G178" s="452"/>
      <c r="H178" s="452"/>
      <c r="I178" s="452"/>
      <c r="J178" s="452"/>
      <c r="K178" s="452"/>
      <c r="L178" s="452"/>
      <c r="M178" s="452"/>
      <c r="N178" s="452"/>
      <c r="O178" s="452"/>
      <c r="P178" s="452"/>
      <c r="Q178" s="452"/>
      <c r="R178" s="452"/>
      <c r="S178" s="452"/>
      <c r="T178" s="452"/>
      <c r="U178" s="452"/>
      <c r="V178" s="452"/>
      <c r="W178" s="452"/>
      <c r="X178" s="452"/>
      <c r="Y178" s="452"/>
    </row>
    <row r="179" spans="1:25" ht="15.6">
      <c r="A179" s="452"/>
      <c r="B179" s="452"/>
      <c r="C179" s="452"/>
      <c r="D179" s="452"/>
      <c r="E179" s="452"/>
      <c r="F179" s="452"/>
      <c r="G179" s="452"/>
      <c r="H179" s="452"/>
      <c r="I179" s="452"/>
      <c r="J179" s="452"/>
      <c r="K179" s="452"/>
      <c r="L179" s="452"/>
      <c r="M179" s="452"/>
      <c r="N179" s="452"/>
      <c r="O179" s="452"/>
      <c r="P179" s="452"/>
      <c r="Q179" s="452"/>
      <c r="R179" s="452"/>
      <c r="S179" s="452"/>
      <c r="T179" s="452"/>
      <c r="U179" s="452"/>
      <c r="V179" s="452"/>
      <c r="W179" s="452"/>
      <c r="X179" s="452"/>
      <c r="Y179" s="452"/>
    </row>
    <row r="180" spans="1:25" ht="15.6">
      <c r="A180" s="452"/>
      <c r="B180" s="452"/>
      <c r="C180" s="452"/>
      <c r="D180" s="452"/>
      <c r="E180" s="452"/>
      <c r="F180" s="452"/>
      <c r="G180" s="452"/>
      <c r="H180" s="452"/>
      <c r="I180" s="452"/>
      <c r="J180" s="452"/>
      <c r="K180" s="452"/>
      <c r="L180" s="452"/>
      <c r="M180" s="452"/>
      <c r="N180" s="452"/>
      <c r="O180" s="452"/>
      <c r="P180" s="452"/>
      <c r="Q180" s="452"/>
      <c r="R180" s="452"/>
      <c r="S180" s="452"/>
      <c r="T180" s="452"/>
      <c r="U180" s="452"/>
      <c r="V180" s="452"/>
      <c r="W180" s="452"/>
      <c r="X180" s="452"/>
      <c r="Y180" s="452"/>
    </row>
    <row r="181" spans="1:25" ht="15.6">
      <c r="A181" s="452"/>
      <c r="B181" s="452"/>
      <c r="C181" s="452"/>
      <c r="D181" s="452"/>
      <c r="E181" s="452"/>
      <c r="F181" s="452"/>
      <c r="G181" s="452"/>
      <c r="H181" s="452"/>
      <c r="I181" s="452"/>
      <c r="J181" s="452"/>
      <c r="K181" s="452"/>
      <c r="L181" s="452"/>
      <c r="M181" s="452"/>
      <c r="N181" s="452"/>
      <c r="O181" s="452"/>
      <c r="P181" s="452"/>
      <c r="Q181" s="452"/>
      <c r="R181" s="452"/>
      <c r="S181" s="452"/>
      <c r="T181" s="452"/>
      <c r="U181" s="452"/>
      <c r="V181" s="452"/>
      <c r="W181" s="452"/>
      <c r="X181" s="452"/>
      <c r="Y181" s="452"/>
    </row>
    <row r="182" spans="1:25" ht="15.6">
      <c r="A182" s="452"/>
      <c r="B182" s="452"/>
      <c r="C182" s="452"/>
      <c r="D182" s="452"/>
      <c r="E182" s="452"/>
      <c r="F182" s="452"/>
      <c r="G182" s="452"/>
      <c r="H182" s="452"/>
      <c r="I182" s="452"/>
      <c r="J182" s="452"/>
      <c r="K182" s="452"/>
      <c r="L182" s="452"/>
      <c r="M182" s="452"/>
      <c r="N182" s="452"/>
      <c r="O182" s="452"/>
      <c r="P182" s="452"/>
      <c r="Q182" s="452"/>
      <c r="R182" s="452"/>
      <c r="S182" s="452"/>
      <c r="T182" s="452"/>
      <c r="U182" s="452"/>
      <c r="V182" s="452"/>
      <c r="W182" s="452"/>
      <c r="X182" s="452"/>
      <c r="Y182" s="452"/>
    </row>
    <row r="183" spans="1:25" ht="15.6">
      <c r="A183" s="452"/>
      <c r="B183" s="452"/>
      <c r="C183" s="452"/>
      <c r="D183" s="452"/>
      <c r="E183" s="452"/>
      <c r="F183" s="452"/>
      <c r="G183" s="452"/>
      <c r="H183" s="452"/>
      <c r="I183" s="452"/>
      <c r="J183" s="452"/>
      <c r="K183" s="452"/>
      <c r="L183" s="452"/>
      <c r="M183" s="452"/>
      <c r="N183" s="452"/>
      <c r="O183" s="452"/>
      <c r="P183" s="452"/>
      <c r="Q183" s="452"/>
      <c r="R183" s="452"/>
      <c r="S183" s="452"/>
      <c r="T183" s="452"/>
      <c r="U183" s="452"/>
      <c r="V183" s="452"/>
      <c r="W183" s="452"/>
      <c r="X183" s="452"/>
      <c r="Y183" s="452"/>
    </row>
    <row r="184" spans="1:25" ht="15.6">
      <c r="A184" s="452"/>
      <c r="B184" s="452"/>
      <c r="C184" s="452"/>
      <c r="D184" s="452"/>
      <c r="E184" s="452"/>
      <c r="F184" s="452"/>
      <c r="G184" s="452"/>
      <c r="H184" s="452"/>
      <c r="I184" s="452"/>
      <c r="J184" s="452"/>
      <c r="K184" s="452"/>
      <c r="L184" s="452"/>
      <c r="M184" s="452"/>
      <c r="N184" s="452"/>
      <c r="O184" s="452"/>
      <c r="P184" s="452"/>
      <c r="Q184" s="452"/>
      <c r="R184" s="452"/>
      <c r="S184" s="452"/>
      <c r="T184" s="452"/>
      <c r="U184" s="452"/>
      <c r="V184" s="452"/>
      <c r="W184" s="452"/>
      <c r="X184" s="452"/>
      <c r="Y184" s="452"/>
    </row>
    <row r="185" spans="1:25" ht="15.6">
      <c r="A185" s="452"/>
      <c r="B185" s="452"/>
      <c r="C185" s="452"/>
      <c r="D185" s="452"/>
      <c r="E185" s="452"/>
      <c r="F185" s="452"/>
      <c r="G185" s="452"/>
      <c r="H185" s="452"/>
      <c r="I185" s="452"/>
      <c r="J185" s="452"/>
      <c r="K185" s="452"/>
      <c r="L185" s="452"/>
      <c r="M185" s="452"/>
      <c r="N185" s="452"/>
      <c r="O185" s="452"/>
      <c r="P185" s="452"/>
      <c r="Q185" s="452"/>
      <c r="R185" s="452"/>
      <c r="S185" s="452"/>
      <c r="T185" s="452"/>
      <c r="U185" s="452"/>
      <c r="V185" s="452"/>
      <c r="W185" s="452"/>
      <c r="X185" s="452"/>
      <c r="Y185" s="452"/>
    </row>
    <row r="186" spans="1:25" ht="15.6">
      <c r="A186" s="452"/>
      <c r="B186" s="452"/>
      <c r="C186" s="452"/>
      <c r="D186" s="452"/>
      <c r="E186" s="452"/>
      <c r="F186" s="452"/>
      <c r="G186" s="452"/>
      <c r="H186" s="452"/>
      <c r="I186" s="452"/>
      <c r="J186" s="452"/>
      <c r="K186" s="452"/>
      <c r="L186" s="452"/>
      <c r="M186" s="452"/>
      <c r="N186" s="452"/>
      <c r="O186" s="452"/>
      <c r="P186" s="452"/>
      <c r="Q186" s="452"/>
      <c r="R186" s="452"/>
      <c r="S186" s="452"/>
      <c r="T186" s="452"/>
      <c r="U186" s="452"/>
      <c r="V186" s="452"/>
      <c r="W186" s="452"/>
      <c r="X186" s="452"/>
      <c r="Y186" s="452"/>
    </row>
    <row r="187" spans="1:25" ht="15.6">
      <c r="A187" s="452"/>
      <c r="B187" s="452"/>
      <c r="C187" s="452"/>
      <c r="D187" s="452"/>
      <c r="E187" s="452"/>
      <c r="F187" s="452"/>
      <c r="G187" s="452"/>
      <c r="H187" s="452"/>
      <c r="I187" s="452"/>
      <c r="J187" s="452"/>
      <c r="K187" s="452"/>
      <c r="L187" s="452"/>
      <c r="M187" s="452"/>
      <c r="N187" s="452"/>
      <c r="O187" s="452"/>
      <c r="P187" s="452"/>
      <c r="Q187" s="452"/>
      <c r="R187" s="452"/>
      <c r="S187" s="452"/>
      <c r="T187" s="452"/>
      <c r="U187" s="452"/>
      <c r="V187" s="452"/>
      <c r="W187" s="452"/>
      <c r="X187" s="452"/>
      <c r="Y187" s="452"/>
    </row>
    <row r="188" spans="1:25" ht="15.6">
      <c r="A188" s="452"/>
      <c r="B188" s="452"/>
      <c r="C188" s="452"/>
      <c r="D188" s="452"/>
      <c r="E188" s="452"/>
      <c r="F188" s="452"/>
      <c r="G188" s="452"/>
      <c r="H188" s="452"/>
      <c r="I188" s="452"/>
      <c r="J188" s="452"/>
      <c r="K188" s="452"/>
      <c r="L188" s="452"/>
      <c r="M188" s="452"/>
      <c r="N188" s="452"/>
      <c r="O188" s="452"/>
      <c r="P188" s="452"/>
      <c r="Q188" s="452"/>
      <c r="R188" s="452"/>
      <c r="S188" s="452"/>
      <c r="T188" s="452"/>
      <c r="U188" s="452"/>
      <c r="V188" s="452"/>
      <c r="W188" s="452"/>
      <c r="X188" s="452"/>
      <c r="Y188" s="452"/>
    </row>
    <row r="189" spans="1:25" ht="15.6">
      <c r="A189" s="452"/>
      <c r="B189" s="452"/>
      <c r="C189" s="452"/>
      <c r="D189" s="452"/>
      <c r="E189" s="452"/>
      <c r="F189" s="452"/>
      <c r="G189" s="452"/>
      <c r="H189" s="452"/>
      <c r="I189" s="452"/>
      <c r="J189" s="452"/>
      <c r="K189" s="452"/>
      <c r="L189" s="452"/>
      <c r="M189" s="452"/>
      <c r="N189" s="452"/>
      <c r="O189" s="452"/>
      <c r="P189" s="452"/>
      <c r="Q189" s="452"/>
      <c r="R189" s="452"/>
      <c r="S189" s="452"/>
      <c r="T189" s="452"/>
      <c r="U189" s="452"/>
      <c r="V189" s="452"/>
      <c r="W189" s="452"/>
      <c r="X189" s="452"/>
      <c r="Y189" s="452"/>
    </row>
    <row r="190" spans="1:25" ht="15.6">
      <c r="A190" s="452"/>
      <c r="B190" s="452"/>
      <c r="C190" s="452"/>
      <c r="D190" s="452"/>
      <c r="E190" s="452"/>
      <c r="F190" s="452"/>
      <c r="G190" s="452"/>
      <c r="H190" s="452"/>
      <c r="I190" s="452"/>
      <c r="J190" s="452"/>
      <c r="K190" s="452"/>
      <c r="L190" s="452"/>
      <c r="M190" s="452"/>
      <c r="N190" s="452"/>
      <c r="O190" s="452"/>
      <c r="P190" s="452"/>
      <c r="Q190" s="452"/>
      <c r="R190" s="452"/>
      <c r="S190" s="452"/>
      <c r="T190" s="452"/>
      <c r="U190" s="452"/>
      <c r="V190" s="452"/>
      <c r="W190" s="452"/>
      <c r="X190" s="452"/>
      <c r="Y190" s="452"/>
    </row>
    <row r="191" spans="1:25" ht="15.6">
      <c r="A191" s="452"/>
      <c r="B191" s="452"/>
      <c r="C191" s="452"/>
      <c r="D191" s="452"/>
      <c r="E191" s="452"/>
      <c r="F191" s="452"/>
      <c r="G191" s="452"/>
      <c r="H191" s="452"/>
      <c r="I191" s="452"/>
      <c r="J191" s="452"/>
      <c r="K191" s="452"/>
      <c r="L191" s="452"/>
      <c r="M191" s="452"/>
      <c r="N191" s="452"/>
      <c r="O191" s="452"/>
      <c r="P191" s="452"/>
      <c r="Q191" s="452"/>
      <c r="R191" s="452"/>
      <c r="S191" s="452"/>
      <c r="T191" s="452"/>
      <c r="U191" s="452"/>
      <c r="V191" s="452"/>
      <c r="W191" s="452"/>
      <c r="X191" s="452"/>
      <c r="Y191" s="452"/>
    </row>
    <row r="192" spans="1:25" ht="15.6">
      <c r="A192" s="452"/>
      <c r="B192" s="452"/>
      <c r="C192" s="452"/>
      <c r="D192" s="452"/>
      <c r="E192" s="452"/>
      <c r="F192" s="452"/>
      <c r="G192" s="452"/>
      <c r="H192" s="452"/>
      <c r="I192" s="452"/>
      <c r="J192" s="452"/>
      <c r="K192" s="452"/>
      <c r="L192" s="452"/>
      <c r="M192" s="452"/>
      <c r="N192" s="452"/>
      <c r="O192" s="452"/>
      <c r="P192" s="452"/>
      <c r="Q192" s="452"/>
      <c r="R192" s="452"/>
      <c r="S192" s="452"/>
      <c r="T192" s="452"/>
      <c r="U192" s="452"/>
      <c r="V192" s="452"/>
      <c r="W192" s="452"/>
      <c r="X192" s="452"/>
      <c r="Y192" s="452"/>
    </row>
    <row r="193" spans="1:25" ht="15.6">
      <c r="A193" s="452"/>
      <c r="B193" s="452"/>
      <c r="C193" s="452"/>
      <c r="D193" s="452"/>
      <c r="E193" s="452"/>
      <c r="F193" s="452"/>
      <c r="G193" s="452"/>
      <c r="H193" s="452"/>
      <c r="I193" s="452"/>
      <c r="J193" s="452"/>
      <c r="K193" s="452"/>
      <c r="L193" s="452"/>
      <c r="M193" s="452"/>
      <c r="N193" s="452"/>
      <c r="O193" s="452"/>
      <c r="P193" s="452"/>
      <c r="Q193" s="452"/>
      <c r="R193" s="452"/>
      <c r="S193" s="452"/>
      <c r="T193" s="452"/>
      <c r="U193" s="452"/>
      <c r="V193" s="452"/>
      <c r="W193" s="452"/>
      <c r="X193" s="452"/>
      <c r="Y193" s="452"/>
    </row>
    <row r="194" spans="1:25" ht="15.6">
      <c r="A194" s="452"/>
      <c r="B194" s="452"/>
      <c r="C194" s="452"/>
      <c r="D194" s="452"/>
      <c r="E194" s="452"/>
      <c r="F194" s="452"/>
      <c r="G194" s="452"/>
      <c r="H194" s="452"/>
      <c r="I194" s="452"/>
      <c r="J194" s="452"/>
      <c r="K194" s="452"/>
      <c r="L194" s="452"/>
      <c r="M194" s="452"/>
      <c r="N194" s="452"/>
      <c r="O194" s="452"/>
      <c r="P194" s="452"/>
      <c r="Q194" s="452"/>
      <c r="R194" s="452"/>
      <c r="S194" s="452"/>
      <c r="T194" s="452"/>
      <c r="U194" s="452"/>
      <c r="V194" s="452"/>
      <c r="W194" s="452"/>
      <c r="X194" s="452"/>
      <c r="Y194" s="452"/>
    </row>
    <row r="195" spans="1:25" ht="15.6">
      <c r="A195" s="452"/>
      <c r="B195" s="452"/>
      <c r="C195" s="452"/>
      <c r="D195" s="452"/>
      <c r="E195" s="452"/>
      <c r="F195" s="452"/>
      <c r="G195" s="452"/>
      <c r="H195" s="452"/>
      <c r="I195" s="452"/>
      <c r="J195" s="452"/>
      <c r="K195" s="452"/>
      <c r="L195" s="452"/>
      <c r="M195" s="452"/>
      <c r="N195" s="452"/>
      <c r="O195" s="452"/>
      <c r="P195" s="452"/>
      <c r="Q195" s="452"/>
      <c r="R195" s="452"/>
      <c r="S195" s="452"/>
      <c r="T195" s="452"/>
      <c r="U195" s="452"/>
      <c r="V195" s="452"/>
      <c r="W195" s="452"/>
      <c r="X195" s="452"/>
      <c r="Y195" s="452"/>
    </row>
    <row r="196" spans="1:25" ht="15.6">
      <c r="A196" s="452"/>
      <c r="B196" s="452"/>
      <c r="C196" s="452"/>
      <c r="D196" s="452"/>
      <c r="E196" s="452"/>
      <c r="F196" s="452"/>
      <c r="G196" s="452"/>
      <c r="H196" s="452"/>
      <c r="I196" s="452"/>
      <c r="J196" s="452"/>
      <c r="K196" s="452"/>
      <c r="L196" s="452"/>
      <c r="M196" s="452"/>
      <c r="N196" s="452"/>
      <c r="O196" s="452"/>
      <c r="P196" s="452"/>
      <c r="Q196" s="452"/>
      <c r="R196" s="452"/>
      <c r="S196" s="452"/>
      <c r="T196" s="452"/>
      <c r="U196" s="452"/>
      <c r="V196" s="452"/>
      <c r="W196" s="452"/>
      <c r="X196" s="452"/>
      <c r="Y196" s="452"/>
    </row>
    <row r="197" spans="1:25" ht="15.6">
      <c r="A197" s="452"/>
      <c r="B197" s="452"/>
      <c r="C197" s="452"/>
      <c r="D197" s="452"/>
      <c r="E197" s="452"/>
      <c r="F197" s="452"/>
      <c r="G197" s="452"/>
      <c r="H197" s="452"/>
      <c r="I197" s="452"/>
      <c r="J197" s="452"/>
      <c r="K197" s="452"/>
      <c r="L197" s="452"/>
      <c r="M197" s="452"/>
      <c r="N197" s="452"/>
      <c r="O197" s="452"/>
      <c r="P197" s="452"/>
      <c r="Q197" s="452"/>
      <c r="R197" s="452"/>
      <c r="S197" s="452"/>
      <c r="T197" s="452"/>
      <c r="U197" s="452"/>
      <c r="V197" s="452"/>
      <c r="W197" s="452"/>
      <c r="X197" s="452"/>
      <c r="Y197" s="452"/>
    </row>
    <row r="198" spans="1:25" ht="15.6">
      <c r="A198" s="452"/>
      <c r="B198" s="452"/>
      <c r="C198" s="452"/>
      <c r="D198" s="452"/>
      <c r="E198" s="452"/>
      <c r="F198" s="452"/>
      <c r="G198" s="452"/>
      <c r="H198" s="452"/>
      <c r="I198" s="452"/>
      <c r="J198" s="452"/>
      <c r="K198" s="452"/>
      <c r="L198" s="452"/>
      <c r="M198" s="452"/>
      <c r="N198" s="452"/>
      <c r="O198" s="452"/>
      <c r="P198" s="452"/>
      <c r="Q198" s="452"/>
      <c r="R198" s="452"/>
      <c r="S198" s="452"/>
      <c r="T198" s="452"/>
      <c r="U198" s="452"/>
      <c r="V198" s="452"/>
      <c r="W198" s="452"/>
      <c r="X198" s="452"/>
      <c r="Y198" s="452"/>
    </row>
    <row r="199" spans="1:25" ht="15.6">
      <c r="A199" s="452"/>
      <c r="B199" s="452"/>
      <c r="C199" s="452"/>
      <c r="D199" s="452"/>
      <c r="E199" s="452"/>
      <c r="F199" s="452"/>
      <c r="G199" s="452"/>
      <c r="H199" s="452"/>
      <c r="I199" s="452"/>
      <c r="J199" s="452"/>
      <c r="K199" s="452"/>
      <c r="L199" s="452"/>
      <c r="M199" s="452"/>
      <c r="N199" s="452"/>
      <c r="O199" s="452"/>
      <c r="P199" s="452"/>
      <c r="Q199" s="452"/>
      <c r="R199" s="452"/>
      <c r="S199" s="452"/>
      <c r="T199" s="452"/>
      <c r="U199" s="452"/>
      <c r="V199" s="452"/>
      <c r="W199" s="452"/>
      <c r="X199" s="452"/>
      <c r="Y199" s="452"/>
    </row>
    <row r="200" spans="1:25" ht="15.6">
      <c r="A200" s="452"/>
      <c r="B200" s="452"/>
      <c r="C200" s="452"/>
      <c r="D200" s="452"/>
      <c r="E200" s="452"/>
      <c r="F200" s="452"/>
      <c r="G200" s="452"/>
      <c r="H200" s="452"/>
      <c r="I200" s="452"/>
      <c r="J200" s="452"/>
      <c r="K200" s="452"/>
      <c r="L200" s="452"/>
      <c r="M200" s="452"/>
      <c r="N200" s="452"/>
      <c r="O200" s="452"/>
      <c r="P200" s="452"/>
      <c r="Q200" s="452"/>
      <c r="R200" s="452"/>
      <c r="S200" s="452"/>
      <c r="T200" s="452"/>
      <c r="U200" s="452"/>
      <c r="V200" s="452"/>
      <c r="W200" s="452"/>
      <c r="X200" s="452"/>
      <c r="Y200" s="452"/>
    </row>
    <row r="201" spans="1:25" ht="15.6">
      <c r="A201" s="452"/>
      <c r="B201" s="452"/>
      <c r="C201" s="452"/>
      <c r="D201" s="452"/>
      <c r="E201" s="452"/>
      <c r="F201" s="452"/>
      <c r="G201" s="452"/>
      <c r="H201" s="452"/>
      <c r="I201" s="452"/>
      <c r="J201" s="452"/>
      <c r="K201" s="452"/>
      <c r="L201" s="452"/>
      <c r="M201" s="452"/>
      <c r="N201" s="452"/>
      <c r="O201" s="452"/>
      <c r="P201" s="452"/>
      <c r="Q201" s="452"/>
      <c r="R201" s="452"/>
      <c r="S201" s="452"/>
      <c r="T201" s="452"/>
      <c r="U201" s="452"/>
      <c r="V201" s="452"/>
      <c r="W201" s="452"/>
      <c r="X201" s="452"/>
      <c r="Y201" s="452"/>
    </row>
    <row r="202" spans="1:25" ht="15.6">
      <c r="A202" s="452"/>
      <c r="B202" s="452"/>
      <c r="C202" s="452"/>
      <c r="D202" s="452"/>
      <c r="E202" s="452"/>
      <c r="F202" s="452"/>
      <c r="G202" s="452"/>
      <c r="H202" s="452"/>
      <c r="I202" s="452"/>
      <c r="J202" s="452"/>
      <c r="K202" s="452"/>
      <c r="L202" s="452"/>
      <c r="M202" s="452"/>
      <c r="N202" s="452"/>
      <c r="O202" s="452"/>
      <c r="P202" s="452"/>
      <c r="Q202" s="452"/>
      <c r="R202" s="452"/>
      <c r="S202" s="452"/>
      <c r="T202" s="452"/>
      <c r="U202" s="452"/>
      <c r="V202" s="452"/>
      <c r="W202" s="452"/>
      <c r="X202" s="452"/>
      <c r="Y202" s="452"/>
    </row>
    <row r="203" spans="1:25" ht="15.6">
      <c r="A203" s="452"/>
      <c r="B203" s="452"/>
      <c r="C203" s="452"/>
      <c r="D203" s="452"/>
      <c r="E203" s="452"/>
      <c r="F203" s="452"/>
      <c r="G203" s="452"/>
      <c r="H203" s="452"/>
      <c r="I203" s="452"/>
      <c r="J203" s="452"/>
      <c r="K203" s="452"/>
      <c r="L203" s="452"/>
      <c r="M203" s="452"/>
      <c r="N203" s="452"/>
      <c r="O203" s="452"/>
      <c r="P203" s="452"/>
      <c r="Q203" s="452"/>
      <c r="R203" s="452"/>
      <c r="S203" s="452"/>
      <c r="T203" s="452"/>
      <c r="U203" s="452"/>
      <c r="V203" s="452"/>
      <c r="W203" s="452"/>
      <c r="X203" s="452"/>
      <c r="Y203" s="452"/>
    </row>
    <row r="204" spans="1:25" ht="15.6">
      <c r="A204" s="452"/>
      <c r="B204" s="452"/>
      <c r="C204" s="452"/>
      <c r="D204" s="452"/>
      <c r="E204" s="452"/>
      <c r="F204" s="452"/>
      <c r="G204" s="452"/>
      <c r="H204" s="452"/>
      <c r="I204" s="452"/>
      <c r="J204" s="452"/>
      <c r="K204" s="452"/>
      <c r="L204" s="452"/>
      <c r="M204" s="452"/>
      <c r="N204" s="452"/>
      <c r="O204" s="452"/>
      <c r="P204" s="452"/>
      <c r="Q204" s="452"/>
      <c r="R204" s="452"/>
      <c r="S204" s="452"/>
      <c r="T204" s="452"/>
      <c r="U204" s="452"/>
      <c r="V204" s="452"/>
      <c r="W204" s="452"/>
      <c r="X204" s="452"/>
      <c r="Y204" s="452"/>
    </row>
    <row r="205" spans="1:25" ht="15.6">
      <c r="A205" s="452"/>
      <c r="B205" s="452"/>
      <c r="C205" s="452"/>
      <c r="D205" s="452"/>
      <c r="E205" s="452"/>
      <c r="F205" s="452"/>
      <c r="G205" s="452"/>
      <c r="H205" s="452"/>
      <c r="I205" s="452"/>
      <c r="J205" s="452"/>
      <c r="K205" s="452"/>
      <c r="L205" s="452"/>
      <c r="M205" s="452"/>
      <c r="N205" s="452"/>
      <c r="O205" s="452"/>
      <c r="P205" s="452"/>
      <c r="Q205" s="452"/>
      <c r="R205" s="452"/>
      <c r="S205" s="452"/>
      <c r="T205" s="452"/>
      <c r="U205" s="452"/>
      <c r="V205" s="452"/>
      <c r="W205" s="452"/>
      <c r="X205" s="452"/>
      <c r="Y205" s="452"/>
    </row>
    <row r="206" spans="1:25" ht="15.6">
      <c r="A206" s="452"/>
      <c r="B206" s="452"/>
      <c r="C206" s="452"/>
      <c r="D206" s="452"/>
      <c r="E206" s="452"/>
      <c r="F206" s="452"/>
      <c r="G206" s="452"/>
      <c r="H206" s="452"/>
      <c r="I206" s="452"/>
      <c r="J206" s="452"/>
      <c r="K206" s="452"/>
      <c r="L206" s="452"/>
      <c r="M206" s="452"/>
      <c r="N206" s="452"/>
      <c r="O206" s="452"/>
      <c r="P206" s="452"/>
      <c r="Q206" s="452"/>
      <c r="R206" s="452"/>
      <c r="S206" s="452"/>
      <c r="T206" s="452"/>
      <c r="U206" s="452"/>
      <c r="V206" s="452"/>
      <c r="W206" s="452"/>
      <c r="X206" s="452"/>
      <c r="Y206" s="452"/>
    </row>
    <row r="207" spans="1:25" ht="15.6">
      <c r="A207" s="452"/>
      <c r="B207" s="452"/>
      <c r="C207" s="452"/>
      <c r="D207" s="452"/>
      <c r="E207" s="452"/>
      <c r="F207" s="452"/>
      <c r="G207" s="452"/>
      <c r="H207" s="452"/>
      <c r="I207" s="452"/>
      <c r="J207" s="452"/>
      <c r="K207" s="452"/>
      <c r="L207" s="452"/>
      <c r="M207" s="452"/>
      <c r="N207" s="452"/>
      <c r="O207" s="452"/>
      <c r="P207" s="452"/>
      <c r="Q207" s="452"/>
      <c r="R207" s="452"/>
      <c r="S207" s="452"/>
      <c r="T207" s="452"/>
      <c r="U207" s="452"/>
      <c r="V207" s="452"/>
      <c r="W207" s="452"/>
      <c r="X207" s="452"/>
      <c r="Y207" s="452"/>
    </row>
    <row r="208" spans="1:25" ht="15.6">
      <c r="A208" s="452"/>
      <c r="B208" s="452"/>
      <c r="C208" s="452"/>
      <c r="D208" s="452"/>
      <c r="E208" s="452"/>
      <c r="F208" s="452"/>
      <c r="G208" s="452"/>
      <c r="H208" s="452"/>
      <c r="I208" s="452"/>
      <c r="J208" s="452"/>
      <c r="K208" s="452"/>
      <c r="L208" s="452"/>
      <c r="M208" s="452"/>
      <c r="N208" s="452"/>
      <c r="O208" s="452"/>
      <c r="P208" s="452"/>
      <c r="Q208" s="452"/>
      <c r="R208" s="452"/>
      <c r="S208" s="452"/>
      <c r="T208" s="452"/>
      <c r="U208" s="452"/>
      <c r="V208" s="452"/>
      <c r="W208" s="452"/>
      <c r="X208" s="452"/>
      <c r="Y208" s="452"/>
    </row>
    <row r="209" spans="1:25" ht="15.6">
      <c r="A209" s="452"/>
      <c r="B209" s="452"/>
      <c r="C209" s="452"/>
      <c r="D209" s="452"/>
      <c r="E209" s="452"/>
      <c r="F209" s="452"/>
      <c r="G209" s="452"/>
      <c r="H209" s="452"/>
      <c r="I209" s="452"/>
      <c r="J209" s="452"/>
      <c r="K209" s="452"/>
      <c r="L209" s="452"/>
      <c r="M209" s="452"/>
      <c r="N209" s="452"/>
      <c r="O209" s="452"/>
      <c r="P209" s="452"/>
      <c r="Q209" s="452"/>
      <c r="R209" s="452"/>
      <c r="S209" s="452"/>
      <c r="T209" s="452"/>
      <c r="U209" s="452"/>
      <c r="V209" s="452"/>
      <c r="W209" s="452"/>
      <c r="X209" s="452"/>
      <c r="Y209" s="452"/>
    </row>
    <row r="210" spans="1:25" ht="15.6">
      <c r="A210" s="452"/>
      <c r="B210" s="452"/>
      <c r="C210" s="452"/>
      <c r="D210" s="452"/>
      <c r="E210" s="452"/>
      <c r="F210" s="452"/>
      <c r="G210" s="452"/>
      <c r="H210" s="452"/>
      <c r="I210" s="452"/>
      <c r="J210" s="452"/>
      <c r="K210" s="452"/>
      <c r="L210" s="452"/>
      <c r="M210" s="452"/>
      <c r="N210" s="452"/>
      <c r="O210" s="452"/>
      <c r="P210" s="452"/>
      <c r="Q210" s="452"/>
      <c r="R210" s="452"/>
      <c r="S210" s="452"/>
      <c r="T210" s="452"/>
      <c r="U210" s="452"/>
      <c r="V210" s="452"/>
      <c r="W210" s="452"/>
      <c r="X210" s="452"/>
      <c r="Y210" s="452"/>
    </row>
    <row r="211" spans="1:25" ht="15.6">
      <c r="A211" s="452"/>
      <c r="B211" s="452"/>
      <c r="C211" s="452"/>
      <c r="D211" s="452"/>
      <c r="E211" s="452"/>
      <c r="F211" s="452"/>
      <c r="G211" s="452"/>
      <c r="H211" s="452"/>
      <c r="I211" s="452"/>
      <c r="J211" s="452"/>
      <c r="K211" s="452"/>
      <c r="L211" s="452"/>
      <c r="M211" s="452"/>
      <c r="N211" s="452"/>
      <c r="O211" s="452"/>
      <c r="P211" s="452"/>
      <c r="Q211" s="452"/>
      <c r="R211" s="452"/>
      <c r="S211" s="452"/>
      <c r="T211" s="452"/>
      <c r="U211" s="452"/>
      <c r="V211" s="452"/>
      <c r="W211" s="452"/>
      <c r="X211" s="452"/>
      <c r="Y211" s="452"/>
    </row>
    <row r="212" spans="1:25" ht="15.6">
      <c r="A212" s="452"/>
      <c r="B212" s="452"/>
      <c r="C212" s="452"/>
      <c r="D212" s="452"/>
      <c r="E212" s="452"/>
      <c r="F212" s="452"/>
      <c r="G212" s="452"/>
      <c r="H212" s="452"/>
      <c r="I212" s="452"/>
      <c r="J212" s="452"/>
      <c r="K212" s="452"/>
      <c r="L212" s="452"/>
      <c r="M212" s="452"/>
      <c r="N212" s="452"/>
      <c r="O212" s="452"/>
      <c r="P212" s="452"/>
      <c r="Q212" s="452"/>
      <c r="R212" s="452"/>
      <c r="S212" s="452"/>
      <c r="T212" s="452"/>
      <c r="U212" s="452"/>
      <c r="V212" s="452"/>
      <c r="W212" s="452"/>
      <c r="X212" s="452"/>
      <c r="Y212" s="452"/>
    </row>
    <row r="213" spans="1:25" ht="15.6">
      <c r="A213" s="452"/>
      <c r="B213" s="452"/>
      <c r="C213" s="452"/>
      <c r="D213" s="452"/>
      <c r="E213" s="452"/>
      <c r="F213" s="452"/>
      <c r="G213" s="452"/>
      <c r="H213" s="452"/>
      <c r="I213" s="452"/>
      <c r="J213" s="452"/>
      <c r="K213" s="452"/>
      <c r="L213" s="452"/>
      <c r="M213" s="452"/>
      <c r="N213" s="452"/>
      <c r="O213" s="452"/>
      <c r="P213" s="452"/>
      <c r="Q213" s="452"/>
      <c r="R213" s="452"/>
      <c r="S213" s="452"/>
      <c r="T213" s="452"/>
      <c r="U213" s="452"/>
      <c r="V213" s="452"/>
      <c r="W213" s="452"/>
      <c r="X213" s="452"/>
      <c r="Y213" s="452"/>
    </row>
    <row r="214" spans="1:25" ht="15.6">
      <c r="A214" s="452"/>
      <c r="B214" s="452"/>
      <c r="C214" s="452"/>
      <c r="D214" s="452"/>
      <c r="E214" s="452"/>
      <c r="F214" s="452"/>
      <c r="G214" s="452"/>
      <c r="H214" s="452"/>
      <c r="I214" s="452"/>
      <c r="J214" s="452"/>
      <c r="K214" s="452"/>
      <c r="L214" s="452"/>
      <c r="M214" s="452"/>
      <c r="N214" s="452"/>
      <c r="O214" s="452"/>
      <c r="P214" s="452"/>
      <c r="Q214" s="452"/>
      <c r="R214" s="452"/>
      <c r="S214" s="452"/>
      <c r="T214" s="452"/>
      <c r="U214" s="452"/>
      <c r="V214" s="452"/>
      <c r="W214" s="452"/>
      <c r="X214" s="452"/>
      <c r="Y214" s="452"/>
    </row>
    <row r="215" spans="1:25" ht="15.6">
      <c r="A215" s="452"/>
      <c r="B215" s="452"/>
      <c r="C215" s="452"/>
      <c r="D215" s="452"/>
      <c r="E215" s="452"/>
      <c r="F215" s="452"/>
      <c r="G215" s="452"/>
      <c r="H215" s="452"/>
      <c r="I215" s="452"/>
      <c r="J215" s="452"/>
      <c r="K215" s="452"/>
      <c r="L215" s="452"/>
      <c r="M215" s="452"/>
      <c r="N215" s="452"/>
      <c r="O215" s="452"/>
      <c r="P215" s="452"/>
      <c r="Q215" s="452"/>
      <c r="R215" s="452"/>
      <c r="S215" s="452"/>
      <c r="T215" s="452"/>
      <c r="U215" s="452"/>
      <c r="V215" s="452"/>
      <c r="W215" s="452"/>
      <c r="X215" s="452"/>
      <c r="Y215" s="452"/>
    </row>
    <row r="216" spans="1:25" ht="15.6">
      <c r="A216" s="452"/>
      <c r="B216" s="452"/>
      <c r="C216" s="452"/>
      <c r="D216" s="452"/>
      <c r="E216" s="452"/>
      <c r="F216" s="452"/>
      <c r="G216" s="452"/>
      <c r="H216" s="452"/>
      <c r="I216" s="452"/>
      <c r="J216" s="452"/>
      <c r="K216" s="452"/>
      <c r="L216" s="452"/>
      <c r="M216" s="452"/>
      <c r="N216" s="452"/>
      <c r="O216" s="452"/>
      <c r="P216" s="452"/>
      <c r="Q216" s="452"/>
      <c r="R216" s="452"/>
      <c r="S216" s="452"/>
      <c r="T216" s="452"/>
      <c r="U216" s="452"/>
      <c r="V216" s="452"/>
      <c r="W216" s="452"/>
      <c r="X216" s="452"/>
      <c r="Y216" s="452"/>
    </row>
    <row r="217" spans="1:25" ht="15.6">
      <c r="A217" s="452"/>
      <c r="B217" s="452"/>
      <c r="C217" s="452"/>
      <c r="D217" s="452"/>
      <c r="E217" s="452"/>
      <c r="F217" s="452"/>
      <c r="G217" s="452"/>
      <c r="H217" s="452"/>
      <c r="I217" s="452"/>
      <c r="J217" s="452"/>
      <c r="K217" s="452"/>
      <c r="L217" s="452"/>
      <c r="M217" s="452"/>
      <c r="N217" s="452"/>
      <c r="O217" s="452"/>
      <c r="P217" s="452"/>
      <c r="Q217" s="452"/>
      <c r="R217" s="452"/>
      <c r="S217" s="452"/>
      <c r="T217" s="452"/>
      <c r="U217" s="452"/>
      <c r="V217" s="452"/>
      <c r="W217" s="452"/>
      <c r="X217" s="452"/>
      <c r="Y217" s="452"/>
    </row>
    <row r="218" spans="1:25" ht="15.6">
      <c r="A218" s="452"/>
      <c r="B218" s="452"/>
      <c r="C218" s="452"/>
      <c r="D218" s="452"/>
      <c r="E218" s="452"/>
      <c r="F218" s="452"/>
      <c r="G218" s="452"/>
      <c r="H218" s="452"/>
      <c r="I218" s="452"/>
      <c r="J218" s="452"/>
      <c r="K218" s="452"/>
      <c r="L218" s="452"/>
      <c r="M218" s="452"/>
      <c r="N218" s="452"/>
      <c r="O218" s="452"/>
      <c r="P218" s="452"/>
      <c r="Q218" s="452"/>
      <c r="R218" s="452"/>
      <c r="S218" s="452"/>
      <c r="T218" s="452"/>
      <c r="U218" s="452"/>
      <c r="V218" s="452"/>
      <c r="W218" s="452"/>
      <c r="X218" s="452"/>
      <c r="Y218" s="452"/>
    </row>
    <row r="219" spans="1:25" ht="15.6">
      <c r="A219" s="452"/>
      <c r="B219" s="452"/>
      <c r="C219" s="452"/>
      <c r="D219" s="452"/>
      <c r="E219" s="452"/>
      <c r="F219" s="452"/>
      <c r="G219" s="452"/>
      <c r="H219" s="452"/>
      <c r="I219" s="452"/>
      <c r="J219" s="452"/>
      <c r="K219" s="452"/>
      <c r="L219" s="452"/>
      <c r="M219" s="452"/>
      <c r="N219" s="452"/>
      <c r="O219" s="452"/>
      <c r="P219" s="452"/>
      <c r="Q219" s="452"/>
      <c r="R219" s="452"/>
      <c r="S219" s="452"/>
      <c r="T219" s="452"/>
      <c r="U219" s="452"/>
      <c r="V219" s="452"/>
      <c r="W219" s="452"/>
      <c r="X219" s="452"/>
      <c r="Y219" s="452"/>
    </row>
    <row r="220" spans="1:25" ht="15.6">
      <c r="A220" s="452"/>
      <c r="B220" s="452"/>
      <c r="C220" s="452"/>
      <c r="D220" s="452"/>
      <c r="E220" s="452"/>
      <c r="F220" s="452"/>
      <c r="G220" s="452"/>
      <c r="H220" s="452"/>
      <c r="I220" s="452"/>
      <c r="J220" s="452"/>
      <c r="K220" s="452"/>
      <c r="L220" s="452"/>
      <c r="M220" s="452"/>
      <c r="N220" s="452"/>
      <c r="O220" s="452"/>
      <c r="P220" s="452"/>
      <c r="Q220" s="452"/>
      <c r="R220" s="452"/>
      <c r="S220" s="452"/>
      <c r="T220" s="452"/>
      <c r="U220" s="452"/>
      <c r="V220" s="452"/>
      <c r="W220" s="452"/>
      <c r="X220" s="452"/>
      <c r="Y220" s="452"/>
    </row>
    <row r="221" spans="1:25" ht="15.6">
      <c r="A221" s="452"/>
      <c r="B221" s="452"/>
      <c r="C221" s="452"/>
      <c r="D221" s="452"/>
      <c r="E221" s="452"/>
      <c r="F221" s="452"/>
      <c r="G221" s="452"/>
      <c r="H221" s="452"/>
      <c r="I221" s="452"/>
      <c r="J221" s="452"/>
      <c r="K221" s="452"/>
      <c r="L221" s="452"/>
      <c r="M221" s="452"/>
      <c r="N221" s="452"/>
      <c r="O221" s="452"/>
      <c r="P221" s="452"/>
      <c r="Q221" s="452"/>
      <c r="R221" s="452"/>
      <c r="S221" s="452"/>
      <c r="T221" s="452"/>
      <c r="U221" s="452"/>
      <c r="V221" s="452"/>
      <c r="W221" s="452"/>
      <c r="X221" s="452"/>
      <c r="Y221" s="452"/>
    </row>
    <row r="222" spans="1:25" ht="15.6">
      <c r="A222" s="452"/>
      <c r="B222" s="452"/>
      <c r="C222" s="452"/>
      <c r="D222" s="452"/>
      <c r="E222" s="452"/>
      <c r="F222" s="452"/>
      <c r="G222" s="452"/>
      <c r="H222" s="452"/>
      <c r="I222" s="452"/>
      <c r="J222" s="452"/>
      <c r="K222" s="452"/>
      <c r="L222" s="452"/>
      <c r="M222" s="452"/>
      <c r="N222" s="452"/>
      <c r="O222" s="452"/>
      <c r="P222" s="452"/>
      <c r="Q222" s="452"/>
      <c r="R222" s="452"/>
      <c r="S222" s="452"/>
      <c r="T222" s="452"/>
      <c r="U222" s="452"/>
      <c r="V222" s="452"/>
      <c r="W222" s="452"/>
      <c r="X222" s="452"/>
      <c r="Y222" s="452"/>
    </row>
    <row r="223" spans="1:25" ht="15.6">
      <c r="A223" s="452"/>
      <c r="B223" s="452"/>
      <c r="C223" s="452"/>
      <c r="D223" s="452"/>
      <c r="E223" s="452"/>
      <c r="F223" s="452"/>
      <c r="G223" s="452"/>
      <c r="H223" s="452"/>
      <c r="I223" s="452"/>
      <c r="J223" s="452"/>
      <c r="K223" s="452"/>
      <c r="L223" s="452"/>
      <c r="M223" s="452"/>
      <c r="N223" s="452"/>
      <c r="O223" s="452"/>
      <c r="P223" s="452"/>
      <c r="Q223" s="452"/>
      <c r="R223" s="452"/>
      <c r="S223" s="452"/>
      <c r="T223" s="452"/>
      <c r="U223" s="452"/>
      <c r="V223" s="452"/>
      <c r="W223" s="452"/>
      <c r="X223" s="452"/>
      <c r="Y223" s="452"/>
    </row>
    <row r="224" spans="1:25" ht="15.6">
      <c r="A224" s="452"/>
      <c r="B224" s="452"/>
      <c r="C224" s="452"/>
      <c r="D224" s="452"/>
      <c r="E224" s="452"/>
      <c r="F224" s="452"/>
      <c r="G224" s="452"/>
      <c r="H224" s="452"/>
      <c r="I224" s="452"/>
      <c r="J224" s="452"/>
      <c r="K224" s="452"/>
      <c r="L224" s="452"/>
      <c r="M224" s="452"/>
      <c r="N224" s="452"/>
      <c r="O224" s="452"/>
      <c r="P224" s="452"/>
      <c r="Q224" s="452"/>
      <c r="R224" s="452"/>
      <c r="S224" s="452"/>
      <c r="T224" s="452"/>
      <c r="U224" s="452"/>
      <c r="V224" s="452"/>
      <c r="W224" s="452"/>
      <c r="X224" s="452"/>
      <c r="Y224" s="452"/>
    </row>
    <row r="225" spans="1:25" ht="15.6">
      <c r="A225" s="452"/>
      <c r="B225" s="452"/>
      <c r="C225" s="452"/>
      <c r="D225" s="452"/>
      <c r="E225" s="452"/>
      <c r="F225" s="452"/>
      <c r="G225" s="452"/>
      <c r="H225" s="452"/>
      <c r="I225" s="452"/>
      <c r="J225" s="452"/>
      <c r="K225" s="452"/>
      <c r="L225" s="452"/>
      <c r="M225" s="452"/>
      <c r="N225" s="452"/>
      <c r="O225" s="452"/>
      <c r="P225" s="452"/>
      <c r="Q225" s="452"/>
      <c r="R225" s="452"/>
      <c r="S225" s="452"/>
      <c r="T225" s="452"/>
      <c r="U225" s="452"/>
      <c r="V225" s="452"/>
      <c r="W225" s="452"/>
      <c r="X225" s="452"/>
      <c r="Y225" s="452"/>
    </row>
    <row r="226" spans="1:25" ht="15.6">
      <c r="A226" s="452"/>
      <c r="B226" s="452"/>
      <c r="C226" s="452"/>
      <c r="D226" s="452"/>
      <c r="E226" s="452"/>
      <c r="F226" s="452"/>
      <c r="G226" s="452"/>
      <c r="H226" s="452"/>
      <c r="I226" s="452"/>
      <c r="J226" s="452"/>
      <c r="K226" s="452"/>
      <c r="L226" s="452"/>
      <c r="M226" s="452"/>
      <c r="N226" s="452"/>
      <c r="O226" s="452"/>
      <c r="P226" s="452"/>
      <c r="Q226" s="452"/>
      <c r="R226" s="452"/>
      <c r="S226" s="452"/>
      <c r="T226" s="452"/>
      <c r="U226" s="452"/>
      <c r="V226" s="452"/>
      <c r="W226" s="452"/>
      <c r="X226" s="452"/>
      <c r="Y226" s="452"/>
    </row>
    <row r="227" spans="1:25" ht="15.6">
      <c r="A227" s="452"/>
      <c r="B227" s="452"/>
      <c r="C227" s="452"/>
      <c r="D227" s="452"/>
      <c r="E227" s="452"/>
      <c r="F227" s="452"/>
      <c r="G227" s="452"/>
      <c r="H227" s="452"/>
      <c r="I227" s="452"/>
      <c r="J227" s="452"/>
      <c r="K227" s="452"/>
      <c r="L227" s="452"/>
      <c r="M227" s="452"/>
      <c r="N227" s="452"/>
      <c r="O227" s="452"/>
      <c r="P227" s="452"/>
      <c r="Q227" s="452"/>
      <c r="R227" s="452"/>
      <c r="S227" s="452"/>
      <c r="T227" s="452"/>
      <c r="U227" s="452"/>
      <c r="V227" s="452"/>
      <c r="W227" s="452"/>
      <c r="X227" s="452"/>
      <c r="Y227" s="452"/>
    </row>
    <row r="228" spans="1:25" ht="15.6">
      <c r="A228" s="452"/>
      <c r="B228" s="452"/>
      <c r="C228" s="452"/>
      <c r="D228" s="452"/>
      <c r="E228" s="452"/>
      <c r="F228" s="452"/>
      <c r="G228" s="452"/>
      <c r="H228" s="452"/>
      <c r="I228" s="452"/>
      <c r="J228" s="452"/>
      <c r="K228" s="452"/>
      <c r="L228" s="452"/>
      <c r="M228" s="452"/>
      <c r="N228" s="452"/>
      <c r="O228" s="452"/>
      <c r="P228" s="452"/>
      <c r="Q228" s="452"/>
      <c r="R228" s="452"/>
      <c r="S228" s="452"/>
      <c r="T228" s="452"/>
      <c r="U228" s="452"/>
      <c r="V228" s="452"/>
      <c r="W228" s="452"/>
      <c r="X228" s="452"/>
      <c r="Y228" s="452"/>
    </row>
    <row r="229" spans="1:25" ht="15.6">
      <c r="A229" s="452"/>
      <c r="B229" s="452"/>
      <c r="C229" s="452"/>
      <c r="D229" s="452"/>
      <c r="E229" s="452"/>
      <c r="F229" s="452"/>
      <c r="G229" s="452"/>
      <c r="H229" s="452"/>
      <c r="I229" s="452"/>
      <c r="J229" s="452"/>
      <c r="K229" s="452"/>
      <c r="L229" s="452"/>
      <c r="M229" s="452"/>
      <c r="N229" s="452"/>
      <c r="O229" s="452"/>
      <c r="P229" s="452"/>
      <c r="Q229" s="452"/>
      <c r="R229" s="452"/>
      <c r="S229" s="452"/>
      <c r="T229" s="452"/>
      <c r="U229" s="452"/>
      <c r="V229" s="452"/>
      <c r="W229" s="452"/>
      <c r="X229" s="452"/>
      <c r="Y229" s="452"/>
    </row>
    <row r="230" spans="1:25" ht="15.6">
      <c r="A230" s="452"/>
      <c r="B230" s="452"/>
      <c r="C230" s="452"/>
      <c r="D230" s="452"/>
      <c r="E230" s="452"/>
      <c r="F230" s="452"/>
      <c r="G230" s="452"/>
      <c r="H230" s="452"/>
      <c r="I230" s="452"/>
      <c r="J230" s="452"/>
      <c r="K230" s="452"/>
      <c r="L230" s="452"/>
      <c r="M230" s="452"/>
      <c r="N230" s="452"/>
      <c r="O230" s="452"/>
      <c r="P230" s="452"/>
      <c r="Q230" s="452"/>
      <c r="R230" s="452"/>
      <c r="S230" s="452"/>
      <c r="T230" s="452"/>
      <c r="U230" s="452"/>
      <c r="V230" s="452"/>
      <c r="W230" s="452"/>
      <c r="X230" s="452"/>
      <c r="Y230" s="452"/>
    </row>
    <row r="231" spans="1:25" ht="15.6">
      <c r="A231" s="452"/>
      <c r="B231" s="452"/>
      <c r="C231" s="452"/>
      <c r="D231" s="452"/>
      <c r="E231" s="452"/>
      <c r="F231" s="452"/>
      <c r="G231" s="452"/>
      <c r="H231" s="452"/>
      <c r="I231" s="452"/>
      <c r="J231" s="452"/>
      <c r="K231" s="452"/>
      <c r="L231" s="452"/>
      <c r="M231" s="452"/>
      <c r="N231" s="452"/>
      <c r="O231" s="452"/>
      <c r="P231" s="452"/>
      <c r="Q231" s="452"/>
      <c r="R231" s="452"/>
      <c r="S231" s="452"/>
      <c r="T231" s="452"/>
      <c r="U231" s="452"/>
      <c r="V231" s="452"/>
      <c r="W231" s="452"/>
      <c r="X231" s="452"/>
      <c r="Y231" s="452"/>
    </row>
    <row r="232" spans="1:25" ht="15.6">
      <c r="A232" s="452"/>
      <c r="B232" s="452"/>
      <c r="C232" s="452"/>
      <c r="D232" s="452"/>
      <c r="E232" s="452"/>
      <c r="F232" s="452"/>
      <c r="G232" s="452"/>
      <c r="H232" s="452"/>
      <c r="I232" s="452"/>
      <c r="J232" s="452"/>
      <c r="K232" s="452"/>
      <c r="L232" s="452"/>
      <c r="M232" s="452"/>
      <c r="N232" s="452"/>
      <c r="O232" s="452"/>
      <c r="P232" s="452"/>
      <c r="Q232" s="452"/>
      <c r="R232" s="452"/>
      <c r="S232" s="452"/>
      <c r="T232" s="452"/>
      <c r="U232" s="452"/>
      <c r="V232" s="452"/>
      <c r="W232" s="452"/>
      <c r="X232" s="452"/>
      <c r="Y232" s="452"/>
    </row>
    <row r="233" spans="1:25" ht="15.6">
      <c r="A233" s="452"/>
      <c r="B233" s="452"/>
      <c r="C233" s="452"/>
      <c r="D233" s="452"/>
      <c r="E233" s="452"/>
      <c r="F233" s="452"/>
      <c r="G233" s="452"/>
      <c r="H233" s="452"/>
      <c r="I233" s="452"/>
      <c r="J233" s="452"/>
      <c r="K233" s="452"/>
      <c r="L233" s="452"/>
      <c r="M233" s="452"/>
      <c r="N233" s="452"/>
      <c r="O233" s="452"/>
      <c r="P233" s="452"/>
      <c r="Q233" s="452"/>
      <c r="R233" s="452"/>
      <c r="S233" s="452"/>
      <c r="T233" s="452"/>
      <c r="U233" s="452"/>
      <c r="V233" s="452"/>
      <c r="W233" s="452"/>
      <c r="X233" s="452"/>
      <c r="Y233" s="452"/>
    </row>
    <row r="234" spans="1:25" ht="15.6">
      <c r="A234" s="452"/>
      <c r="B234" s="452"/>
      <c r="C234" s="452"/>
      <c r="D234" s="452"/>
      <c r="E234" s="452"/>
      <c r="F234" s="452"/>
      <c r="G234" s="452"/>
      <c r="H234" s="452"/>
      <c r="I234" s="452"/>
      <c r="J234" s="452"/>
      <c r="K234" s="452"/>
      <c r="L234" s="452"/>
      <c r="M234" s="452"/>
      <c r="N234" s="452"/>
      <c r="O234" s="452"/>
      <c r="P234" s="452"/>
      <c r="Q234" s="452"/>
      <c r="R234" s="452"/>
      <c r="S234" s="452"/>
      <c r="T234" s="452"/>
      <c r="U234" s="452"/>
      <c r="V234" s="452"/>
      <c r="W234" s="452"/>
      <c r="X234" s="452"/>
      <c r="Y234" s="452"/>
    </row>
    <row r="235" spans="1:25" ht="15.6">
      <c r="A235" s="452"/>
      <c r="B235" s="452"/>
      <c r="C235" s="452"/>
      <c r="D235" s="452"/>
      <c r="E235" s="452"/>
      <c r="F235" s="452"/>
      <c r="G235" s="452"/>
      <c r="H235" s="452"/>
      <c r="I235" s="452"/>
      <c r="J235" s="452"/>
      <c r="K235" s="452"/>
      <c r="L235" s="452"/>
      <c r="M235" s="452"/>
      <c r="N235" s="452"/>
      <c r="O235" s="452"/>
      <c r="P235" s="452"/>
      <c r="Q235" s="452"/>
      <c r="R235" s="452"/>
      <c r="S235" s="452"/>
      <c r="T235" s="452"/>
      <c r="U235" s="452"/>
      <c r="V235" s="452"/>
      <c r="W235" s="452"/>
      <c r="X235" s="452"/>
      <c r="Y235" s="452"/>
    </row>
    <row r="236" spans="1:25" ht="15.6">
      <c r="A236" s="452"/>
      <c r="B236" s="452"/>
      <c r="C236" s="452"/>
      <c r="D236" s="452"/>
      <c r="E236" s="452"/>
      <c r="F236" s="452"/>
      <c r="G236" s="452"/>
      <c r="H236" s="452"/>
      <c r="I236" s="452"/>
      <c r="J236" s="452"/>
      <c r="K236" s="452"/>
      <c r="L236" s="452"/>
      <c r="M236" s="452"/>
      <c r="N236" s="452"/>
      <c r="O236" s="452"/>
      <c r="P236" s="452"/>
      <c r="Q236" s="452"/>
      <c r="R236" s="452"/>
      <c r="S236" s="452"/>
      <c r="T236" s="452"/>
      <c r="U236" s="452"/>
      <c r="V236" s="452"/>
      <c r="W236" s="452"/>
      <c r="X236" s="452"/>
      <c r="Y236" s="452"/>
    </row>
    <row r="237" spans="1:25" ht="15.6">
      <c r="A237" s="452"/>
      <c r="B237" s="452"/>
      <c r="C237" s="452"/>
      <c r="D237" s="452"/>
      <c r="E237" s="452"/>
      <c r="F237" s="452"/>
      <c r="G237" s="452"/>
      <c r="H237" s="452"/>
      <c r="I237" s="452"/>
      <c r="J237" s="452"/>
      <c r="K237" s="452"/>
      <c r="L237" s="452"/>
      <c r="M237" s="452"/>
      <c r="N237" s="452"/>
      <c r="O237" s="452"/>
      <c r="P237" s="452"/>
      <c r="Q237" s="452"/>
      <c r="R237" s="452"/>
      <c r="S237" s="452"/>
      <c r="T237" s="452"/>
      <c r="U237" s="452"/>
      <c r="V237" s="452"/>
      <c r="W237" s="452"/>
      <c r="X237" s="452"/>
      <c r="Y237" s="452"/>
    </row>
    <row r="238" spans="1:25" ht="15.6">
      <c r="A238" s="452"/>
      <c r="B238" s="452"/>
      <c r="C238" s="452"/>
      <c r="D238" s="452"/>
      <c r="E238" s="452"/>
      <c r="F238" s="452"/>
      <c r="G238" s="452"/>
      <c r="H238" s="452"/>
      <c r="I238" s="452"/>
      <c r="J238" s="452"/>
      <c r="K238" s="452"/>
      <c r="L238" s="452"/>
      <c r="M238" s="452"/>
      <c r="N238" s="452"/>
      <c r="O238" s="452"/>
      <c r="P238" s="452"/>
      <c r="Q238" s="452"/>
      <c r="R238" s="452"/>
      <c r="S238" s="452"/>
      <c r="T238" s="452"/>
      <c r="U238" s="452"/>
      <c r="V238" s="452"/>
      <c r="W238" s="452"/>
      <c r="X238" s="452"/>
      <c r="Y238" s="452"/>
    </row>
    <row r="239" spans="1:25" ht="15.6">
      <c r="A239" s="452"/>
      <c r="B239" s="452"/>
      <c r="C239" s="452"/>
      <c r="D239" s="452"/>
      <c r="E239" s="452"/>
      <c r="F239" s="452"/>
      <c r="G239" s="452"/>
      <c r="H239" s="452"/>
      <c r="I239" s="452"/>
      <c r="J239" s="452"/>
      <c r="K239" s="452"/>
      <c r="L239" s="452"/>
      <c r="M239" s="452"/>
      <c r="N239" s="452"/>
      <c r="O239" s="452"/>
      <c r="P239" s="452"/>
      <c r="Q239" s="452"/>
      <c r="R239" s="452"/>
      <c r="S239" s="452"/>
      <c r="T239" s="452"/>
      <c r="U239" s="452"/>
      <c r="V239" s="452"/>
      <c r="W239" s="452"/>
      <c r="X239" s="452"/>
      <c r="Y239" s="452"/>
    </row>
    <row r="240" spans="1:25" ht="15.6">
      <c r="A240" s="452"/>
      <c r="B240" s="452"/>
      <c r="C240" s="452"/>
      <c r="D240" s="452"/>
      <c r="E240" s="452"/>
      <c r="F240" s="452"/>
      <c r="G240" s="452"/>
      <c r="H240" s="452"/>
      <c r="I240" s="452"/>
      <c r="J240" s="452"/>
      <c r="K240" s="452"/>
      <c r="L240" s="452"/>
      <c r="M240" s="452"/>
      <c r="N240" s="452"/>
      <c r="O240" s="452"/>
      <c r="P240" s="452"/>
      <c r="Q240" s="452"/>
      <c r="R240" s="452"/>
      <c r="S240" s="452"/>
      <c r="T240" s="452"/>
      <c r="U240" s="452"/>
      <c r="V240" s="452"/>
      <c r="W240" s="452"/>
      <c r="X240" s="452"/>
      <c r="Y240" s="452"/>
    </row>
    <row r="241" spans="1:25" ht="15.6">
      <c r="A241" s="452"/>
      <c r="B241" s="452"/>
      <c r="C241" s="452"/>
      <c r="D241" s="452"/>
      <c r="E241" s="452"/>
      <c r="F241" s="452"/>
      <c r="G241" s="452"/>
      <c r="H241" s="452"/>
      <c r="I241" s="452"/>
      <c r="J241" s="452"/>
      <c r="K241" s="452"/>
      <c r="L241" s="452"/>
      <c r="M241" s="452"/>
      <c r="N241" s="452"/>
      <c r="O241" s="452"/>
      <c r="P241" s="452"/>
      <c r="Q241" s="452"/>
      <c r="R241" s="452"/>
      <c r="S241" s="452"/>
      <c r="T241" s="452"/>
      <c r="U241" s="452"/>
      <c r="V241" s="452"/>
      <c r="W241" s="452"/>
      <c r="X241" s="452"/>
      <c r="Y241" s="452"/>
    </row>
    <row r="242" spans="1:25" ht="15.6">
      <c r="A242" s="452"/>
      <c r="B242" s="452"/>
      <c r="C242" s="452"/>
      <c r="D242" s="452"/>
      <c r="E242" s="452"/>
      <c r="F242" s="452"/>
      <c r="G242" s="452"/>
      <c r="H242" s="452"/>
      <c r="I242" s="452"/>
      <c r="J242" s="452"/>
      <c r="K242" s="452"/>
      <c r="L242" s="452"/>
      <c r="M242" s="452"/>
      <c r="N242" s="452"/>
      <c r="O242" s="452"/>
      <c r="P242" s="452"/>
      <c r="Q242" s="452"/>
      <c r="R242" s="452"/>
      <c r="S242" s="452"/>
      <c r="T242" s="452"/>
      <c r="U242" s="452"/>
      <c r="V242" s="452"/>
      <c r="W242" s="452"/>
      <c r="X242" s="452"/>
      <c r="Y242" s="452"/>
    </row>
    <row r="243" spans="1:25" ht="15.6">
      <c r="A243" s="452"/>
      <c r="B243" s="452"/>
      <c r="C243" s="452"/>
      <c r="D243" s="452"/>
      <c r="E243" s="452"/>
      <c r="F243" s="452"/>
      <c r="G243" s="452"/>
      <c r="H243" s="452"/>
      <c r="I243" s="452"/>
      <c r="J243" s="452"/>
      <c r="K243" s="452"/>
      <c r="L243" s="452"/>
      <c r="M243" s="452"/>
      <c r="N243" s="452"/>
      <c r="O243" s="452"/>
      <c r="P243" s="452"/>
      <c r="Q243" s="452"/>
      <c r="R243" s="452"/>
      <c r="S243" s="452"/>
      <c r="T243" s="452"/>
      <c r="U243" s="452"/>
      <c r="V243" s="452"/>
      <c r="W243" s="452"/>
      <c r="X243" s="452"/>
      <c r="Y243" s="452"/>
    </row>
    <row r="244" spans="1:25" ht="15.6">
      <c r="A244" s="452"/>
      <c r="B244" s="452"/>
      <c r="C244" s="452"/>
      <c r="D244" s="452"/>
      <c r="E244" s="452"/>
      <c r="F244" s="452"/>
      <c r="G244" s="452"/>
      <c r="H244" s="452"/>
      <c r="I244" s="452"/>
      <c r="J244" s="452"/>
      <c r="K244" s="452"/>
      <c r="L244" s="452"/>
      <c r="M244" s="452"/>
      <c r="N244" s="452"/>
      <c r="O244" s="452"/>
      <c r="P244" s="452"/>
      <c r="Q244" s="452"/>
      <c r="R244" s="452"/>
      <c r="S244" s="452"/>
      <c r="T244" s="452"/>
      <c r="U244" s="452"/>
      <c r="V244" s="452"/>
      <c r="W244" s="452"/>
      <c r="X244" s="452"/>
      <c r="Y244" s="452"/>
    </row>
    <row r="245" spans="1:25" ht="15.6">
      <c r="A245" s="452"/>
      <c r="B245" s="452"/>
      <c r="C245" s="452"/>
      <c r="D245" s="452"/>
      <c r="E245" s="452"/>
      <c r="F245" s="452"/>
      <c r="G245" s="452"/>
      <c r="H245" s="452"/>
      <c r="I245" s="452"/>
      <c r="J245" s="452"/>
      <c r="K245" s="452"/>
      <c r="L245" s="452"/>
      <c r="M245" s="452"/>
      <c r="N245" s="452"/>
      <c r="O245" s="452"/>
      <c r="P245" s="452"/>
      <c r="Q245" s="452"/>
      <c r="R245" s="452"/>
      <c r="S245" s="452"/>
      <c r="T245" s="452"/>
      <c r="U245" s="452"/>
      <c r="V245" s="452"/>
      <c r="W245" s="452"/>
      <c r="X245" s="452"/>
      <c r="Y245" s="452"/>
    </row>
    <row r="246" spans="1:25" ht="15.6">
      <c r="A246" s="452"/>
      <c r="B246" s="452"/>
      <c r="C246" s="452"/>
      <c r="D246" s="452"/>
      <c r="E246" s="452"/>
      <c r="F246" s="452"/>
      <c r="G246" s="452"/>
      <c r="H246" s="452"/>
      <c r="I246" s="452"/>
      <c r="J246" s="452"/>
      <c r="K246" s="452"/>
      <c r="L246" s="452"/>
      <c r="M246" s="452"/>
      <c r="N246" s="452"/>
      <c r="O246" s="452"/>
      <c r="P246" s="452"/>
      <c r="Q246" s="452"/>
      <c r="R246" s="452"/>
      <c r="S246" s="452"/>
      <c r="T246" s="452"/>
      <c r="U246" s="452"/>
      <c r="V246" s="452"/>
      <c r="W246" s="452"/>
      <c r="X246" s="452"/>
      <c r="Y246" s="452"/>
    </row>
    <row r="247" spans="1:25" ht="15.6">
      <c r="A247" s="452"/>
      <c r="B247" s="452"/>
      <c r="C247" s="452"/>
      <c r="D247" s="452"/>
      <c r="E247" s="452"/>
      <c r="F247" s="452"/>
      <c r="G247" s="452"/>
      <c r="H247" s="452"/>
      <c r="I247" s="452"/>
      <c r="J247" s="452"/>
      <c r="K247" s="452"/>
      <c r="L247" s="452"/>
      <c r="M247" s="452"/>
      <c r="N247" s="452"/>
      <c r="O247" s="452"/>
      <c r="P247" s="452"/>
      <c r="Q247" s="452"/>
      <c r="R247" s="452"/>
      <c r="S247" s="452"/>
      <c r="T247" s="452"/>
      <c r="U247" s="452"/>
      <c r="V247" s="452"/>
      <c r="W247" s="452"/>
      <c r="X247" s="452"/>
      <c r="Y247" s="452"/>
    </row>
    <row r="248" spans="1:25" ht="15.6">
      <c r="A248" s="452"/>
      <c r="B248" s="452"/>
      <c r="C248" s="452"/>
      <c r="D248" s="452"/>
      <c r="E248" s="452"/>
      <c r="F248" s="452"/>
      <c r="G248" s="452"/>
      <c r="H248" s="452"/>
      <c r="I248" s="452"/>
      <c r="J248" s="452"/>
      <c r="K248" s="452"/>
      <c r="L248" s="452"/>
      <c r="M248" s="452"/>
      <c r="N248" s="452"/>
      <c r="O248" s="452"/>
      <c r="P248" s="452"/>
      <c r="Q248" s="452"/>
      <c r="R248" s="452"/>
      <c r="S248" s="452"/>
      <c r="T248" s="452"/>
      <c r="U248" s="452"/>
      <c r="V248" s="452"/>
      <c r="W248" s="452"/>
      <c r="X248" s="452"/>
      <c r="Y248" s="452"/>
    </row>
    <row r="249" spans="1:25" ht="15.6">
      <c r="A249" s="452"/>
      <c r="B249" s="452"/>
      <c r="C249" s="452"/>
      <c r="D249" s="452"/>
      <c r="E249" s="452"/>
      <c r="F249" s="452"/>
      <c r="G249" s="452"/>
      <c r="H249" s="452"/>
      <c r="I249" s="452"/>
      <c r="J249" s="452"/>
      <c r="K249" s="452"/>
      <c r="L249" s="452"/>
      <c r="M249" s="452"/>
      <c r="N249" s="452"/>
      <c r="O249" s="452"/>
      <c r="P249" s="452"/>
      <c r="Q249" s="452"/>
      <c r="R249" s="452"/>
      <c r="S249" s="452"/>
      <c r="T249" s="452"/>
      <c r="U249" s="452"/>
      <c r="V249" s="452"/>
      <c r="W249" s="452"/>
      <c r="X249" s="452"/>
      <c r="Y249" s="452"/>
    </row>
    <row r="250" spans="1:25" ht="15.6">
      <c r="A250" s="452"/>
      <c r="B250" s="452"/>
      <c r="C250" s="452"/>
      <c r="D250" s="452"/>
      <c r="E250" s="452"/>
      <c r="F250" s="452"/>
      <c r="G250" s="452"/>
      <c r="H250" s="452"/>
      <c r="I250" s="452"/>
      <c r="J250" s="452"/>
      <c r="K250" s="452"/>
      <c r="L250" s="452"/>
      <c r="M250" s="452"/>
      <c r="N250" s="452"/>
      <c r="O250" s="452"/>
      <c r="P250" s="452"/>
      <c r="Q250" s="452"/>
      <c r="R250" s="452"/>
      <c r="S250" s="452"/>
      <c r="T250" s="452"/>
      <c r="U250" s="452"/>
      <c r="V250" s="452"/>
      <c r="W250" s="452"/>
      <c r="X250" s="452"/>
      <c r="Y250" s="452"/>
    </row>
    <row r="251" spans="1:25" ht="15.6">
      <c r="A251" s="452"/>
      <c r="B251" s="452"/>
      <c r="C251" s="452"/>
      <c r="D251" s="452"/>
      <c r="E251" s="452"/>
      <c r="F251" s="452"/>
      <c r="G251" s="452"/>
      <c r="H251" s="452"/>
      <c r="I251" s="452"/>
      <c r="J251" s="452"/>
      <c r="K251" s="452"/>
      <c r="L251" s="452"/>
      <c r="M251" s="452"/>
      <c r="N251" s="452"/>
      <c r="O251" s="452"/>
      <c r="P251" s="452"/>
      <c r="Q251" s="452"/>
      <c r="R251" s="452"/>
      <c r="S251" s="452"/>
      <c r="T251" s="452"/>
      <c r="U251" s="452"/>
      <c r="V251" s="452"/>
      <c r="W251" s="452"/>
      <c r="X251" s="452"/>
      <c r="Y251" s="452"/>
    </row>
    <row r="252" spans="1:25" ht="15.6">
      <c r="A252" s="452"/>
      <c r="B252" s="452"/>
      <c r="C252" s="452"/>
      <c r="D252" s="452"/>
      <c r="E252" s="452"/>
      <c r="F252" s="452"/>
      <c r="G252" s="452"/>
      <c r="H252" s="452"/>
      <c r="I252" s="452"/>
      <c r="J252" s="452"/>
      <c r="K252" s="452"/>
      <c r="L252" s="452"/>
      <c r="M252" s="452"/>
      <c r="N252" s="452"/>
      <c r="O252" s="452"/>
      <c r="P252" s="452"/>
      <c r="Q252" s="452"/>
      <c r="R252" s="452"/>
      <c r="S252" s="452"/>
      <c r="T252" s="452"/>
      <c r="U252" s="452"/>
      <c r="V252" s="452"/>
      <c r="W252" s="452"/>
      <c r="X252" s="452"/>
      <c r="Y252" s="452"/>
    </row>
    <row r="253" spans="1:25" ht="15.6">
      <c r="A253" s="452"/>
      <c r="B253" s="452"/>
      <c r="C253" s="452"/>
      <c r="D253" s="452"/>
      <c r="E253" s="452"/>
      <c r="F253" s="452"/>
      <c r="G253" s="452"/>
      <c r="H253" s="452"/>
      <c r="I253" s="452"/>
      <c r="J253" s="452"/>
      <c r="K253" s="452"/>
      <c r="L253" s="452"/>
      <c r="M253" s="452"/>
      <c r="N253" s="452"/>
      <c r="O253" s="452"/>
      <c r="P253" s="452"/>
      <c r="Q253" s="452"/>
      <c r="R253" s="452"/>
      <c r="S253" s="452"/>
      <c r="T253" s="452"/>
      <c r="U253" s="452"/>
      <c r="V253" s="452"/>
      <c r="W253" s="452"/>
      <c r="X253" s="452"/>
      <c r="Y253" s="452"/>
    </row>
    <row r="254" spans="1:25" ht="15.6">
      <c r="A254" s="452"/>
      <c r="B254" s="452"/>
      <c r="C254" s="452"/>
      <c r="D254" s="452"/>
      <c r="E254" s="452"/>
      <c r="F254" s="452"/>
      <c r="G254" s="452"/>
      <c r="H254" s="452"/>
      <c r="I254" s="452"/>
      <c r="J254" s="452"/>
      <c r="K254" s="452"/>
      <c r="L254" s="452"/>
      <c r="M254" s="452"/>
      <c r="N254" s="452"/>
      <c r="O254" s="452"/>
      <c r="P254" s="452"/>
      <c r="Q254" s="452"/>
      <c r="R254" s="452"/>
      <c r="S254" s="452"/>
      <c r="T254" s="452"/>
      <c r="U254" s="452"/>
      <c r="V254" s="452"/>
      <c r="W254" s="452"/>
      <c r="X254" s="452"/>
      <c r="Y254" s="452"/>
    </row>
    <row r="255" spans="1:25" ht="15.6">
      <c r="A255" s="452"/>
      <c r="B255" s="452"/>
      <c r="C255" s="452"/>
      <c r="D255" s="452"/>
      <c r="E255" s="452"/>
      <c r="F255" s="452"/>
      <c r="G255" s="452"/>
      <c r="H255" s="452"/>
      <c r="I255" s="452"/>
      <c r="J255" s="452"/>
      <c r="K255" s="452"/>
      <c r="L255" s="452"/>
      <c r="M255" s="452"/>
      <c r="N255" s="452"/>
      <c r="O255" s="452"/>
      <c r="P255" s="452"/>
      <c r="Q255" s="452"/>
      <c r="R255" s="452"/>
      <c r="S255" s="452"/>
      <c r="T255" s="452"/>
      <c r="U255" s="452"/>
      <c r="V255" s="452"/>
      <c r="W255" s="452"/>
      <c r="X255" s="452"/>
      <c r="Y255" s="452"/>
    </row>
    <row r="256" spans="1:25" ht="15.6">
      <c r="A256" s="452"/>
      <c r="B256" s="452"/>
      <c r="C256" s="452"/>
      <c r="D256" s="452"/>
      <c r="E256" s="452"/>
      <c r="F256" s="452"/>
      <c r="G256" s="452"/>
      <c r="H256" s="452"/>
      <c r="I256" s="452"/>
      <c r="J256" s="452"/>
      <c r="K256" s="452"/>
      <c r="L256" s="452"/>
      <c r="M256" s="452"/>
      <c r="N256" s="452"/>
      <c r="O256" s="452"/>
      <c r="P256" s="452"/>
      <c r="Q256" s="452"/>
      <c r="R256" s="452"/>
      <c r="S256" s="452"/>
      <c r="T256" s="452"/>
      <c r="U256" s="452"/>
      <c r="V256" s="452"/>
      <c r="W256" s="452"/>
      <c r="X256" s="452"/>
      <c r="Y256" s="452"/>
    </row>
    <row r="257" spans="1:25" ht="15.6">
      <c r="A257" s="452"/>
      <c r="B257" s="452"/>
      <c r="C257" s="452"/>
      <c r="D257" s="452"/>
      <c r="E257" s="452"/>
      <c r="F257" s="452"/>
      <c r="G257" s="452"/>
      <c r="H257" s="452"/>
      <c r="I257" s="452"/>
      <c r="J257" s="452"/>
      <c r="K257" s="452"/>
      <c r="L257" s="452"/>
      <c r="M257" s="452"/>
      <c r="N257" s="452"/>
      <c r="O257" s="452"/>
      <c r="P257" s="452"/>
      <c r="Q257" s="452"/>
      <c r="R257" s="452"/>
      <c r="S257" s="452"/>
      <c r="T257" s="452"/>
      <c r="U257" s="452"/>
      <c r="V257" s="452"/>
      <c r="W257" s="452"/>
      <c r="X257" s="452"/>
      <c r="Y257" s="452"/>
    </row>
    <row r="258" spans="1:25" ht="15.6">
      <c r="A258" s="452"/>
      <c r="B258" s="452"/>
      <c r="C258" s="452"/>
      <c r="D258" s="452"/>
      <c r="E258" s="452"/>
      <c r="F258" s="452"/>
      <c r="G258" s="452"/>
      <c r="H258" s="452"/>
      <c r="I258" s="452"/>
      <c r="J258" s="452"/>
      <c r="K258" s="452"/>
      <c r="L258" s="452"/>
      <c r="M258" s="452"/>
      <c r="N258" s="452"/>
      <c r="O258" s="452"/>
      <c r="P258" s="452"/>
      <c r="Q258" s="452"/>
      <c r="R258" s="452"/>
      <c r="S258" s="452"/>
      <c r="T258" s="452"/>
      <c r="U258" s="452"/>
      <c r="V258" s="452"/>
      <c r="W258" s="452"/>
      <c r="X258" s="452"/>
      <c r="Y258" s="452"/>
    </row>
    <row r="259" spans="1:25" ht="15.6">
      <c r="A259" s="452"/>
      <c r="B259" s="452"/>
      <c r="C259" s="452"/>
      <c r="D259" s="452"/>
      <c r="E259" s="452"/>
      <c r="F259" s="452"/>
      <c r="G259" s="452"/>
      <c r="H259" s="452"/>
      <c r="I259" s="452"/>
      <c r="J259" s="452"/>
      <c r="K259" s="452"/>
      <c r="L259" s="452"/>
      <c r="M259" s="452"/>
      <c r="N259" s="452"/>
      <c r="O259" s="452"/>
      <c r="P259" s="452"/>
      <c r="Q259" s="452"/>
      <c r="R259" s="452"/>
      <c r="S259" s="452"/>
      <c r="T259" s="452"/>
      <c r="U259" s="452"/>
      <c r="V259" s="452"/>
      <c r="W259" s="452"/>
      <c r="X259" s="452"/>
      <c r="Y259" s="452"/>
    </row>
    <row r="260" spans="1:25" ht="15.6">
      <c r="A260" s="452"/>
      <c r="B260" s="452"/>
      <c r="C260" s="452"/>
      <c r="D260" s="452"/>
      <c r="E260" s="452"/>
      <c r="F260" s="452"/>
      <c r="G260" s="452"/>
      <c r="H260" s="452"/>
      <c r="I260" s="452"/>
      <c r="J260" s="452"/>
      <c r="K260" s="452"/>
      <c r="L260" s="452"/>
      <c r="M260" s="452"/>
      <c r="N260" s="452"/>
      <c r="O260" s="452"/>
      <c r="P260" s="452"/>
      <c r="Q260" s="452"/>
      <c r="R260" s="452"/>
      <c r="S260" s="452"/>
      <c r="T260" s="452"/>
      <c r="U260" s="452"/>
      <c r="V260" s="452"/>
      <c r="W260" s="452"/>
      <c r="X260" s="452"/>
      <c r="Y260" s="452"/>
    </row>
    <row r="261" spans="1:25" ht="15.6">
      <c r="A261" s="452"/>
      <c r="B261" s="452"/>
      <c r="C261" s="452"/>
      <c r="D261" s="452"/>
      <c r="E261" s="452"/>
      <c r="F261" s="452"/>
      <c r="G261" s="452"/>
      <c r="H261" s="452"/>
      <c r="I261" s="452"/>
      <c r="J261" s="452"/>
      <c r="K261" s="452"/>
      <c r="L261" s="452"/>
      <c r="M261" s="452"/>
      <c r="N261" s="452"/>
      <c r="O261" s="452"/>
      <c r="P261" s="452"/>
      <c r="Q261" s="452"/>
      <c r="R261" s="452"/>
      <c r="S261" s="452"/>
      <c r="T261" s="452"/>
      <c r="U261" s="452"/>
      <c r="V261" s="452"/>
      <c r="W261" s="452"/>
      <c r="X261" s="452"/>
      <c r="Y261" s="452"/>
    </row>
    <row r="262" spans="1:25" ht="15.6">
      <c r="A262" s="452"/>
      <c r="B262" s="452"/>
      <c r="C262" s="452"/>
      <c r="D262" s="452"/>
      <c r="E262" s="452"/>
      <c r="F262" s="452"/>
      <c r="G262" s="452"/>
      <c r="H262" s="452"/>
      <c r="I262" s="452"/>
      <c r="J262" s="452"/>
      <c r="K262" s="452"/>
      <c r="L262" s="452"/>
      <c r="M262" s="452"/>
      <c r="N262" s="452"/>
      <c r="O262" s="452"/>
      <c r="P262" s="452"/>
      <c r="Q262" s="452"/>
      <c r="R262" s="452"/>
      <c r="S262" s="452"/>
      <c r="T262" s="452"/>
      <c r="U262" s="452"/>
      <c r="V262" s="452"/>
      <c r="W262" s="452"/>
      <c r="X262" s="452"/>
      <c r="Y262" s="452"/>
    </row>
    <row r="263" spans="1:25" ht="15.6">
      <c r="A263" s="452"/>
      <c r="B263" s="452"/>
      <c r="C263" s="452"/>
      <c r="D263" s="452"/>
      <c r="E263" s="452"/>
      <c r="F263" s="452"/>
      <c r="G263" s="452"/>
      <c r="H263" s="452"/>
      <c r="I263" s="452"/>
      <c r="J263" s="452"/>
      <c r="K263" s="452"/>
      <c r="L263" s="452"/>
      <c r="M263" s="452"/>
      <c r="N263" s="452"/>
      <c r="O263" s="452"/>
      <c r="P263" s="452"/>
      <c r="Q263" s="452"/>
      <c r="R263" s="452"/>
      <c r="S263" s="452"/>
      <c r="T263" s="452"/>
      <c r="U263" s="452"/>
      <c r="V263" s="452"/>
      <c r="W263" s="452"/>
      <c r="X263" s="452"/>
      <c r="Y263" s="452"/>
    </row>
    <row r="264" spans="1:25" ht="15.6">
      <c r="A264" s="452"/>
      <c r="B264" s="452"/>
      <c r="C264" s="452"/>
      <c r="D264" s="452"/>
      <c r="E264" s="452"/>
      <c r="F264" s="452"/>
      <c r="G264" s="452"/>
      <c r="H264" s="452"/>
      <c r="I264" s="452"/>
      <c r="J264" s="452"/>
      <c r="K264" s="452"/>
      <c r="L264" s="452"/>
      <c r="M264" s="452"/>
      <c r="N264" s="452"/>
      <c r="O264" s="452"/>
      <c r="P264" s="452"/>
      <c r="Q264" s="452"/>
      <c r="R264" s="452"/>
      <c r="S264" s="452"/>
      <c r="T264" s="452"/>
      <c r="U264" s="452"/>
      <c r="V264" s="452"/>
      <c r="W264" s="452"/>
      <c r="X264" s="452"/>
      <c r="Y264" s="452"/>
    </row>
    <row r="265" spans="1:25" ht="15.6">
      <c r="A265" s="452"/>
      <c r="B265" s="452"/>
      <c r="C265" s="452"/>
      <c r="D265" s="452"/>
      <c r="E265" s="452"/>
      <c r="F265" s="452"/>
      <c r="G265" s="452"/>
      <c r="H265" s="452"/>
      <c r="I265" s="452"/>
      <c r="J265" s="452"/>
      <c r="K265" s="452"/>
      <c r="L265" s="452"/>
      <c r="M265" s="452"/>
      <c r="N265" s="452"/>
      <c r="O265" s="452"/>
      <c r="P265" s="452"/>
      <c r="Q265" s="452"/>
      <c r="R265" s="452"/>
      <c r="S265" s="452"/>
      <c r="T265" s="452"/>
      <c r="U265" s="452"/>
      <c r="V265" s="452"/>
      <c r="W265" s="452"/>
      <c r="X265" s="452"/>
      <c r="Y265" s="452"/>
    </row>
    <row r="266" spans="1:25" ht="15.6">
      <c r="A266" s="452"/>
      <c r="B266" s="452"/>
      <c r="C266" s="452"/>
      <c r="D266" s="452"/>
      <c r="E266" s="452"/>
      <c r="F266" s="452"/>
      <c r="G266" s="452"/>
      <c r="H266" s="452"/>
      <c r="I266" s="452"/>
      <c r="J266" s="452"/>
      <c r="K266" s="452"/>
      <c r="L266" s="452"/>
      <c r="M266" s="452"/>
      <c r="N266" s="452"/>
      <c r="O266" s="452"/>
      <c r="P266" s="452"/>
      <c r="Q266" s="452"/>
      <c r="R266" s="452"/>
      <c r="S266" s="452"/>
      <c r="T266" s="452"/>
      <c r="U266" s="452"/>
      <c r="V266" s="452"/>
      <c r="W266" s="452"/>
      <c r="X266" s="452"/>
      <c r="Y266" s="452"/>
    </row>
    <row r="267" spans="1:25" ht="15.6">
      <c r="A267" s="452"/>
      <c r="B267" s="452"/>
      <c r="C267" s="452"/>
      <c r="D267" s="452"/>
      <c r="E267" s="452"/>
      <c r="F267" s="452"/>
      <c r="G267" s="452"/>
      <c r="H267" s="452"/>
      <c r="I267" s="452"/>
      <c r="J267" s="452"/>
      <c r="K267" s="452"/>
      <c r="L267" s="452"/>
      <c r="M267" s="452"/>
      <c r="N267" s="452"/>
      <c r="O267" s="452"/>
      <c r="P267" s="452"/>
      <c r="Q267" s="452"/>
      <c r="R267" s="452"/>
      <c r="S267" s="452"/>
      <c r="T267" s="452"/>
      <c r="U267" s="452"/>
      <c r="V267" s="452"/>
      <c r="W267" s="452"/>
      <c r="X267" s="452"/>
      <c r="Y267" s="452"/>
    </row>
    <row r="268" spans="1:25" ht="15.6">
      <c r="A268" s="452"/>
      <c r="B268" s="452"/>
      <c r="C268" s="452"/>
      <c r="D268" s="452"/>
      <c r="E268" s="452"/>
      <c r="F268" s="452"/>
      <c r="G268" s="452"/>
      <c r="H268" s="452"/>
      <c r="I268" s="452"/>
      <c r="J268" s="452"/>
      <c r="K268" s="452"/>
      <c r="L268" s="452"/>
      <c r="M268" s="452"/>
      <c r="N268" s="452"/>
      <c r="O268" s="452"/>
      <c r="P268" s="452"/>
      <c r="Q268" s="452"/>
      <c r="R268" s="452"/>
      <c r="S268" s="452"/>
      <c r="T268" s="452"/>
      <c r="U268" s="452"/>
      <c r="V268" s="452"/>
      <c r="W268" s="452"/>
      <c r="X268" s="452"/>
      <c r="Y268" s="452"/>
    </row>
    <row r="269" spans="1:25" ht="15.6">
      <c r="A269" s="452"/>
      <c r="B269" s="452"/>
      <c r="C269" s="452"/>
      <c r="D269" s="452"/>
      <c r="E269" s="452"/>
      <c r="F269" s="452"/>
      <c r="G269" s="452"/>
      <c r="H269" s="452"/>
      <c r="I269" s="452"/>
      <c r="J269" s="452"/>
      <c r="K269" s="452"/>
      <c r="L269" s="452"/>
      <c r="M269" s="452"/>
      <c r="N269" s="452"/>
      <c r="O269" s="452"/>
      <c r="P269" s="452"/>
      <c r="Q269" s="452"/>
      <c r="R269" s="452"/>
      <c r="S269" s="452"/>
      <c r="T269" s="452"/>
      <c r="U269" s="452"/>
      <c r="V269" s="452"/>
      <c r="W269" s="452"/>
      <c r="X269" s="452"/>
      <c r="Y269" s="452"/>
    </row>
    <row r="270" spans="1:25" ht="15.6">
      <c r="A270" s="452"/>
      <c r="B270" s="452"/>
      <c r="C270" s="452"/>
      <c r="D270" s="452"/>
      <c r="E270" s="452"/>
      <c r="F270" s="452"/>
      <c r="G270" s="452"/>
      <c r="H270" s="452"/>
      <c r="I270" s="452"/>
      <c r="J270" s="452"/>
      <c r="K270" s="452"/>
      <c r="L270" s="452"/>
      <c r="M270" s="452"/>
      <c r="N270" s="452"/>
      <c r="O270" s="452"/>
      <c r="P270" s="452"/>
      <c r="Q270" s="452"/>
      <c r="R270" s="452"/>
      <c r="S270" s="452"/>
      <c r="T270" s="452"/>
      <c r="U270" s="452"/>
      <c r="V270" s="452"/>
      <c r="W270" s="452"/>
      <c r="X270" s="452"/>
      <c r="Y270" s="452"/>
    </row>
    <row r="271" spans="1:25" ht="15.6">
      <c r="A271" s="452"/>
      <c r="B271" s="452"/>
      <c r="C271" s="452"/>
      <c r="D271" s="452"/>
      <c r="E271" s="452"/>
      <c r="F271" s="452"/>
      <c r="G271" s="452"/>
      <c r="H271" s="452"/>
      <c r="I271" s="452"/>
      <c r="J271" s="452"/>
      <c r="K271" s="452"/>
      <c r="L271" s="452"/>
      <c r="M271" s="452"/>
      <c r="N271" s="452"/>
      <c r="O271" s="452"/>
      <c r="P271" s="452"/>
      <c r="Q271" s="452"/>
      <c r="R271" s="452"/>
      <c r="S271" s="452"/>
      <c r="T271" s="452"/>
      <c r="U271" s="452"/>
      <c r="V271" s="452"/>
      <c r="W271" s="452"/>
      <c r="X271" s="452"/>
      <c r="Y271" s="452"/>
    </row>
    <row r="272" spans="1:25" ht="15.6">
      <c r="A272" s="452"/>
      <c r="B272" s="452"/>
      <c r="C272" s="452"/>
      <c r="D272" s="452"/>
      <c r="E272" s="452"/>
      <c r="F272" s="452"/>
      <c r="G272" s="452"/>
      <c r="H272" s="452"/>
      <c r="I272" s="452"/>
      <c r="J272" s="452"/>
      <c r="K272" s="452"/>
      <c r="L272" s="452"/>
      <c r="M272" s="452"/>
      <c r="N272" s="452"/>
      <c r="O272" s="452"/>
      <c r="P272" s="452"/>
      <c r="Q272" s="452"/>
      <c r="R272" s="452"/>
      <c r="S272" s="452"/>
      <c r="T272" s="452"/>
      <c r="U272" s="452"/>
      <c r="V272" s="452"/>
      <c r="W272" s="452"/>
      <c r="X272" s="452"/>
      <c r="Y272" s="452"/>
    </row>
    <row r="273" spans="1:25" ht="15.6">
      <c r="A273" s="452"/>
      <c r="B273" s="452"/>
      <c r="C273" s="452"/>
      <c r="D273" s="452"/>
      <c r="E273" s="452"/>
      <c r="F273" s="452"/>
      <c r="G273" s="452"/>
      <c r="H273" s="452"/>
      <c r="I273" s="452"/>
      <c r="J273" s="452"/>
      <c r="K273" s="452"/>
      <c r="L273" s="452"/>
      <c r="M273" s="452"/>
      <c r="N273" s="452"/>
      <c r="O273" s="452"/>
      <c r="P273" s="452"/>
      <c r="Q273" s="452"/>
      <c r="R273" s="452"/>
      <c r="S273" s="452"/>
      <c r="T273" s="452"/>
      <c r="U273" s="452"/>
      <c r="V273" s="452"/>
      <c r="W273" s="452"/>
      <c r="X273" s="452"/>
      <c r="Y273" s="452"/>
    </row>
    <row r="274" spans="1:25" ht="15.6">
      <c r="A274" s="452"/>
      <c r="B274" s="452"/>
      <c r="C274" s="452"/>
      <c r="D274" s="452"/>
      <c r="E274" s="452"/>
      <c r="F274" s="452"/>
      <c r="G274" s="452"/>
      <c r="H274" s="452"/>
      <c r="I274" s="452"/>
      <c r="J274" s="452"/>
      <c r="K274" s="452"/>
      <c r="L274" s="452"/>
      <c r="M274" s="452"/>
      <c r="N274" s="452"/>
      <c r="O274" s="452"/>
      <c r="P274" s="452"/>
      <c r="Q274" s="452"/>
      <c r="R274" s="452"/>
      <c r="S274" s="452"/>
      <c r="T274" s="452"/>
      <c r="U274" s="452"/>
      <c r="V274" s="452"/>
      <c r="W274" s="452"/>
      <c r="X274" s="452"/>
      <c r="Y274" s="452"/>
    </row>
    <row r="275" spans="1:25" ht="15.6">
      <c r="A275" s="452"/>
      <c r="B275" s="452"/>
      <c r="C275" s="452"/>
      <c r="D275" s="452"/>
      <c r="E275" s="452"/>
      <c r="F275" s="452"/>
      <c r="G275" s="452"/>
      <c r="H275" s="452"/>
      <c r="I275" s="452"/>
      <c r="J275" s="452"/>
      <c r="K275" s="452"/>
      <c r="L275" s="452"/>
      <c r="M275" s="452"/>
      <c r="N275" s="452"/>
      <c r="O275" s="452"/>
      <c r="P275" s="452"/>
      <c r="Q275" s="452"/>
      <c r="R275" s="452"/>
      <c r="S275" s="452"/>
      <c r="T275" s="452"/>
      <c r="U275" s="452"/>
      <c r="V275" s="452"/>
      <c r="W275" s="452"/>
      <c r="X275" s="452"/>
      <c r="Y275" s="452"/>
    </row>
    <row r="276" spans="1:25" ht="15.6">
      <c r="A276" s="452"/>
      <c r="B276" s="452"/>
      <c r="C276" s="452"/>
      <c r="D276" s="452"/>
      <c r="E276" s="452"/>
      <c r="F276" s="452"/>
      <c r="G276" s="452"/>
      <c r="H276" s="452"/>
      <c r="I276" s="452"/>
      <c r="J276" s="452"/>
      <c r="K276" s="452"/>
      <c r="L276" s="452"/>
      <c r="M276" s="452"/>
      <c r="N276" s="452"/>
      <c r="O276" s="452"/>
      <c r="P276" s="452"/>
      <c r="Q276" s="452"/>
      <c r="R276" s="452"/>
      <c r="S276" s="452"/>
      <c r="T276" s="452"/>
      <c r="U276" s="452"/>
      <c r="V276" s="452"/>
      <c r="W276" s="452"/>
      <c r="X276" s="452"/>
      <c r="Y276" s="452"/>
    </row>
    <row r="277" spans="1:25" ht="15.6">
      <c r="A277" s="452"/>
      <c r="B277" s="452"/>
      <c r="C277" s="452"/>
      <c r="D277" s="452"/>
      <c r="E277" s="452"/>
      <c r="F277" s="452"/>
      <c r="G277" s="452"/>
      <c r="H277" s="452"/>
      <c r="I277" s="452"/>
      <c r="J277" s="452"/>
      <c r="K277" s="452"/>
      <c r="L277" s="452"/>
      <c r="M277" s="452"/>
      <c r="N277" s="452"/>
      <c r="O277" s="452"/>
      <c r="P277" s="452"/>
      <c r="Q277" s="452"/>
      <c r="R277" s="452"/>
      <c r="S277" s="452"/>
      <c r="T277" s="452"/>
      <c r="U277" s="452"/>
      <c r="V277" s="452"/>
      <c r="W277" s="452"/>
      <c r="X277" s="452"/>
      <c r="Y277" s="452"/>
    </row>
    <row r="278" spans="1:25" ht="15.6">
      <c r="A278" s="452"/>
      <c r="B278" s="452"/>
      <c r="C278" s="452"/>
      <c r="D278" s="452"/>
      <c r="E278" s="452"/>
      <c r="F278" s="452"/>
      <c r="G278" s="452"/>
      <c r="H278" s="452"/>
      <c r="I278" s="452"/>
      <c r="J278" s="452"/>
      <c r="K278" s="452"/>
      <c r="L278" s="452"/>
      <c r="M278" s="452"/>
      <c r="N278" s="452"/>
      <c r="O278" s="452"/>
      <c r="P278" s="452"/>
      <c r="Q278" s="452"/>
      <c r="R278" s="452"/>
      <c r="S278" s="452"/>
      <c r="T278" s="452"/>
      <c r="U278" s="452"/>
      <c r="V278" s="452"/>
      <c r="W278" s="452"/>
      <c r="X278" s="452"/>
      <c r="Y278" s="452"/>
    </row>
    <row r="279" spans="1:25" ht="15.6">
      <c r="A279" s="452"/>
      <c r="B279" s="452"/>
      <c r="C279" s="452"/>
      <c r="D279" s="452"/>
      <c r="E279" s="452"/>
      <c r="F279" s="452"/>
      <c r="G279" s="452"/>
      <c r="H279" s="452"/>
      <c r="I279" s="452"/>
      <c r="J279" s="452"/>
      <c r="K279" s="452"/>
      <c r="L279" s="452"/>
      <c r="M279" s="452"/>
      <c r="N279" s="452"/>
      <c r="O279" s="452"/>
      <c r="P279" s="452"/>
      <c r="Q279" s="452"/>
      <c r="R279" s="452"/>
      <c r="S279" s="452"/>
      <c r="T279" s="452"/>
      <c r="U279" s="452"/>
      <c r="V279" s="452"/>
      <c r="W279" s="452"/>
      <c r="X279" s="452"/>
      <c r="Y279" s="452"/>
    </row>
    <row r="280" spans="1:25" ht="15.6">
      <c r="A280" s="452"/>
      <c r="B280" s="452"/>
      <c r="C280" s="452"/>
      <c r="D280" s="452"/>
      <c r="E280" s="452"/>
      <c r="F280" s="452"/>
      <c r="G280" s="452"/>
      <c r="H280" s="452"/>
      <c r="I280" s="452"/>
      <c r="J280" s="452"/>
      <c r="K280" s="452"/>
      <c r="L280" s="452"/>
      <c r="M280" s="452"/>
      <c r="N280" s="452"/>
      <c r="O280" s="452"/>
      <c r="P280" s="452"/>
      <c r="Q280" s="452"/>
      <c r="R280" s="452"/>
      <c r="S280" s="452"/>
      <c r="T280" s="452"/>
      <c r="U280" s="452"/>
      <c r="V280" s="452"/>
      <c r="W280" s="452"/>
      <c r="X280" s="452"/>
      <c r="Y280" s="452"/>
    </row>
    <row r="281" spans="1:25" ht="15.6">
      <c r="A281" s="452"/>
      <c r="B281" s="452"/>
      <c r="C281" s="452"/>
      <c r="D281" s="452"/>
      <c r="E281" s="452"/>
      <c r="F281" s="452"/>
      <c r="G281" s="452"/>
      <c r="H281" s="452"/>
      <c r="I281" s="452"/>
      <c r="J281" s="452"/>
      <c r="K281" s="452"/>
      <c r="L281" s="452"/>
      <c r="M281" s="452"/>
      <c r="N281" s="452"/>
      <c r="O281" s="452"/>
      <c r="P281" s="452"/>
      <c r="Q281" s="452"/>
      <c r="R281" s="452"/>
      <c r="S281" s="452"/>
      <c r="T281" s="452"/>
      <c r="U281" s="452"/>
      <c r="V281" s="452"/>
      <c r="W281" s="452"/>
      <c r="X281" s="452"/>
      <c r="Y281" s="452"/>
    </row>
    <row r="282" spans="1:25" ht="15.6">
      <c r="A282" s="452"/>
      <c r="B282" s="452"/>
      <c r="C282" s="452"/>
      <c r="D282" s="452"/>
      <c r="E282" s="452"/>
      <c r="F282" s="452"/>
      <c r="G282" s="452"/>
      <c r="H282" s="452"/>
      <c r="I282" s="452"/>
      <c r="J282" s="452"/>
      <c r="K282" s="452"/>
      <c r="L282" s="452"/>
      <c r="M282" s="452"/>
      <c r="N282" s="452"/>
      <c r="O282" s="452"/>
      <c r="P282" s="452"/>
      <c r="Q282" s="452"/>
      <c r="R282" s="452"/>
      <c r="S282" s="452"/>
      <c r="T282" s="452"/>
      <c r="U282" s="452"/>
      <c r="V282" s="452"/>
      <c r="W282" s="452"/>
      <c r="X282" s="452"/>
      <c r="Y282" s="452"/>
    </row>
    <row r="283" spans="1:25" ht="15.6">
      <c r="A283" s="452"/>
      <c r="B283" s="452"/>
      <c r="C283" s="452"/>
      <c r="D283" s="452"/>
      <c r="E283" s="452"/>
      <c r="F283" s="452"/>
      <c r="G283" s="452"/>
      <c r="H283" s="452"/>
      <c r="I283" s="452"/>
      <c r="J283" s="452"/>
      <c r="K283" s="452"/>
      <c r="L283" s="452"/>
      <c r="M283" s="452"/>
      <c r="N283" s="452"/>
      <c r="O283" s="452"/>
      <c r="P283" s="452"/>
      <c r="Q283" s="452"/>
      <c r="R283" s="452"/>
      <c r="S283" s="452"/>
      <c r="T283" s="452"/>
      <c r="U283" s="452"/>
      <c r="V283" s="452"/>
      <c r="W283" s="452"/>
      <c r="X283" s="452"/>
      <c r="Y283" s="452"/>
    </row>
    <row r="284" spans="1:25" ht="15.6">
      <c r="A284" s="452"/>
      <c r="B284" s="452"/>
      <c r="C284" s="452"/>
      <c r="D284" s="452"/>
      <c r="E284" s="452"/>
      <c r="F284" s="452"/>
      <c r="G284" s="452"/>
      <c r="H284" s="452"/>
      <c r="I284" s="452"/>
      <c r="J284" s="452"/>
      <c r="K284" s="452"/>
      <c r="L284" s="452"/>
      <c r="M284" s="452"/>
      <c r="N284" s="452"/>
      <c r="O284" s="452"/>
      <c r="P284" s="452"/>
      <c r="Q284" s="452"/>
      <c r="R284" s="452"/>
      <c r="S284" s="452"/>
      <c r="T284" s="452"/>
      <c r="U284" s="452"/>
      <c r="V284" s="452"/>
      <c r="W284" s="452"/>
      <c r="X284" s="452"/>
      <c r="Y284" s="452"/>
    </row>
    <row r="285" spans="1:25" ht="15.6">
      <c r="A285" s="452"/>
      <c r="B285" s="452"/>
      <c r="C285" s="452"/>
      <c r="D285" s="452"/>
      <c r="E285" s="452"/>
      <c r="F285" s="452"/>
      <c r="G285" s="452"/>
      <c r="H285" s="452"/>
      <c r="I285" s="452"/>
      <c r="J285" s="452"/>
      <c r="K285" s="452"/>
      <c r="L285" s="452"/>
      <c r="M285" s="452"/>
      <c r="N285" s="452"/>
      <c r="O285" s="452"/>
      <c r="P285" s="452"/>
      <c r="Q285" s="452"/>
      <c r="R285" s="452"/>
      <c r="S285" s="452"/>
      <c r="T285" s="452"/>
      <c r="U285" s="452"/>
      <c r="V285" s="452"/>
      <c r="W285" s="452"/>
      <c r="X285" s="452"/>
      <c r="Y285" s="452"/>
    </row>
    <row r="286" spans="1:25" ht="15.6">
      <c r="A286" s="452"/>
      <c r="B286" s="452"/>
      <c r="C286" s="452"/>
      <c r="D286" s="452"/>
      <c r="E286" s="452"/>
      <c r="F286" s="452"/>
      <c r="G286" s="452"/>
      <c r="H286" s="452"/>
      <c r="I286" s="452"/>
      <c r="J286" s="452"/>
      <c r="K286" s="452"/>
      <c r="L286" s="452"/>
      <c r="M286" s="452"/>
      <c r="N286" s="452"/>
      <c r="O286" s="452"/>
      <c r="P286" s="452"/>
      <c r="Q286" s="452"/>
      <c r="R286" s="452"/>
      <c r="S286" s="452"/>
      <c r="T286" s="452"/>
      <c r="U286" s="452"/>
      <c r="V286" s="452"/>
      <c r="W286" s="452"/>
      <c r="X286" s="452"/>
      <c r="Y286" s="452"/>
    </row>
    <row r="287" spans="1:25" ht="15.6">
      <c r="A287" s="452"/>
      <c r="B287" s="452"/>
      <c r="C287" s="452"/>
      <c r="D287" s="452"/>
      <c r="E287" s="452"/>
      <c r="F287" s="452"/>
      <c r="G287" s="452"/>
      <c r="H287" s="452"/>
      <c r="I287" s="452"/>
      <c r="J287" s="452"/>
      <c r="K287" s="452"/>
      <c r="L287" s="452"/>
      <c r="M287" s="452"/>
      <c r="N287" s="452"/>
      <c r="O287" s="452"/>
      <c r="P287" s="452"/>
      <c r="Q287" s="452"/>
      <c r="R287" s="452"/>
      <c r="S287" s="452"/>
      <c r="T287" s="452"/>
      <c r="U287" s="452"/>
      <c r="V287" s="452"/>
      <c r="W287" s="452"/>
      <c r="X287" s="452"/>
      <c r="Y287" s="452"/>
    </row>
    <row r="288" spans="1:25" ht="15.6">
      <c r="A288" s="452"/>
      <c r="B288" s="452"/>
      <c r="C288" s="452"/>
      <c r="D288" s="452"/>
      <c r="E288" s="452"/>
      <c r="F288" s="452"/>
      <c r="G288" s="452"/>
      <c r="H288" s="452"/>
      <c r="I288" s="452"/>
      <c r="J288" s="452"/>
      <c r="K288" s="452"/>
      <c r="L288" s="452"/>
      <c r="M288" s="452"/>
      <c r="N288" s="452"/>
      <c r="O288" s="452"/>
      <c r="P288" s="452"/>
      <c r="Q288" s="452"/>
      <c r="R288" s="452"/>
      <c r="S288" s="452"/>
      <c r="T288" s="452"/>
      <c r="U288" s="452"/>
      <c r="V288" s="452"/>
      <c r="W288" s="452"/>
      <c r="X288" s="452"/>
      <c r="Y288" s="452"/>
    </row>
    <row r="289" spans="1:25" ht="15.6">
      <c r="A289" s="452"/>
      <c r="B289" s="452"/>
      <c r="C289" s="452"/>
      <c r="D289" s="452"/>
      <c r="E289" s="452"/>
      <c r="F289" s="452"/>
      <c r="G289" s="452"/>
      <c r="H289" s="452"/>
      <c r="I289" s="452"/>
      <c r="J289" s="452"/>
      <c r="K289" s="452"/>
      <c r="L289" s="452"/>
      <c r="M289" s="452"/>
      <c r="N289" s="452"/>
      <c r="O289" s="452"/>
      <c r="P289" s="452"/>
      <c r="Q289" s="452"/>
      <c r="R289" s="452"/>
      <c r="S289" s="452"/>
      <c r="T289" s="452"/>
      <c r="U289" s="452"/>
      <c r="V289" s="452"/>
      <c r="W289" s="452"/>
      <c r="X289" s="452"/>
      <c r="Y289" s="452"/>
    </row>
    <row r="290" spans="1:25" ht="15.6">
      <c r="A290" s="452"/>
      <c r="B290" s="452"/>
      <c r="C290" s="452"/>
      <c r="D290" s="452"/>
      <c r="E290" s="452"/>
      <c r="F290" s="452"/>
      <c r="G290" s="452"/>
      <c r="H290" s="452"/>
      <c r="I290" s="452"/>
      <c r="J290" s="452"/>
      <c r="K290" s="452"/>
      <c r="L290" s="452"/>
      <c r="M290" s="452"/>
      <c r="N290" s="452"/>
      <c r="O290" s="452"/>
      <c r="P290" s="452"/>
      <c r="Q290" s="452"/>
      <c r="R290" s="452"/>
      <c r="S290" s="452"/>
      <c r="T290" s="452"/>
      <c r="U290" s="452"/>
      <c r="V290" s="452"/>
      <c r="W290" s="452"/>
      <c r="X290" s="452"/>
      <c r="Y290" s="452"/>
    </row>
    <row r="291" spans="1:25" ht="15.6">
      <c r="A291" s="452"/>
      <c r="B291" s="452"/>
      <c r="C291" s="452"/>
      <c r="D291" s="452"/>
      <c r="E291" s="452"/>
      <c r="F291" s="452"/>
      <c r="G291" s="452"/>
      <c r="H291" s="452"/>
      <c r="I291" s="452"/>
      <c r="J291" s="452"/>
      <c r="K291" s="452"/>
      <c r="L291" s="452"/>
      <c r="M291" s="452"/>
      <c r="N291" s="452"/>
      <c r="O291" s="452"/>
      <c r="P291" s="452"/>
      <c r="Q291" s="452"/>
      <c r="R291" s="452"/>
      <c r="S291" s="452"/>
      <c r="T291" s="452"/>
      <c r="U291" s="452"/>
      <c r="V291" s="452"/>
      <c r="W291" s="452"/>
      <c r="X291" s="452"/>
      <c r="Y291" s="452"/>
    </row>
    <row r="292" spans="1:25" ht="15.6">
      <c r="A292" s="452"/>
      <c r="B292" s="452"/>
      <c r="C292" s="452"/>
      <c r="D292" s="452"/>
      <c r="E292" s="452"/>
      <c r="F292" s="452"/>
      <c r="G292" s="452"/>
      <c r="H292" s="452"/>
      <c r="I292" s="452"/>
      <c r="J292" s="452"/>
      <c r="K292" s="452"/>
      <c r="L292" s="452"/>
      <c r="M292" s="452"/>
      <c r="N292" s="452"/>
      <c r="O292" s="452"/>
      <c r="P292" s="452"/>
      <c r="Q292" s="452"/>
      <c r="R292" s="452"/>
      <c r="S292" s="452"/>
      <c r="T292" s="452"/>
      <c r="U292" s="452"/>
      <c r="V292" s="452"/>
      <c r="W292" s="452"/>
      <c r="X292" s="452"/>
      <c r="Y292" s="452"/>
    </row>
    <row r="293" spans="1:25" ht="15.6">
      <c r="A293" s="452"/>
      <c r="B293" s="452"/>
      <c r="C293" s="452"/>
      <c r="D293" s="452"/>
      <c r="E293" s="452"/>
      <c r="F293" s="452"/>
      <c r="G293" s="452"/>
      <c r="H293" s="452"/>
      <c r="I293" s="452"/>
      <c r="J293" s="452"/>
      <c r="K293" s="452"/>
      <c r="L293" s="452"/>
      <c r="M293" s="452"/>
      <c r="N293" s="452"/>
      <c r="O293" s="452"/>
      <c r="P293" s="452"/>
      <c r="Q293" s="452"/>
      <c r="R293" s="452"/>
      <c r="S293" s="452"/>
      <c r="T293" s="452"/>
      <c r="U293" s="452"/>
      <c r="V293" s="452"/>
      <c r="W293" s="452"/>
      <c r="X293" s="452"/>
      <c r="Y293" s="452"/>
    </row>
    <row r="294" spans="1:25" ht="15.6">
      <c r="A294" s="452"/>
      <c r="B294" s="452"/>
      <c r="C294" s="452"/>
      <c r="D294" s="452"/>
      <c r="E294" s="452"/>
      <c r="F294" s="452"/>
      <c r="G294" s="452"/>
      <c r="H294" s="452"/>
      <c r="I294" s="452"/>
      <c r="J294" s="452"/>
      <c r="K294" s="452"/>
      <c r="L294" s="452"/>
      <c r="M294" s="452"/>
      <c r="N294" s="452"/>
      <c r="O294" s="452"/>
      <c r="P294" s="452"/>
      <c r="Q294" s="452"/>
      <c r="R294" s="452"/>
      <c r="S294" s="452"/>
      <c r="T294" s="452"/>
      <c r="U294" s="452"/>
      <c r="V294" s="452"/>
      <c r="W294" s="452"/>
      <c r="X294" s="452"/>
      <c r="Y294" s="452"/>
    </row>
    <row r="295" spans="1:25" ht="15.6">
      <c r="A295" s="452"/>
      <c r="B295" s="452"/>
      <c r="C295" s="452"/>
      <c r="D295" s="452"/>
      <c r="E295" s="452"/>
      <c r="F295" s="452"/>
      <c r="G295" s="452"/>
      <c r="H295" s="452"/>
      <c r="I295" s="452"/>
      <c r="J295" s="452"/>
      <c r="K295" s="452"/>
      <c r="L295" s="452"/>
      <c r="M295" s="452"/>
      <c r="N295" s="452"/>
      <c r="O295" s="452"/>
      <c r="P295" s="452"/>
      <c r="Q295" s="452"/>
      <c r="R295" s="452"/>
      <c r="S295" s="452"/>
      <c r="T295" s="452"/>
      <c r="U295" s="452"/>
      <c r="V295" s="452"/>
      <c r="W295" s="452"/>
      <c r="X295" s="452"/>
      <c r="Y295" s="452"/>
    </row>
    <row r="296" spans="1:25" ht="15.6">
      <c r="A296" s="452"/>
      <c r="B296" s="452"/>
      <c r="C296" s="452"/>
      <c r="D296" s="452"/>
      <c r="E296" s="452"/>
      <c r="F296" s="452"/>
      <c r="G296" s="452"/>
      <c r="H296" s="452"/>
      <c r="I296" s="452"/>
      <c r="J296" s="452"/>
      <c r="K296" s="452"/>
      <c r="L296" s="452"/>
      <c r="M296" s="452"/>
      <c r="N296" s="452"/>
      <c r="O296" s="452"/>
      <c r="P296" s="452"/>
      <c r="Q296" s="452"/>
      <c r="R296" s="452"/>
      <c r="S296" s="452"/>
      <c r="T296" s="452"/>
      <c r="U296" s="452"/>
      <c r="V296" s="452"/>
      <c r="W296" s="452"/>
      <c r="X296" s="452"/>
      <c r="Y296" s="452"/>
    </row>
    <row r="297" spans="1:25" ht="15.6">
      <c r="A297" s="452"/>
      <c r="B297" s="452"/>
      <c r="C297" s="452"/>
      <c r="D297" s="452"/>
      <c r="E297" s="452"/>
      <c r="F297" s="452"/>
      <c r="G297" s="452"/>
      <c r="H297" s="452"/>
      <c r="I297" s="452"/>
      <c r="J297" s="452"/>
      <c r="K297" s="452"/>
      <c r="L297" s="452"/>
      <c r="M297" s="452"/>
      <c r="N297" s="452"/>
      <c r="O297" s="452"/>
      <c r="P297" s="452"/>
      <c r="Q297" s="452"/>
      <c r="R297" s="452"/>
      <c r="S297" s="452"/>
      <c r="T297" s="452"/>
      <c r="U297" s="452"/>
      <c r="V297" s="452"/>
      <c r="W297" s="452"/>
      <c r="X297" s="452"/>
      <c r="Y297" s="452"/>
    </row>
    <row r="298" spans="1:25" ht="15.6">
      <c r="A298" s="452"/>
      <c r="B298" s="452"/>
      <c r="C298" s="452"/>
      <c r="D298" s="452"/>
      <c r="E298" s="452"/>
      <c r="F298" s="452"/>
      <c r="G298" s="452"/>
      <c r="H298" s="452"/>
      <c r="I298" s="452"/>
      <c r="J298" s="452"/>
      <c r="K298" s="452"/>
      <c r="L298" s="452"/>
      <c r="M298" s="452"/>
      <c r="N298" s="452"/>
      <c r="O298" s="452"/>
      <c r="P298" s="452"/>
      <c r="Q298" s="452"/>
      <c r="R298" s="452"/>
      <c r="S298" s="452"/>
      <c r="T298" s="452"/>
      <c r="U298" s="452"/>
      <c r="V298" s="452"/>
      <c r="W298" s="452"/>
      <c r="X298" s="452"/>
      <c r="Y298" s="452"/>
    </row>
    <row r="299" spans="1:25" ht="15.6">
      <c r="A299" s="452"/>
      <c r="B299" s="452"/>
      <c r="C299" s="452"/>
      <c r="D299" s="452"/>
      <c r="E299" s="452"/>
      <c r="F299" s="452"/>
      <c r="G299" s="452"/>
      <c r="H299" s="452"/>
      <c r="I299" s="452"/>
      <c r="J299" s="452"/>
      <c r="K299" s="452"/>
      <c r="L299" s="452"/>
      <c r="M299" s="452"/>
      <c r="N299" s="452"/>
      <c r="O299" s="452"/>
      <c r="P299" s="452"/>
      <c r="Q299" s="452"/>
      <c r="R299" s="452"/>
      <c r="S299" s="452"/>
      <c r="T299" s="452"/>
      <c r="U299" s="452"/>
      <c r="V299" s="452"/>
      <c r="W299" s="452"/>
      <c r="X299" s="452"/>
      <c r="Y299" s="452"/>
    </row>
    <row r="300" spans="1:25" ht="15.6">
      <c r="A300" s="452"/>
      <c r="B300" s="452"/>
      <c r="C300" s="452"/>
      <c r="D300" s="452"/>
      <c r="E300" s="452"/>
      <c r="F300" s="452"/>
      <c r="G300" s="452"/>
      <c r="H300" s="452"/>
      <c r="I300" s="452"/>
      <c r="J300" s="452"/>
      <c r="K300" s="452"/>
      <c r="L300" s="452"/>
      <c r="M300" s="452"/>
      <c r="N300" s="452"/>
      <c r="O300" s="452"/>
      <c r="P300" s="452"/>
      <c r="Q300" s="452"/>
      <c r="R300" s="452"/>
      <c r="S300" s="452"/>
      <c r="T300" s="452"/>
      <c r="U300" s="452"/>
      <c r="V300" s="452"/>
      <c r="W300" s="452"/>
      <c r="X300" s="452"/>
      <c r="Y300" s="452"/>
    </row>
    <row r="301" spans="1:25" ht="15.6">
      <c r="A301" s="452"/>
      <c r="B301" s="452"/>
      <c r="C301" s="452"/>
      <c r="D301" s="452"/>
      <c r="E301" s="452"/>
      <c r="F301" s="452"/>
      <c r="G301" s="452"/>
      <c r="H301" s="452"/>
      <c r="I301" s="452"/>
      <c r="J301" s="452"/>
      <c r="K301" s="452"/>
      <c r="L301" s="452"/>
      <c r="M301" s="452"/>
      <c r="N301" s="452"/>
      <c r="O301" s="452"/>
      <c r="P301" s="452"/>
      <c r="Q301" s="452"/>
      <c r="R301" s="452"/>
      <c r="S301" s="452"/>
      <c r="T301" s="452"/>
      <c r="U301" s="452"/>
      <c r="V301" s="452"/>
      <c r="W301" s="452"/>
      <c r="X301" s="452"/>
      <c r="Y301" s="452"/>
    </row>
    <row r="302" spans="1:25" ht="15.6">
      <c r="A302" s="452"/>
      <c r="B302" s="452"/>
      <c r="C302" s="452"/>
      <c r="D302" s="452"/>
      <c r="E302" s="452"/>
      <c r="F302" s="452"/>
      <c r="G302" s="452"/>
      <c r="H302" s="452"/>
      <c r="I302" s="452"/>
      <c r="J302" s="452"/>
      <c r="K302" s="452"/>
      <c r="L302" s="452"/>
      <c r="M302" s="452"/>
      <c r="N302" s="452"/>
      <c r="O302" s="452"/>
      <c r="P302" s="452"/>
      <c r="Q302" s="452"/>
      <c r="R302" s="452"/>
      <c r="S302" s="452"/>
      <c r="T302" s="452"/>
      <c r="U302" s="452"/>
      <c r="V302" s="452"/>
      <c r="W302" s="452"/>
      <c r="X302" s="452"/>
      <c r="Y302" s="452"/>
    </row>
    <row r="303" spans="1:25" ht="15.6">
      <c r="A303" s="452"/>
      <c r="B303" s="452"/>
      <c r="C303" s="452"/>
      <c r="D303" s="452"/>
      <c r="E303" s="452"/>
      <c r="F303" s="452"/>
      <c r="G303" s="452"/>
      <c r="H303" s="452"/>
      <c r="I303" s="452"/>
      <c r="J303" s="452"/>
      <c r="K303" s="452"/>
      <c r="L303" s="452"/>
      <c r="M303" s="452"/>
      <c r="N303" s="452"/>
      <c r="O303" s="452"/>
      <c r="P303" s="452"/>
      <c r="Q303" s="452"/>
      <c r="R303" s="452"/>
      <c r="S303" s="452"/>
      <c r="T303" s="452"/>
      <c r="U303" s="452"/>
      <c r="V303" s="452"/>
      <c r="W303" s="452"/>
      <c r="X303" s="452"/>
      <c r="Y303" s="452"/>
    </row>
    <row r="304" spans="1:25" ht="15.6">
      <c r="A304" s="452"/>
      <c r="B304" s="452"/>
      <c r="C304" s="452"/>
      <c r="D304" s="452"/>
      <c r="E304" s="452"/>
      <c r="F304" s="452"/>
      <c r="G304" s="452"/>
      <c r="H304" s="452"/>
      <c r="I304" s="452"/>
      <c r="J304" s="452"/>
      <c r="K304" s="452"/>
      <c r="L304" s="452"/>
      <c r="M304" s="452"/>
      <c r="N304" s="452"/>
      <c r="O304" s="452"/>
      <c r="P304" s="452"/>
      <c r="Q304" s="452"/>
      <c r="R304" s="452"/>
      <c r="S304" s="452"/>
      <c r="T304" s="452"/>
      <c r="U304" s="452"/>
      <c r="V304" s="452"/>
      <c r="W304" s="452"/>
      <c r="X304" s="452"/>
      <c r="Y304" s="452"/>
    </row>
    <row r="305" spans="1:25" ht="15.6">
      <c r="A305" s="452"/>
      <c r="B305" s="452"/>
      <c r="C305" s="452"/>
      <c r="D305" s="452"/>
      <c r="E305" s="452"/>
      <c r="F305" s="452"/>
      <c r="G305" s="452"/>
      <c r="H305" s="452"/>
      <c r="I305" s="452"/>
      <c r="J305" s="452"/>
      <c r="K305" s="452"/>
      <c r="L305" s="452"/>
      <c r="M305" s="452"/>
      <c r="N305" s="452"/>
      <c r="O305" s="452"/>
      <c r="P305" s="452"/>
      <c r="Q305" s="452"/>
      <c r="R305" s="452"/>
      <c r="S305" s="452"/>
      <c r="T305" s="452"/>
      <c r="U305" s="452"/>
      <c r="V305" s="452"/>
      <c r="W305" s="452"/>
      <c r="X305" s="452"/>
      <c r="Y305" s="452"/>
    </row>
    <row r="306" spans="1:25" ht="15.6">
      <c r="A306" s="452"/>
      <c r="B306" s="452"/>
      <c r="C306" s="452"/>
      <c r="D306" s="452"/>
      <c r="E306" s="452"/>
      <c r="F306" s="452"/>
      <c r="G306" s="452"/>
      <c r="H306" s="452"/>
      <c r="I306" s="452"/>
      <c r="J306" s="452"/>
      <c r="K306" s="452"/>
      <c r="L306" s="452"/>
      <c r="M306" s="452"/>
      <c r="N306" s="452"/>
      <c r="O306" s="452"/>
      <c r="P306" s="452"/>
      <c r="Q306" s="452"/>
      <c r="R306" s="452"/>
      <c r="S306" s="452"/>
      <c r="T306" s="452"/>
      <c r="U306" s="452"/>
      <c r="V306" s="452"/>
      <c r="W306" s="452"/>
      <c r="X306" s="452"/>
      <c r="Y306" s="452"/>
    </row>
    <row r="307" spans="1:25" ht="15.6">
      <c r="A307" s="452"/>
      <c r="B307" s="452"/>
      <c r="C307" s="452"/>
      <c r="D307" s="452"/>
      <c r="E307" s="452"/>
      <c r="F307" s="452"/>
      <c r="G307" s="452"/>
      <c r="H307" s="452"/>
      <c r="I307" s="452"/>
      <c r="J307" s="452"/>
      <c r="K307" s="452"/>
      <c r="L307" s="452"/>
      <c r="M307" s="452"/>
      <c r="N307" s="452"/>
      <c r="O307" s="452"/>
      <c r="P307" s="452"/>
      <c r="Q307" s="452"/>
      <c r="R307" s="452"/>
      <c r="S307" s="452"/>
      <c r="T307" s="452"/>
      <c r="U307" s="452"/>
      <c r="V307" s="452"/>
      <c r="W307" s="452"/>
      <c r="X307" s="452"/>
      <c r="Y307" s="452"/>
    </row>
    <row r="308" spans="1:25" ht="15.6">
      <c r="A308" s="452"/>
      <c r="B308" s="452"/>
      <c r="C308" s="452"/>
      <c r="D308" s="452"/>
      <c r="E308" s="452"/>
      <c r="F308" s="452"/>
      <c r="G308" s="452"/>
      <c r="H308" s="452"/>
      <c r="I308" s="452"/>
      <c r="J308" s="452"/>
      <c r="K308" s="452"/>
      <c r="L308" s="452"/>
      <c r="M308" s="452"/>
      <c r="N308" s="452"/>
      <c r="O308" s="452"/>
      <c r="P308" s="452"/>
      <c r="Q308" s="452"/>
      <c r="R308" s="452"/>
      <c r="S308" s="452"/>
      <c r="T308" s="452"/>
      <c r="U308" s="452"/>
      <c r="V308" s="452"/>
      <c r="W308" s="452"/>
      <c r="X308" s="452"/>
      <c r="Y308" s="452"/>
    </row>
    <row r="309" spans="1:25" ht="15.6">
      <c r="A309" s="452"/>
      <c r="B309" s="452"/>
      <c r="C309" s="452"/>
      <c r="D309" s="452"/>
      <c r="E309" s="452"/>
      <c r="F309" s="452"/>
      <c r="G309" s="452"/>
      <c r="H309" s="452"/>
      <c r="I309" s="452"/>
      <c r="J309" s="452"/>
      <c r="K309" s="452"/>
      <c r="L309" s="452"/>
      <c r="M309" s="452"/>
      <c r="N309" s="452"/>
      <c r="O309" s="452"/>
      <c r="P309" s="452"/>
      <c r="Q309" s="452"/>
      <c r="R309" s="452"/>
      <c r="S309" s="452"/>
      <c r="T309" s="452"/>
      <c r="U309" s="452"/>
      <c r="V309" s="452"/>
      <c r="W309" s="452"/>
      <c r="X309" s="452"/>
      <c r="Y309" s="452"/>
    </row>
    <row r="310" spans="1:25" ht="15.6">
      <c r="A310" s="452"/>
      <c r="B310" s="452"/>
      <c r="C310" s="452"/>
      <c r="D310" s="452"/>
      <c r="E310" s="452"/>
      <c r="F310" s="452"/>
      <c r="G310" s="452"/>
      <c r="H310" s="452"/>
      <c r="I310" s="452"/>
      <c r="J310" s="452"/>
      <c r="K310" s="452"/>
      <c r="L310" s="452"/>
      <c r="M310" s="452"/>
      <c r="N310" s="452"/>
      <c r="O310" s="452"/>
      <c r="P310" s="452"/>
      <c r="Q310" s="452"/>
      <c r="R310" s="452"/>
      <c r="S310" s="452"/>
      <c r="T310" s="452"/>
      <c r="U310" s="452"/>
      <c r="V310" s="452"/>
      <c r="W310" s="452"/>
      <c r="X310" s="452"/>
      <c r="Y310" s="452"/>
    </row>
    <row r="311" spans="1:25" ht="15.6">
      <c r="A311" s="452"/>
      <c r="B311" s="452"/>
      <c r="C311" s="452"/>
      <c r="D311" s="452"/>
      <c r="E311" s="452"/>
      <c r="F311" s="452"/>
      <c r="G311" s="452"/>
      <c r="H311" s="452"/>
      <c r="I311" s="452"/>
      <c r="J311" s="452"/>
      <c r="K311" s="452"/>
      <c r="L311" s="452"/>
      <c r="M311" s="452"/>
      <c r="N311" s="452"/>
      <c r="O311" s="452"/>
      <c r="P311" s="452"/>
      <c r="Q311" s="452"/>
      <c r="R311" s="452"/>
      <c r="S311" s="452"/>
      <c r="T311" s="452"/>
      <c r="U311" s="452"/>
      <c r="V311" s="452"/>
      <c r="W311" s="452"/>
      <c r="X311" s="452"/>
      <c r="Y311" s="452"/>
    </row>
    <row r="312" spans="1:25" ht="15.6">
      <c r="A312" s="452"/>
      <c r="B312" s="452"/>
      <c r="C312" s="452"/>
      <c r="D312" s="452"/>
      <c r="E312" s="452"/>
      <c r="F312" s="452"/>
      <c r="G312" s="452"/>
      <c r="H312" s="452"/>
      <c r="I312" s="452"/>
      <c r="J312" s="452"/>
      <c r="K312" s="452"/>
      <c r="L312" s="452"/>
      <c r="M312" s="452"/>
      <c r="N312" s="452"/>
      <c r="O312" s="452"/>
      <c r="P312" s="452"/>
      <c r="Q312" s="452"/>
      <c r="R312" s="452"/>
      <c r="S312" s="452"/>
      <c r="T312" s="452"/>
      <c r="U312" s="452"/>
      <c r="V312" s="452"/>
      <c r="W312" s="452"/>
      <c r="X312" s="452"/>
      <c r="Y312" s="452"/>
    </row>
    <row r="313" spans="1:25" ht="15.6">
      <c r="A313" s="452"/>
      <c r="B313" s="452"/>
      <c r="C313" s="452"/>
      <c r="D313" s="452"/>
      <c r="E313" s="452"/>
      <c r="F313" s="452"/>
      <c r="G313" s="452"/>
      <c r="H313" s="452"/>
      <c r="I313" s="452"/>
      <c r="J313" s="452"/>
      <c r="K313" s="452"/>
      <c r="L313" s="452"/>
      <c r="M313" s="452"/>
      <c r="N313" s="452"/>
      <c r="O313" s="452"/>
      <c r="P313" s="452"/>
      <c r="Q313" s="452"/>
      <c r="R313" s="452"/>
      <c r="S313" s="452"/>
      <c r="T313" s="452"/>
      <c r="U313" s="452"/>
      <c r="V313" s="452"/>
      <c r="W313" s="452"/>
      <c r="X313" s="452"/>
      <c r="Y313" s="452"/>
    </row>
    <row r="314" spans="1:25" ht="15.6">
      <c r="A314" s="452"/>
      <c r="B314" s="452"/>
      <c r="C314" s="452"/>
      <c r="D314" s="452"/>
      <c r="E314" s="452"/>
      <c r="F314" s="452"/>
      <c r="G314" s="452"/>
      <c r="H314" s="452"/>
      <c r="I314" s="452"/>
      <c r="J314" s="452"/>
      <c r="K314" s="452"/>
      <c r="L314" s="452"/>
      <c r="M314" s="452"/>
      <c r="N314" s="452"/>
      <c r="O314" s="452"/>
      <c r="P314" s="452"/>
      <c r="Q314" s="452"/>
      <c r="R314" s="452"/>
      <c r="S314" s="452"/>
      <c r="T314" s="452"/>
      <c r="U314" s="452"/>
      <c r="V314" s="452"/>
      <c r="W314" s="452"/>
      <c r="X314" s="452"/>
      <c r="Y314" s="452"/>
    </row>
    <row r="315" spans="1:25" ht="15.6">
      <c r="A315" s="452"/>
      <c r="B315" s="452"/>
      <c r="C315" s="452"/>
      <c r="D315" s="452"/>
      <c r="E315" s="452"/>
      <c r="F315" s="452"/>
      <c r="G315" s="452"/>
      <c r="H315" s="452"/>
      <c r="I315" s="452"/>
      <c r="J315" s="452"/>
      <c r="K315" s="452"/>
      <c r="L315" s="452"/>
      <c r="M315" s="452"/>
      <c r="N315" s="452"/>
      <c r="O315" s="452"/>
      <c r="P315" s="452"/>
      <c r="Q315" s="452"/>
      <c r="R315" s="452"/>
      <c r="S315" s="452"/>
      <c r="T315" s="452"/>
      <c r="U315" s="452"/>
      <c r="V315" s="452"/>
      <c r="W315" s="452"/>
      <c r="X315" s="452"/>
      <c r="Y315" s="452"/>
    </row>
    <row r="316" spans="1:25" ht="15.6">
      <c r="A316" s="452"/>
      <c r="B316" s="452"/>
      <c r="C316" s="452"/>
      <c r="D316" s="452"/>
      <c r="E316" s="452"/>
      <c r="F316" s="452"/>
      <c r="G316" s="452"/>
      <c r="H316" s="452"/>
      <c r="I316" s="452"/>
      <c r="J316" s="452"/>
      <c r="K316" s="452"/>
      <c r="L316" s="452"/>
      <c r="M316" s="452"/>
      <c r="N316" s="452"/>
      <c r="O316" s="452"/>
      <c r="P316" s="452"/>
      <c r="Q316" s="452"/>
      <c r="R316" s="452"/>
      <c r="S316" s="452"/>
      <c r="T316" s="452"/>
      <c r="U316" s="452"/>
      <c r="V316" s="452"/>
      <c r="W316" s="452"/>
      <c r="X316" s="452"/>
      <c r="Y316" s="452"/>
    </row>
    <row r="317" spans="1:25" ht="15.6">
      <c r="A317" s="452"/>
      <c r="B317" s="452"/>
      <c r="C317" s="452"/>
      <c r="D317" s="452"/>
      <c r="E317" s="452"/>
      <c r="F317" s="452"/>
      <c r="G317" s="452"/>
      <c r="H317" s="452"/>
      <c r="I317" s="452"/>
      <c r="J317" s="452"/>
      <c r="K317" s="452"/>
      <c r="L317" s="452"/>
      <c r="M317" s="452"/>
      <c r="N317" s="452"/>
      <c r="O317" s="452"/>
      <c r="P317" s="452"/>
      <c r="Q317" s="452"/>
      <c r="R317" s="452"/>
      <c r="S317" s="452"/>
      <c r="T317" s="452"/>
      <c r="U317" s="452"/>
      <c r="V317" s="452"/>
      <c r="W317" s="452"/>
      <c r="X317" s="452"/>
      <c r="Y317" s="452"/>
    </row>
    <row r="318" spans="1:25" ht="15.6">
      <c r="A318" s="452"/>
      <c r="B318" s="452"/>
      <c r="C318" s="452"/>
      <c r="D318" s="452"/>
      <c r="E318" s="452"/>
      <c r="F318" s="452"/>
      <c r="G318" s="452"/>
      <c r="H318" s="452"/>
      <c r="I318" s="452"/>
      <c r="J318" s="452"/>
      <c r="K318" s="452"/>
      <c r="L318" s="452"/>
      <c r="M318" s="452"/>
      <c r="N318" s="452"/>
      <c r="O318" s="452"/>
      <c r="P318" s="452"/>
      <c r="Q318" s="452"/>
      <c r="R318" s="452"/>
      <c r="S318" s="452"/>
      <c r="T318" s="452"/>
      <c r="U318" s="452"/>
      <c r="V318" s="452"/>
      <c r="W318" s="452"/>
      <c r="X318" s="452"/>
      <c r="Y318" s="452"/>
    </row>
    <row r="319" spans="1:25" ht="15.6">
      <c r="A319" s="452"/>
      <c r="B319" s="452"/>
      <c r="C319" s="452"/>
      <c r="D319" s="452"/>
      <c r="E319" s="452"/>
      <c r="F319" s="452"/>
      <c r="G319" s="452"/>
      <c r="H319" s="452"/>
      <c r="I319" s="452"/>
      <c r="J319" s="452"/>
      <c r="K319" s="452"/>
      <c r="L319" s="452"/>
      <c r="M319" s="452"/>
      <c r="N319" s="452"/>
      <c r="O319" s="452"/>
      <c r="P319" s="452"/>
      <c r="Q319" s="452"/>
      <c r="R319" s="452"/>
      <c r="S319" s="452"/>
      <c r="T319" s="452"/>
      <c r="U319" s="452"/>
      <c r="V319" s="452"/>
      <c r="W319" s="452"/>
      <c r="X319" s="452"/>
      <c r="Y319" s="452"/>
    </row>
    <row r="320" spans="1:25" ht="15.6">
      <c r="A320" s="452"/>
      <c r="B320" s="452"/>
      <c r="C320" s="452"/>
      <c r="D320" s="452"/>
      <c r="E320" s="452"/>
      <c r="F320" s="452"/>
      <c r="G320" s="452"/>
      <c r="H320" s="452"/>
      <c r="I320" s="452"/>
      <c r="J320" s="452"/>
      <c r="K320" s="452"/>
      <c r="L320" s="452"/>
      <c r="M320" s="452"/>
      <c r="N320" s="452"/>
      <c r="O320" s="452"/>
      <c r="P320" s="452"/>
      <c r="Q320" s="452"/>
      <c r="R320" s="452"/>
      <c r="S320" s="452"/>
      <c r="T320" s="452"/>
      <c r="U320" s="452"/>
      <c r="V320" s="452"/>
      <c r="W320" s="452"/>
      <c r="X320" s="452"/>
      <c r="Y320" s="452"/>
    </row>
    <row r="321" spans="1:25" ht="15.6">
      <c r="A321" s="452"/>
      <c r="B321" s="452"/>
      <c r="C321" s="452"/>
      <c r="D321" s="452"/>
      <c r="E321" s="452"/>
      <c r="F321" s="452"/>
      <c r="G321" s="452"/>
      <c r="H321" s="452"/>
      <c r="I321" s="452"/>
      <c r="J321" s="452"/>
      <c r="K321" s="452"/>
      <c r="L321" s="452"/>
      <c r="M321" s="452"/>
      <c r="N321" s="452"/>
      <c r="O321" s="452"/>
      <c r="P321" s="452"/>
      <c r="Q321" s="452"/>
      <c r="R321" s="452"/>
      <c r="S321" s="452"/>
      <c r="T321" s="452"/>
      <c r="U321" s="452"/>
      <c r="V321" s="452"/>
      <c r="W321" s="452"/>
      <c r="X321" s="452"/>
      <c r="Y321" s="452"/>
    </row>
    <row r="322" spans="1:25" ht="15.6">
      <c r="A322" s="452"/>
      <c r="B322" s="452"/>
      <c r="C322" s="452"/>
      <c r="D322" s="452"/>
      <c r="E322" s="452"/>
      <c r="F322" s="452"/>
      <c r="G322" s="452"/>
      <c r="H322" s="452"/>
      <c r="I322" s="452"/>
      <c r="J322" s="452"/>
      <c r="K322" s="452"/>
      <c r="L322" s="452"/>
      <c r="M322" s="452"/>
      <c r="N322" s="452"/>
      <c r="O322" s="452"/>
      <c r="P322" s="452"/>
      <c r="Q322" s="452"/>
      <c r="R322" s="452"/>
      <c r="S322" s="452"/>
      <c r="T322" s="452"/>
      <c r="U322" s="452"/>
      <c r="V322" s="452"/>
      <c r="W322" s="452"/>
      <c r="X322" s="452"/>
      <c r="Y322" s="452"/>
    </row>
    <row r="323" spans="1:25" ht="15.6">
      <c r="A323" s="452"/>
      <c r="B323" s="452"/>
      <c r="C323" s="452"/>
      <c r="D323" s="452"/>
      <c r="E323" s="452"/>
      <c r="F323" s="452"/>
      <c r="G323" s="452"/>
      <c r="H323" s="452"/>
      <c r="I323" s="452"/>
      <c r="J323" s="452"/>
      <c r="K323" s="452"/>
      <c r="L323" s="452"/>
      <c r="M323" s="452"/>
      <c r="N323" s="452"/>
      <c r="O323" s="452"/>
      <c r="P323" s="452"/>
      <c r="Q323" s="452"/>
      <c r="R323" s="452"/>
      <c r="S323" s="452"/>
      <c r="T323" s="452"/>
      <c r="U323" s="452"/>
      <c r="V323" s="452"/>
      <c r="W323" s="452"/>
      <c r="X323" s="452"/>
      <c r="Y323" s="452"/>
    </row>
    <row r="324" spans="1:25" ht="15.6">
      <c r="A324" s="452"/>
      <c r="B324" s="452"/>
      <c r="C324" s="452"/>
      <c r="D324" s="452"/>
      <c r="E324" s="452"/>
      <c r="F324" s="452"/>
      <c r="G324" s="452"/>
      <c r="H324" s="452"/>
      <c r="I324" s="452"/>
      <c r="J324" s="452"/>
      <c r="K324" s="452"/>
      <c r="L324" s="452"/>
      <c r="M324" s="452"/>
      <c r="N324" s="452"/>
      <c r="O324" s="452"/>
      <c r="P324" s="452"/>
      <c r="Q324" s="452"/>
      <c r="R324" s="452"/>
      <c r="S324" s="452"/>
      <c r="T324" s="452"/>
      <c r="U324" s="452"/>
      <c r="V324" s="452"/>
      <c r="W324" s="452"/>
      <c r="X324" s="452"/>
      <c r="Y324" s="452"/>
    </row>
    <row r="325" spans="1:25" ht="15.6">
      <c r="A325" s="452"/>
      <c r="B325" s="452"/>
      <c r="C325" s="452"/>
      <c r="D325" s="452"/>
      <c r="E325" s="452"/>
      <c r="F325" s="452"/>
      <c r="G325" s="452"/>
      <c r="H325" s="452"/>
      <c r="I325" s="452"/>
      <c r="J325" s="452"/>
      <c r="K325" s="452"/>
      <c r="L325" s="452"/>
      <c r="M325" s="452"/>
      <c r="N325" s="452"/>
      <c r="O325" s="452"/>
      <c r="P325" s="452"/>
      <c r="Q325" s="452"/>
      <c r="R325" s="452"/>
      <c r="S325" s="452"/>
      <c r="T325" s="452"/>
      <c r="U325" s="452"/>
      <c r="V325" s="452"/>
      <c r="W325" s="452"/>
      <c r="X325" s="452"/>
      <c r="Y325" s="452"/>
    </row>
    <row r="326" spans="1:25" ht="15.6">
      <c r="A326" s="452"/>
      <c r="B326" s="452"/>
      <c r="C326" s="452"/>
      <c r="D326" s="452"/>
      <c r="E326" s="452"/>
      <c r="F326" s="452"/>
      <c r="G326" s="452"/>
      <c r="H326" s="452"/>
      <c r="I326" s="452"/>
      <c r="J326" s="452"/>
      <c r="K326" s="452"/>
      <c r="L326" s="452"/>
      <c r="M326" s="452"/>
      <c r="N326" s="452"/>
      <c r="O326" s="452"/>
      <c r="P326" s="452"/>
      <c r="Q326" s="452"/>
      <c r="R326" s="452"/>
      <c r="S326" s="452"/>
      <c r="T326" s="452"/>
      <c r="U326" s="452"/>
      <c r="V326" s="452"/>
      <c r="W326" s="452"/>
      <c r="X326" s="452"/>
      <c r="Y326" s="452"/>
    </row>
    <row r="327" spans="1:25" ht="15.6">
      <c r="A327" s="452"/>
      <c r="B327" s="452"/>
      <c r="C327" s="452"/>
      <c r="D327" s="452"/>
      <c r="E327" s="452"/>
      <c r="F327" s="452"/>
      <c r="G327" s="452"/>
      <c r="H327" s="452"/>
      <c r="I327" s="452"/>
      <c r="J327" s="452"/>
      <c r="K327" s="452"/>
      <c r="L327" s="452"/>
      <c r="M327" s="452"/>
      <c r="N327" s="452"/>
      <c r="O327" s="452"/>
      <c r="P327" s="452"/>
      <c r="Q327" s="452"/>
      <c r="R327" s="452"/>
      <c r="S327" s="452"/>
      <c r="T327" s="452"/>
      <c r="U327" s="452"/>
      <c r="V327" s="452"/>
      <c r="W327" s="452"/>
      <c r="X327" s="452"/>
      <c r="Y327" s="452"/>
    </row>
    <row r="328" spans="1:25" ht="15.6">
      <c r="A328" s="452"/>
      <c r="B328" s="452"/>
      <c r="C328" s="452"/>
      <c r="D328" s="452"/>
      <c r="E328" s="452"/>
      <c r="F328" s="452"/>
      <c r="G328" s="452"/>
      <c r="H328" s="452"/>
      <c r="I328" s="452"/>
      <c r="J328" s="452"/>
      <c r="K328" s="452"/>
      <c r="L328" s="452"/>
      <c r="M328" s="452"/>
      <c r="N328" s="452"/>
      <c r="O328" s="452"/>
      <c r="P328" s="452"/>
      <c r="Q328" s="452"/>
      <c r="R328" s="452"/>
      <c r="S328" s="452"/>
      <c r="T328" s="452"/>
      <c r="U328" s="452"/>
      <c r="V328" s="452"/>
      <c r="W328" s="452"/>
      <c r="X328" s="452"/>
      <c r="Y328" s="452"/>
    </row>
    <row r="329" spans="1:25" ht="15.6">
      <c r="A329" s="452"/>
      <c r="B329" s="452"/>
      <c r="C329" s="452"/>
      <c r="D329" s="452"/>
      <c r="E329" s="452"/>
      <c r="F329" s="452"/>
      <c r="G329" s="452"/>
      <c r="H329" s="452"/>
      <c r="I329" s="452"/>
      <c r="J329" s="452"/>
      <c r="K329" s="452"/>
      <c r="L329" s="452"/>
      <c r="M329" s="452"/>
      <c r="N329" s="452"/>
      <c r="O329" s="452"/>
      <c r="P329" s="452"/>
      <c r="Q329" s="452"/>
      <c r="R329" s="452"/>
      <c r="S329" s="452"/>
      <c r="T329" s="452"/>
      <c r="U329" s="452"/>
      <c r="V329" s="452"/>
      <c r="W329" s="452"/>
      <c r="X329" s="452"/>
      <c r="Y329" s="452"/>
    </row>
    <row r="330" spans="1:25" ht="15.6">
      <c r="A330" s="452"/>
      <c r="B330" s="452"/>
      <c r="C330" s="452"/>
      <c r="D330" s="452"/>
      <c r="E330" s="452"/>
      <c r="F330" s="452"/>
      <c r="G330" s="452"/>
      <c r="H330" s="452"/>
      <c r="I330" s="452"/>
      <c r="J330" s="452"/>
      <c r="K330" s="452"/>
      <c r="L330" s="452"/>
      <c r="M330" s="452"/>
      <c r="N330" s="452"/>
      <c r="O330" s="452"/>
      <c r="P330" s="452"/>
      <c r="Q330" s="452"/>
      <c r="R330" s="452"/>
      <c r="S330" s="452"/>
      <c r="T330" s="452"/>
      <c r="U330" s="452"/>
      <c r="V330" s="452"/>
      <c r="W330" s="452"/>
      <c r="X330" s="452"/>
      <c r="Y330" s="452"/>
    </row>
    <row r="331" spans="1:25" ht="15.6">
      <c r="A331" s="452"/>
      <c r="B331" s="452"/>
      <c r="C331" s="452"/>
      <c r="D331" s="452"/>
      <c r="E331" s="452"/>
      <c r="F331" s="452"/>
      <c r="G331" s="452"/>
      <c r="H331" s="452"/>
      <c r="I331" s="452"/>
      <c r="J331" s="452"/>
      <c r="K331" s="452"/>
      <c r="L331" s="452"/>
      <c r="M331" s="452"/>
      <c r="N331" s="452"/>
      <c r="O331" s="452"/>
      <c r="P331" s="452"/>
      <c r="Q331" s="452"/>
      <c r="R331" s="452"/>
      <c r="S331" s="452"/>
      <c r="T331" s="452"/>
      <c r="U331" s="452"/>
      <c r="V331" s="452"/>
      <c r="W331" s="452"/>
      <c r="X331" s="452"/>
      <c r="Y331" s="452"/>
    </row>
    <row r="332" spans="1:25" ht="15.6">
      <c r="A332" s="452"/>
      <c r="B332" s="452"/>
      <c r="C332" s="452"/>
      <c r="D332" s="452"/>
      <c r="E332" s="452"/>
      <c r="F332" s="452"/>
      <c r="G332" s="452"/>
      <c r="H332" s="452"/>
      <c r="I332" s="452"/>
      <c r="J332" s="452"/>
      <c r="K332" s="452"/>
      <c r="L332" s="452"/>
      <c r="M332" s="452"/>
      <c r="N332" s="452"/>
      <c r="O332" s="452"/>
      <c r="P332" s="452"/>
      <c r="Q332" s="452"/>
      <c r="R332" s="452"/>
      <c r="S332" s="452"/>
      <c r="T332" s="452"/>
      <c r="U332" s="452"/>
      <c r="V332" s="452"/>
      <c r="W332" s="452"/>
      <c r="X332" s="452"/>
      <c r="Y332" s="452"/>
    </row>
    <row r="333" spans="1:25" ht="15.6">
      <c r="A333" s="452"/>
      <c r="B333" s="452"/>
      <c r="C333" s="452"/>
      <c r="D333" s="452"/>
      <c r="E333" s="452"/>
      <c r="F333" s="452"/>
      <c r="G333" s="452"/>
      <c r="H333" s="452"/>
      <c r="I333" s="452"/>
      <c r="J333" s="452"/>
      <c r="K333" s="452"/>
      <c r="L333" s="452"/>
      <c r="M333" s="452"/>
      <c r="N333" s="452"/>
      <c r="O333" s="452"/>
      <c r="P333" s="452"/>
      <c r="Q333" s="452"/>
      <c r="R333" s="452"/>
      <c r="S333" s="452"/>
      <c r="T333" s="452"/>
      <c r="U333" s="452"/>
      <c r="V333" s="452"/>
      <c r="W333" s="452"/>
      <c r="X333" s="452"/>
      <c r="Y333" s="452"/>
    </row>
    <row r="334" spans="1:25" ht="15.6">
      <c r="A334" s="452"/>
      <c r="B334" s="452"/>
      <c r="C334" s="452"/>
      <c r="D334" s="452"/>
      <c r="E334" s="452"/>
      <c r="F334" s="452"/>
      <c r="G334" s="452"/>
      <c r="H334" s="452"/>
      <c r="I334" s="452"/>
      <c r="J334" s="452"/>
      <c r="K334" s="452"/>
      <c r="L334" s="452"/>
      <c r="M334" s="452"/>
      <c r="N334" s="452"/>
      <c r="O334" s="452"/>
      <c r="P334" s="452"/>
      <c r="Q334" s="452"/>
      <c r="R334" s="452"/>
      <c r="S334" s="452"/>
      <c r="T334" s="452"/>
      <c r="U334" s="452"/>
      <c r="V334" s="452"/>
      <c r="W334" s="452"/>
      <c r="X334" s="452"/>
      <c r="Y334" s="452"/>
    </row>
    <row r="335" spans="1:25" ht="15.6">
      <c r="A335" s="452"/>
      <c r="B335" s="452"/>
      <c r="C335" s="452"/>
      <c r="D335" s="452"/>
      <c r="E335" s="452"/>
      <c r="F335" s="452"/>
      <c r="G335" s="452"/>
      <c r="H335" s="452"/>
      <c r="I335" s="452"/>
      <c r="J335" s="452"/>
      <c r="K335" s="452"/>
      <c r="L335" s="452"/>
      <c r="M335" s="452"/>
      <c r="N335" s="452"/>
      <c r="O335" s="452"/>
      <c r="P335" s="452"/>
      <c r="Q335" s="452"/>
      <c r="R335" s="452"/>
      <c r="S335" s="452"/>
      <c r="T335" s="452"/>
      <c r="U335" s="452"/>
      <c r="V335" s="452"/>
      <c r="W335" s="452"/>
      <c r="X335" s="452"/>
      <c r="Y335" s="452"/>
    </row>
    <row r="336" spans="1:25" ht="15.6">
      <c r="A336" s="452"/>
      <c r="B336" s="452"/>
      <c r="C336" s="452"/>
      <c r="D336" s="452"/>
      <c r="E336" s="452"/>
      <c r="F336" s="452"/>
      <c r="G336" s="452"/>
      <c r="H336" s="452"/>
      <c r="I336" s="452"/>
      <c r="J336" s="452"/>
      <c r="K336" s="452"/>
      <c r="L336" s="452"/>
      <c r="M336" s="452"/>
      <c r="N336" s="452"/>
      <c r="O336" s="452"/>
      <c r="P336" s="452"/>
      <c r="Q336" s="452"/>
      <c r="R336" s="452"/>
      <c r="S336" s="452"/>
      <c r="T336" s="452"/>
      <c r="U336" s="452"/>
      <c r="V336" s="452"/>
      <c r="W336" s="452"/>
      <c r="X336" s="452"/>
      <c r="Y336" s="452"/>
    </row>
    <row r="337" spans="1:25" ht="15.6">
      <c r="A337" s="452"/>
      <c r="B337" s="452"/>
      <c r="C337" s="452"/>
      <c r="D337" s="452"/>
      <c r="E337" s="452"/>
      <c r="F337" s="452"/>
      <c r="G337" s="452"/>
      <c r="H337" s="452"/>
      <c r="I337" s="452"/>
      <c r="J337" s="452"/>
      <c r="K337" s="452"/>
      <c r="L337" s="452"/>
      <c r="M337" s="452"/>
      <c r="N337" s="452"/>
      <c r="O337" s="452"/>
      <c r="P337" s="452"/>
      <c r="Q337" s="452"/>
      <c r="R337" s="452"/>
      <c r="S337" s="452"/>
      <c r="T337" s="452"/>
      <c r="U337" s="452"/>
      <c r="V337" s="452"/>
      <c r="W337" s="452"/>
      <c r="X337" s="452"/>
      <c r="Y337" s="452"/>
    </row>
    <row r="338" spans="1:25" ht="15.6">
      <c r="A338" s="452"/>
      <c r="B338" s="452"/>
      <c r="C338" s="452"/>
      <c r="D338" s="452"/>
      <c r="E338" s="452"/>
      <c r="F338" s="452"/>
      <c r="G338" s="452"/>
      <c r="H338" s="452"/>
      <c r="I338" s="452"/>
      <c r="J338" s="452"/>
      <c r="K338" s="452"/>
      <c r="L338" s="452"/>
      <c r="M338" s="452"/>
      <c r="N338" s="452"/>
      <c r="O338" s="452"/>
      <c r="P338" s="452"/>
      <c r="Q338" s="452"/>
      <c r="R338" s="452"/>
      <c r="S338" s="452"/>
      <c r="T338" s="452"/>
      <c r="U338" s="452"/>
      <c r="V338" s="452"/>
      <c r="W338" s="452"/>
      <c r="X338" s="452"/>
      <c r="Y338" s="452"/>
    </row>
    <row r="339" spans="1:25" ht="15.6">
      <c r="A339" s="452"/>
      <c r="B339" s="452"/>
      <c r="C339" s="452"/>
      <c r="D339" s="452"/>
      <c r="E339" s="452"/>
      <c r="F339" s="452"/>
      <c r="G339" s="452"/>
      <c r="H339" s="452"/>
      <c r="I339" s="452"/>
      <c r="J339" s="452"/>
      <c r="K339" s="452"/>
      <c r="L339" s="452"/>
      <c r="M339" s="452"/>
      <c r="N339" s="452"/>
      <c r="O339" s="452"/>
      <c r="P339" s="452"/>
      <c r="Q339" s="452"/>
      <c r="R339" s="452"/>
      <c r="S339" s="452"/>
      <c r="T339" s="452"/>
      <c r="U339" s="452"/>
      <c r="V339" s="452"/>
      <c r="W339" s="452"/>
      <c r="X339" s="452"/>
      <c r="Y339" s="452"/>
    </row>
    <row r="340" spans="1:25" ht="15.6">
      <c r="A340" s="452"/>
      <c r="B340" s="452"/>
      <c r="C340" s="452"/>
      <c r="D340" s="452"/>
      <c r="E340" s="452"/>
      <c r="F340" s="452"/>
      <c r="G340" s="452"/>
      <c r="H340" s="452"/>
      <c r="I340" s="452"/>
      <c r="J340" s="452"/>
      <c r="K340" s="452"/>
      <c r="L340" s="452"/>
      <c r="M340" s="452"/>
      <c r="N340" s="452"/>
      <c r="O340" s="452"/>
      <c r="P340" s="452"/>
      <c r="Q340" s="452"/>
      <c r="R340" s="452"/>
      <c r="S340" s="452"/>
      <c r="T340" s="452"/>
      <c r="U340" s="452"/>
      <c r="V340" s="452"/>
      <c r="W340" s="452"/>
      <c r="X340" s="452"/>
      <c r="Y340" s="452"/>
    </row>
    <row r="341" spans="1:25" ht="15.6">
      <c r="A341" s="452"/>
      <c r="B341" s="452"/>
      <c r="C341" s="452"/>
      <c r="D341" s="452"/>
      <c r="E341" s="452"/>
      <c r="F341" s="452"/>
      <c r="G341" s="452"/>
      <c r="H341" s="452"/>
      <c r="I341" s="452"/>
      <c r="J341" s="452"/>
      <c r="K341" s="452"/>
      <c r="L341" s="452"/>
      <c r="M341" s="452"/>
      <c r="N341" s="452"/>
      <c r="O341" s="452"/>
      <c r="P341" s="452"/>
      <c r="Q341" s="452"/>
      <c r="R341" s="452"/>
      <c r="S341" s="452"/>
      <c r="T341" s="452"/>
      <c r="U341" s="452"/>
      <c r="V341" s="452"/>
      <c r="W341" s="452"/>
      <c r="X341" s="452"/>
      <c r="Y341" s="452"/>
    </row>
    <row r="342" spans="1:25" ht="15.6">
      <c r="A342" s="452"/>
      <c r="B342" s="452"/>
      <c r="C342" s="452"/>
      <c r="D342" s="452"/>
      <c r="E342" s="452"/>
      <c r="F342" s="452"/>
      <c r="G342" s="452"/>
      <c r="H342" s="452"/>
      <c r="I342" s="452"/>
      <c r="J342" s="452"/>
      <c r="K342" s="452"/>
      <c r="L342" s="452"/>
      <c r="M342" s="452"/>
      <c r="N342" s="452"/>
      <c r="O342" s="452"/>
      <c r="P342" s="452"/>
      <c r="Q342" s="452"/>
      <c r="R342" s="452"/>
      <c r="S342" s="452"/>
      <c r="T342" s="452"/>
      <c r="U342" s="452"/>
      <c r="V342" s="452"/>
      <c r="W342" s="452"/>
      <c r="X342" s="452"/>
      <c r="Y342" s="452"/>
    </row>
    <row r="343" spans="1:25" ht="15.6">
      <c r="A343" s="452"/>
      <c r="B343" s="452"/>
      <c r="C343" s="452"/>
      <c r="D343" s="452"/>
      <c r="E343" s="452"/>
      <c r="F343" s="452"/>
      <c r="G343" s="452"/>
      <c r="H343" s="452"/>
      <c r="I343" s="452"/>
      <c r="J343" s="452"/>
      <c r="K343" s="452"/>
      <c r="L343" s="452"/>
      <c r="M343" s="452"/>
      <c r="N343" s="452"/>
      <c r="O343" s="452"/>
      <c r="P343" s="452"/>
      <c r="Q343" s="452"/>
      <c r="R343" s="452"/>
      <c r="S343" s="452"/>
      <c r="T343" s="452"/>
      <c r="U343" s="452"/>
      <c r="V343" s="452"/>
      <c r="W343" s="452"/>
      <c r="X343" s="452"/>
      <c r="Y343" s="452"/>
    </row>
    <row r="344" spans="1:25" ht="15.6">
      <c r="A344" s="452"/>
      <c r="B344" s="452"/>
      <c r="C344" s="452"/>
      <c r="D344" s="452"/>
      <c r="E344" s="452"/>
      <c r="F344" s="452"/>
      <c r="G344" s="452"/>
      <c r="H344" s="452"/>
      <c r="I344" s="452"/>
      <c r="J344" s="452"/>
      <c r="K344" s="452"/>
      <c r="L344" s="452"/>
      <c r="M344" s="452"/>
      <c r="N344" s="452"/>
      <c r="O344" s="452"/>
      <c r="P344" s="452"/>
      <c r="Q344" s="452"/>
      <c r="R344" s="452"/>
      <c r="S344" s="452"/>
      <c r="T344" s="452"/>
      <c r="U344" s="452"/>
      <c r="V344" s="452"/>
      <c r="W344" s="452"/>
      <c r="X344" s="452"/>
      <c r="Y344" s="452"/>
    </row>
    <row r="345" spans="1:25" ht="15.6">
      <c r="A345" s="452"/>
      <c r="B345" s="452"/>
      <c r="C345" s="452"/>
      <c r="D345" s="452"/>
      <c r="E345" s="452"/>
      <c r="F345" s="452"/>
      <c r="G345" s="452"/>
      <c r="H345" s="452"/>
      <c r="I345" s="452"/>
      <c r="J345" s="452"/>
      <c r="K345" s="452"/>
      <c r="L345" s="452"/>
      <c r="M345" s="452"/>
      <c r="N345" s="452"/>
      <c r="O345" s="452"/>
      <c r="P345" s="452"/>
      <c r="Q345" s="452"/>
      <c r="R345" s="452"/>
      <c r="S345" s="452"/>
      <c r="T345" s="452"/>
      <c r="U345" s="452"/>
      <c r="V345" s="452"/>
      <c r="W345" s="452"/>
      <c r="X345" s="452"/>
      <c r="Y345" s="452"/>
    </row>
    <row r="346" spans="1:25" ht="15.6">
      <c r="A346" s="452"/>
      <c r="B346" s="452"/>
      <c r="C346" s="452"/>
      <c r="D346" s="452"/>
      <c r="E346" s="452"/>
      <c r="F346" s="452"/>
      <c r="G346" s="452"/>
      <c r="H346" s="452"/>
      <c r="I346" s="452"/>
      <c r="J346" s="452"/>
      <c r="K346" s="452"/>
      <c r="L346" s="452"/>
      <c r="M346" s="452"/>
      <c r="N346" s="452"/>
      <c r="O346" s="452"/>
      <c r="P346" s="452"/>
      <c r="Q346" s="452"/>
      <c r="R346" s="452"/>
      <c r="S346" s="452"/>
      <c r="T346" s="452"/>
      <c r="U346" s="452"/>
      <c r="V346" s="452"/>
      <c r="W346" s="452"/>
      <c r="X346" s="452"/>
      <c r="Y346" s="452"/>
    </row>
    <row r="347" spans="1:25" ht="15.6">
      <c r="A347" s="452"/>
      <c r="B347" s="452"/>
      <c r="C347" s="452"/>
      <c r="D347" s="452"/>
      <c r="E347" s="452"/>
      <c r="F347" s="452"/>
      <c r="G347" s="452"/>
      <c r="H347" s="452"/>
      <c r="I347" s="452"/>
      <c r="J347" s="452"/>
      <c r="K347" s="452"/>
      <c r="L347" s="452"/>
      <c r="M347" s="452"/>
      <c r="N347" s="452"/>
      <c r="O347" s="452"/>
      <c r="P347" s="452"/>
      <c r="Q347" s="452"/>
      <c r="R347" s="452"/>
      <c r="S347" s="452"/>
      <c r="T347" s="452"/>
      <c r="U347" s="452"/>
      <c r="V347" s="452"/>
      <c r="W347" s="452"/>
      <c r="X347" s="452"/>
      <c r="Y347" s="452"/>
    </row>
    <row r="348" spans="1:25" ht="15.6">
      <c r="A348" s="452"/>
      <c r="B348" s="452"/>
      <c r="C348" s="452"/>
      <c r="D348" s="452"/>
      <c r="E348" s="452"/>
      <c r="F348" s="452"/>
      <c r="G348" s="452"/>
      <c r="H348" s="452"/>
      <c r="I348" s="452"/>
      <c r="J348" s="452"/>
      <c r="K348" s="452"/>
      <c r="L348" s="452"/>
      <c r="M348" s="452"/>
      <c r="N348" s="452"/>
      <c r="O348" s="452"/>
      <c r="P348" s="452"/>
      <c r="Q348" s="452"/>
      <c r="R348" s="452"/>
      <c r="S348" s="452"/>
      <c r="T348" s="452"/>
      <c r="U348" s="452"/>
      <c r="V348" s="452"/>
      <c r="W348" s="452"/>
      <c r="X348" s="452"/>
      <c r="Y348" s="452"/>
    </row>
    <row r="349" spans="1:25" ht="15.6">
      <c r="A349" s="452"/>
      <c r="B349" s="452"/>
      <c r="C349" s="452"/>
      <c r="D349" s="452"/>
      <c r="E349" s="452"/>
      <c r="F349" s="452"/>
      <c r="G349" s="452"/>
      <c r="H349" s="452"/>
      <c r="I349" s="452"/>
      <c r="J349" s="452"/>
      <c r="K349" s="452"/>
      <c r="L349" s="452"/>
      <c r="M349" s="452"/>
      <c r="N349" s="452"/>
      <c r="O349" s="452"/>
      <c r="P349" s="452"/>
      <c r="Q349" s="452"/>
      <c r="R349" s="452"/>
      <c r="S349" s="452"/>
      <c r="T349" s="452"/>
      <c r="U349" s="452"/>
      <c r="V349" s="452"/>
      <c r="W349" s="452"/>
      <c r="X349" s="452"/>
      <c r="Y349" s="452"/>
    </row>
    <row r="350" spans="1:25" ht="15.6">
      <c r="A350" s="452"/>
      <c r="B350" s="452"/>
      <c r="C350" s="452"/>
      <c r="D350" s="452"/>
      <c r="E350" s="452"/>
      <c r="F350" s="452"/>
      <c r="G350" s="452"/>
      <c r="H350" s="452"/>
      <c r="I350" s="452"/>
      <c r="J350" s="452"/>
      <c r="K350" s="452"/>
      <c r="L350" s="452"/>
      <c r="M350" s="452"/>
      <c r="N350" s="452"/>
      <c r="O350" s="452"/>
      <c r="P350" s="452"/>
      <c r="Q350" s="452"/>
      <c r="R350" s="452"/>
      <c r="S350" s="452"/>
      <c r="T350" s="452"/>
      <c r="U350" s="452"/>
      <c r="V350" s="452"/>
      <c r="W350" s="452"/>
      <c r="X350" s="452"/>
      <c r="Y350" s="452"/>
    </row>
    <row r="351" spans="1:25" ht="15.6">
      <c r="A351" s="452"/>
      <c r="B351" s="452"/>
      <c r="C351" s="452"/>
      <c r="D351" s="452"/>
      <c r="E351" s="452"/>
      <c r="F351" s="452"/>
      <c r="G351" s="452"/>
      <c r="H351" s="452"/>
      <c r="I351" s="452"/>
      <c r="J351" s="452"/>
      <c r="K351" s="452"/>
      <c r="L351" s="452"/>
      <c r="M351" s="452"/>
      <c r="N351" s="452"/>
      <c r="O351" s="452"/>
      <c r="P351" s="452"/>
      <c r="Q351" s="452"/>
      <c r="R351" s="452"/>
      <c r="S351" s="452"/>
      <c r="T351" s="452"/>
      <c r="U351" s="452"/>
      <c r="V351" s="452"/>
      <c r="W351" s="452"/>
      <c r="X351" s="452"/>
      <c r="Y351" s="452"/>
    </row>
    <row r="352" spans="1:25" ht="15.6">
      <c r="A352" s="452"/>
      <c r="B352" s="452"/>
      <c r="C352" s="452"/>
      <c r="D352" s="452"/>
      <c r="E352" s="452"/>
      <c r="F352" s="452"/>
      <c r="G352" s="452"/>
      <c r="H352" s="452"/>
      <c r="I352" s="452"/>
      <c r="J352" s="452"/>
      <c r="K352" s="452"/>
      <c r="L352" s="452"/>
      <c r="M352" s="452"/>
      <c r="N352" s="452"/>
      <c r="O352" s="452"/>
      <c r="P352" s="452"/>
      <c r="Q352" s="452"/>
      <c r="R352" s="452"/>
      <c r="S352" s="452"/>
      <c r="T352" s="452"/>
      <c r="U352" s="452"/>
      <c r="V352" s="452"/>
      <c r="W352" s="452"/>
      <c r="X352" s="452"/>
      <c r="Y352" s="452"/>
    </row>
    <row r="353" spans="1:25" ht="15.6">
      <c r="A353" s="452"/>
      <c r="B353" s="452"/>
      <c r="C353" s="452"/>
      <c r="D353" s="452"/>
      <c r="E353" s="452"/>
      <c r="F353" s="452"/>
      <c r="G353" s="452"/>
      <c r="H353" s="452"/>
      <c r="I353" s="452"/>
      <c r="J353" s="452"/>
      <c r="K353" s="452"/>
      <c r="L353" s="452"/>
      <c r="M353" s="452"/>
      <c r="N353" s="452"/>
      <c r="O353" s="452"/>
      <c r="P353" s="452"/>
      <c r="Q353" s="452"/>
      <c r="R353" s="452"/>
      <c r="S353" s="452"/>
      <c r="T353" s="452"/>
      <c r="U353" s="452"/>
      <c r="V353" s="452"/>
      <c r="W353" s="452"/>
      <c r="X353" s="452"/>
      <c r="Y353" s="452"/>
    </row>
    <row r="354" spans="1:25" ht="15.6">
      <c r="A354" s="452"/>
      <c r="B354" s="452"/>
      <c r="C354" s="452"/>
      <c r="D354" s="452"/>
      <c r="E354" s="452"/>
      <c r="F354" s="452"/>
      <c r="G354" s="452"/>
      <c r="H354" s="452"/>
      <c r="I354" s="452"/>
      <c r="J354" s="452"/>
      <c r="K354" s="452"/>
      <c r="L354" s="452"/>
      <c r="M354" s="452"/>
      <c r="N354" s="452"/>
      <c r="O354" s="452"/>
      <c r="P354" s="452"/>
      <c r="Q354" s="452"/>
      <c r="R354" s="452"/>
      <c r="S354" s="452"/>
      <c r="T354" s="452"/>
      <c r="U354" s="452"/>
      <c r="V354" s="452"/>
      <c r="W354" s="452"/>
      <c r="X354" s="452"/>
      <c r="Y354" s="452"/>
    </row>
    <row r="355" spans="1:25" ht="15.6">
      <c r="A355" s="452"/>
      <c r="B355" s="452"/>
      <c r="C355" s="452"/>
      <c r="D355" s="452"/>
      <c r="E355" s="452"/>
      <c r="F355" s="452"/>
      <c r="G355" s="452"/>
      <c r="H355" s="452"/>
      <c r="I355" s="452"/>
      <c r="J355" s="452"/>
      <c r="K355" s="452"/>
      <c r="L355" s="452"/>
      <c r="M355" s="452"/>
      <c r="N355" s="452"/>
      <c r="O355" s="452"/>
      <c r="P355" s="452"/>
      <c r="Q355" s="452"/>
      <c r="R355" s="452"/>
      <c r="S355" s="452"/>
      <c r="T355" s="452"/>
      <c r="U355" s="452"/>
      <c r="V355" s="452"/>
      <c r="W355" s="452"/>
      <c r="X355" s="452"/>
      <c r="Y355" s="452"/>
    </row>
    <row r="356" spans="1:25" ht="15.6">
      <c r="A356" s="452"/>
      <c r="B356" s="452"/>
      <c r="C356" s="452"/>
      <c r="D356" s="452"/>
      <c r="E356" s="452"/>
      <c r="F356" s="452"/>
      <c r="G356" s="452"/>
      <c r="H356" s="452"/>
      <c r="I356" s="452"/>
      <c r="J356" s="452"/>
      <c r="K356" s="452"/>
      <c r="L356" s="452"/>
      <c r="M356" s="452"/>
      <c r="N356" s="452"/>
      <c r="O356" s="452"/>
      <c r="P356" s="452"/>
      <c r="Q356" s="452"/>
      <c r="R356" s="452"/>
      <c r="S356" s="452"/>
      <c r="T356" s="452"/>
      <c r="U356" s="452"/>
      <c r="V356" s="452"/>
      <c r="W356" s="452"/>
      <c r="X356" s="452"/>
      <c r="Y356" s="452"/>
    </row>
    <row r="357" spans="1:25" ht="15.6">
      <c r="A357" s="452"/>
      <c r="B357" s="452"/>
      <c r="C357" s="452"/>
      <c r="D357" s="452"/>
      <c r="E357" s="452"/>
      <c r="F357" s="452"/>
      <c r="G357" s="452"/>
      <c r="H357" s="452"/>
      <c r="I357" s="452"/>
      <c r="J357" s="452"/>
      <c r="K357" s="452"/>
      <c r="L357" s="452"/>
      <c r="M357" s="452"/>
      <c r="N357" s="452"/>
      <c r="O357" s="452"/>
      <c r="P357" s="452"/>
      <c r="Q357" s="452"/>
      <c r="R357" s="452"/>
      <c r="S357" s="452"/>
      <c r="T357" s="452"/>
      <c r="U357" s="452"/>
      <c r="V357" s="452"/>
      <c r="W357" s="452"/>
      <c r="X357" s="452"/>
      <c r="Y357" s="452"/>
    </row>
    <row r="358" spans="1:25" ht="15.6">
      <c r="A358" s="452"/>
      <c r="B358" s="452"/>
      <c r="C358" s="452"/>
      <c r="D358" s="452"/>
      <c r="E358" s="452"/>
      <c r="F358" s="452"/>
      <c r="G358" s="452"/>
      <c r="H358" s="452"/>
      <c r="I358" s="452"/>
      <c r="J358" s="452"/>
      <c r="K358" s="452"/>
      <c r="L358" s="452"/>
      <c r="M358" s="452"/>
      <c r="N358" s="452"/>
      <c r="O358" s="452"/>
      <c r="P358" s="452"/>
      <c r="Q358" s="452"/>
      <c r="R358" s="452"/>
      <c r="S358" s="452"/>
      <c r="T358" s="452"/>
      <c r="U358" s="452"/>
      <c r="V358" s="452"/>
      <c r="W358" s="452"/>
      <c r="X358" s="452"/>
      <c r="Y358" s="452"/>
    </row>
    <row r="359" spans="1:25" ht="15.6">
      <c r="A359" s="452"/>
      <c r="B359" s="452"/>
      <c r="C359" s="452"/>
      <c r="D359" s="452"/>
      <c r="E359" s="452"/>
      <c r="F359" s="452"/>
      <c r="G359" s="452"/>
      <c r="H359" s="452"/>
      <c r="I359" s="452"/>
      <c r="J359" s="452"/>
      <c r="K359" s="452"/>
      <c r="L359" s="452"/>
      <c r="M359" s="452"/>
      <c r="N359" s="452"/>
      <c r="O359" s="452"/>
      <c r="P359" s="452"/>
      <c r="Q359" s="452"/>
      <c r="R359" s="452"/>
      <c r="S359" s="452"/>
      <c r="T359" s="452"/>
      <c r="U359" s="452"/>
      <c r="V359" s="452"/>
      <c r="W359" s="452"/>
      <c r="X359" s="452"/>
      <c r="Y359" s="452"/>
    </row>
    <row r="360" spans="1:25" ht="15.6">
      <c r="A360" s="452"/>
      <c r="B360" s="452"/>
      <c r="C360" s="452"/>
      <c r="D360" s="452"/>
      <c r="E360" s="452"/>
      <c r="F360" s="452"/>
      <c r="G360" s="452"/>
      <c r="H360" s="452"/>
      <c r="I360" s="452"/>
      <c r="J360" s="452"/>
      <c r="K360" s="452"/>
      <c r="L360" s="452"/>
      <c r="M360" s="452"/>
      <c r="N360" s="452"/>
      <c r="O360" s="452"/>
      <c r="P360" s="452"/>
      <c r="Q360" s="452"/>
      <c r="R360" s="452"/>
      <c r="S360" s="452"/>
      <c r="T360" s="452"/>
      <c r="U360" s="452"/>
      <c r="V360" s="452"/>
      <c r="W360" s="452"/>
      <c r="X360" s="452"/>
      <c r="Y360" s="452"/>
    </row>
    <row r="361" spans="1:25" ht="15.6">
      <c r="A361" s="452"/>
      <c r="B361" s="452"/>
      <c r="C361" s="452"/>
      <c r="D361" s="452"/>
      <c r="E361" s="452"/>
      <c r="F361" s="452"/>
      <c r="G361" s="452"/>
      <c r="H361" s="452"/>
      <c r="I361" s="452"/>
      <c r="J361" s="452"/>
      <c r="K361" s="452"/>
      <c r="L361" s="452"/>
      <c r="M361" s="452"/>
      <c r="N361" s="452"/>
      <c r="O361" s="452"/>
      <c r="P361" s="452"/>
      <c r="Q361" s="452"/>
      <c r="R361" s="452"/>
      <c r="S361" s="452"/>
      <c r="T361" s="452"/>
      <c r="U361" s="452"/>
      <c r="V361" s="452"/>
      <c r="W361" s="452"/>
      <c r="X361" s="452"/>
      <c r="Y361" s="452"/>
    </row>
    <row r="362" spans="1:25" ht="15.6">
      <c r="A362" s="452"/>
      <c r="B362" s="452"/>
      <c r="C362" s="452"/>
      <c r="D362" s="452"/>
      <c r="E362" s="452"/>
      <c r="F362" s="452"/>
      <c r="G362" s="452"/>
      <c r="H362" s="452"/>
      <c r="I362" s="452"/>
      <c r="J362" s="452"/>
      <c r="K362" s="452"/>
      <c r="L362" s="452"/>
      <c r="M362" s="452"/>
      <c r="N362" s="452"/>
      <c r="O362" s="452"/>
      <c r="P362" s="452"/>
      <c r="Q362" s="452"/>
      <c r="R362" s="452"/>
      <c r="S362" s="452"/>
      <c r="T362" s="452"/>
      <c r="U362" s="452"/>
      <c r="V362" s="452"/>
      <c r="W362" s="452"/>
      <c r="X362" s="452"/>
      <c r="Y362" s="452"/>
    </row>
    <row r="363" spans="1:25" ht="15.6">
      <c r="A363" s="452"/>
      <c r="B363" s="452"/>
      <c r="C363" s="452"/>
      <c r="D363" s="452"/>
      <c r="E363" s="452"/>
      <c r="F363" s="452"/>
      <c r="G363" s="452"/>
      <c r="H363" s="452"/>
      <c r="I363" s="452"/>
      <c r="J363" s="452"/>
      <c r="K363" s="452"/>
      <c r="L363" s="452"/>
      <c r="M363" s="452"/>
      <c r="N363" s="452"/>
      <c r="O363" s="452"/>
      <c r="P363" s="452"/>
      <c r="Q363" s="452"/>
      <c r="R363" s="452"/>
      <c r="S363" s="452"/>
      <c r="T363" s="452"/>
      <c r="U363" s="452"/>
      <c r="V363" s="452"/>
      <c r="W363" s="452"/>
      <c r="X363" s="452"/>
      <c r="Y363" s="452"/>
    </row>
    <row r="364" spans="1:25" ht="15.6">
      <c r="A364" s="452"/>
      <c r="B364" s="452"/>
      <c r="C364" s="452"/>
      <c r="D364" s="452"/>
      <c r="E364" s="452"/>
      <c r="F364" s="452"/>
      <c r="G364" s="452"/>
      <c r="H364" s="452"/>
      <c r="I364" s="452"/>
      <c r="J364" s="452"/>
      <c r="K364" s="452"/>
      <c r="L364" s="452"/>
      <c r="M364" s="452"/>
      <c r="N364" s="452"/>
      <c r="O364" s="452"/>
      <c r="P364" s="452"/>
      <c r="Q364" s="452"/>
      <c r="R364" s="452"/>
      <c r="S364" s="452"/>
      <c r="T364" s="452"/>
      <c r="U364" s="452"/>
      <c r="V364" s="452"/>
      <c r="W364" s="452"/>
      <c r="X364" s="452"/>
      <c r="Y364" s="452"/>
    </row>
    <row r="365" spans="1:25" ht="15.6">
      <c r="A365" s="452"/>
      <c r="B365" s="452"/>
      <c r="C365" s="452"/>
      <c r="D365" s="452"/>
      <c r="E365" s="452"/>
      <c r="F365" s="452"/>
      <c r="G365" s="452"/>
      <c r="H365" s="452"/>
      <c r="I365" s="452"/>
      <c r="J365" s="452"/>
      <c r="K365" s="452"/>
      <c r="L365" s="452"/>
      <c r="M365" s="452"/>
      <c r="N365" s="452"/>
      <c r="O365" s="452"/>
      <c r="P365" s="452"/>
      <c r="Q365" s="452"/>
      <c r="R365" s="452"/>
      <c r="S365" s="452"/>
      <c r="T365" s="452"/>
      <c r="U365" s="452"/>
      <c r="V365" s="452"/>
      <c r="W365" s="452"/>
      <c r="X365" s="452"/>
      <c r="Y365" s="452"/>
    </row>
    <row r="366" spans="1:25" ht="15.6">
      <c r="A366" s="452"/>
      <c r="B366" s="452"/>
      <c r="C366" s="452"/>
      <c r="D366" s="452"/>
      <c r="E366" s="452"/>
      <c r="F366" s="452"/>
      <c r="G366" s="452"/>
      <c r="H366" s="452"/>
      <c r="I366" s="452"/>
      <c r="J366" s="452"/>
      <c r="K366" s="452"/>
      <c r="L366" s="452"/>
      <c r="M366" s="452"/>
      <c r="N366" s="452"/>
      <c r="O366" s="452"/>
      <c r="P366" s="452"/>
      <c r="Q366" s="452"/>
      <c r="R366" s="452"/>
      <c r="S366" s="452"/>
      <c r="T366" s="452"/>
      <c r="U366" s="452"/>
      <c r="V366" s="452"/>
      <c r="W366" s="452"/>
      <c r="X366" s="452"/>
      <c r="Y366" s="452"/>
    </row>
    <row r="367" spans="1:25" ht="15.6">
      <c r="A367" s="452"/>
      <c r="B367" s="452"/>
      <c r="C367" s="452"/>
      <c r="D367" s="452"/>
      <c r="E367" s="452"/>
      <c r="F367" s="452"/>
      <c r="G367" s="452"/>
      <c r="H367" s="452"/>
      <c r="I367" s="452"/>
      <c r="J367" s="452"/>
      <c r="K367" s="452"/>
      <c r="L367" s="452"/>
      <c r="M367" s="452"/>
      <c r="N367" s="452"/>
      <c r="O367" s="452"/>
      <c r="P367" s="452"/>
      <c r="Q367" s="452"/>
      <c r="R367" s="452"/>
      <c r="S367" s="452"/>
      <c r="T367" s="452"/>
      <c r="U367" s="452"/>
      <c r="V367" s="452"/>
      <c r="W367" s="452"/>
      <c r="X367" s="452"/>
      <c r="Y367" s="452"/>
    </row>
    <row r="368" spans="1:25" ht="15.6">
      <c r="A368" s="452"/>
      <c r="B368" s="452"/>
      <c r="C368" s="452"/>
      <c r="D368" s="452"/>
      <c r="E368" s="452"/>
      <c r="F368" s="452"/>
      <c r="G368" s="452"/>
      <c r="H368" s="452"/>
      <c r="I368" s="452"/>
      <c r="J368" s="452"/>
      <c r="K368" s="452"/>
      <c r="L368" s="452"/>
      <c r="M368" s="452"/>
      <c r="N368" s="452"/>
      <c r="O368" s="452"/>
      <c r="P368" s="452"/>
      <c r="Q368" s="452"/>
      <c r="R368" s="452"/>
      <c r="S368" s="452"/>
      <c r="T368" s="452"/>
      <c r="U368" s="452"/>
      <c r="V368" s="452"/>
      <c r="W368" s="452"/>
      <c r="X368" s="452"/>
      <c r="Y368" s="452"/>
    </row>
    <row r="369" spans="1:25" ht="15.6">
      <c r="A369" s="452"/>
      <c r="B369" s="452"/>
      <c r="C369" s="452"/>
      <c r="D369" s="452"/>
      <c r="E369" s="452"/>
      <c r="F369" s="452"/>
      <c r="G369" s="452"/>
      <c r="H369" s="452"/>
      <c r="I369" s="452"/>
      <c r="J369" s="452"/>
      <c r="K369" s="452"/>
      <c r="L369" s="452"/>
      <c r="M369" s="452"/>
      <c r="N369" s="452"/>
      <c r="O369" s="452"/>
      <c r="P369" s="452"/>
      <c r="Q369" s="452"/>
      <c r="R369" s="452"/>
      <c r="S369" s="452"/>
      <c r="T369" s="452"/>
      <c r="U369" s="452"/>
      <c r="V369" s="452"/>
      <c r="W369" s="452"/>
      <c r="X369" s="452"/>
      <c r="Y369" s="452"/>
    </row>
    <row r="370" spans="1:25" ht="15.6">
      <c r="A370" s="452"/>
      <c r="B370" s="452"/>
      <c r="C370" s="452"/>
      <c r="D370" s="452"/>
      <c r="E370" s="452"/>
      <c r="F370" s="452"/>
      <c r="G370" s="452"/>
      <c r="H370" s="452"/>
      <c r="I370" s="452"/>
      <c r="J370" s="452"/>
      <c r="K370" s="452"/>
      <c r="L370" s="452"/>
      <c r="M370" s="452"/>
      <c r="N370" s="452"/>
      <c r="O370" s="452"/>
      <c r="P370" s="452"/>
      <c r="Q370" s="452"/>
      <c r="R370" s="452"/>
      <c r="S370" s="452"/>
      <c r="T370" s="452"/>
      <c r="U370" s="452"/>
      <c r="V370" s="452"/>
      <c r="W370" s="452"/>
      <c r="X370" s="452"/>
      <c r="Y370" s="452"/>
    </row>
    <row r="371" spans="1:25" ht="15.6">
      <c r="A371" s="452"/>
      <c r="B371" s="452"/>
      <c r="C371" s="452"/>
      <c r="D371" s="452"/>
      <c r="E371" s="452"/>
      <c r="F371" s="452"/>
      <c r="G371" s="452"/>
      <c r="H371" s="452"/>
      <c r="I371" s="452"/>
      <c r="J371" s="452"/>
      <c r="K371" s="452"/>
      <c r="L371" s="452"/>
      <c r="M371" s="452"/>
      <c r="N371" s="452"/>
      <c r="O371" s="452"/>
      <c r="P371" s="452"/>
      <c r="Q371" s="452"/>
      <c r="R371" s="452"/>
      <c r="S371" s="452"/>
      <c r="T371" s="452"/>
      <c r="U371" s="452"/>
      <c r="V371" s="452"/>
      <c r="W371" s="452"/>
      <c r="X371" s="452"/>
      <c r="Y371" s="452"/>
    </row>
    <row r="372" spans="1:25" ht="15.6">
      <c r="A372" s="452"/>
      <c r="B372" s="452"/>
      <c r="C372" s="452"/>
      <c r="D372" s="452"/>
      <c r="E372" s="452"/>
      <c r="F372" s="452"/>
      <c r="G372" s="452"/>
      <c r="H372" s="452"/>
      <c r="I372" s="452"/>
      <c r="J372" s="452"/>
      <c r="K372" s="452"/>
      <c r="L372" s="452"/>
      <c r="M372" s="452"/>
      <c r="N372" s="452"/>
      <c r="O372" s="452"/>
      <c r="P372" s="452"/>
      <c r="Q372" s="452"/>
      <c r="R372" s="452"/>
      <c r="S372" s="452"/>
      <c r="T372" s="452"/>
      <c r="U372" s="452"/>
      <c r="V372" s="452"/>
      <c r="W372" s="452"/>
      <c r="X372" s="452"/>
      <c r="Y372" s="452"/>
    </row>
    <row r="373" spans="1:25" ht="15.6">
      <c r="A373" s="452"/>
      <c r="B373" s="452"/>
      <c r="C373" s="452"/>
      <c r="D373" s="452"/>
      <c r="E373" s="452"/>
      <c r="F373" s="452"/>
      <c r="G373" s="452"/>
      <c r="H373" s="452"/>
      <c r="I373" s="452"/>
      <c r="J373" s="452"/>
      <c r="K373" s="452"/>
      <c r="L373" s="452"/>
      <c r="M373" s="452"/>
      <c r="N373" s="452"/>
      <c r="O373" s="452"/>
      <c r="P373" s="452"/>
      <c r="Q373" s="452"/>
      <c r="R373" s="452"/>
      <c r="S373" s="452"/>
      <c r="T373" s="452"/>
      <c r="U373" s="452"/>
      <c r="V373" s="452"/>
      <c r="W373" s="452"/>
      <c r="X373" s="452"/>
      <c r="Y373" s="452"/>
    </row>
    <row r="374" spans="1:25" ht="15.6">
      <c r="A374" s="452"/>
      <c r="B374" s="452"/>
      <c r="C374" s="452"/>
      <c r="D374" s="452"/>
      <c r="E374" s="452"/>
      <c r="F374" s="452"/>
      <c r="G374" s="452"/>
      <c r="H374" s="452"/>
      <c r="I374" s="452"/>
      <c r="J374" s="452"/>
      <c r="K374" s="452"/>
      <c r="L374" s="452"/>
      <c r="M374" s="452"/>
      <c r="N374" s="452"/>
      <c r="O374" s="452"/>
      <c r="P374" s="452"/>
      <c r="Q374" s="452"/>
      <c r="R374" s="452"/>
      <c r="S374" s="452"/>
      <c r="T374" s="452"/>
      <c r="U374" s="452"/>
      <c r="V374" s="452"/>
      <c r="W374" s="452"/>
      <c r="X374" s="452"/>
      <c r="Y374" s="452"/>
    </row>
    <row r="375" spans="1:25" ht="15.6">
      <c r="A375" s="452"/>
      <c r="B375" s="452"/>
      <c r="C375" s="452"/>
      <c r="D375" s="452"/>
      <c r="E375" s="452"/>
      <c r="F375" s="452"/>
      <c r="G375" s="452"/>
      <c r="H375" s="452"/>
      <c r="I375" s="452"/>
      <c r="J375" s="452"/>
      <c r="K375" s="452"/>
      <c r="L375" s="452"/>
      <c r="M375" s="452"/>
      <c r="N375" s="452"/>
      <c r="O375" s="452"/>
      <c r="P375" s="452"/>
      <c r="Q375" s="452"/>
      <c r="R375" s="452"/>
      <c r="S375" s="452"/>
      <c r="T375" s="452"/>
      <c r="U375" s="452"/>
      <c r="V375" s="452"/>
      <c r="W375" s="452"/>
      <c r="X375" s="452"/>
      <c r="Y375" s="452"/>
    </row>
    <row r="376" spans="1:25" ht="15.6">
      <c r="A376" s="452"/>
      <c r="B376" s="452"/>
      <c r="C376" s="452"/>
      <c r="D376" s="452"/>
      <c r="E376" s="452"/>
      <c r="F376" s="452"/>
      <c r="G376" s="452"/>
      <c r="H376" s="452"/>
      <c r="I376" s="452"/>
      <c r="J376" s="452"/>
      <c r="K376" s="452"/>
      <c r="L376" s="452"/>
      <c r="M376" s="452"/>
      <c r="N376" s="452"/>
      <c r="O376" s="452"/>
      <c r="P376" s="452"/>
      <c r="Q376" s="452"/>
      <c r="R376" s="452"/>
      <c r="S376" s="452"/>
      <c r="T376" s="452"/>
      <c r="U376" s="452"/>
      <c r="V376" s="452"/>
      <c r="W376" s="452"/>
      <c r="X376" s="452"/>
      <c r="Y376" s="452"/>
    </row>
    <row r="377" spans="1:25" ht="15.6">
      <c r="A377" s="452"/>
      <c r="B377" s="452"/>
      <c r="C377" s="452"/>
      <c r="D377" s="452"/>
      <c r="E377" s="452"/>
      <c r="F377" s="452"/>
      <c r="G377" s="452"/>
      <c r="H377" s="452"/>
      <c r="I377" s="452"/>
      <c r="J377" s="452"/>
      <c r="K377" s="452"/>
      <c r="L377" s="452"/>
      <c r="M377" s="452"/>
      <c r="N377" s="452"/>
      <c r="O377" s="452"/>
      <c r="P377" s="452"/>
      <c r="Q377" s="452"/>
      <c r="R377" s="452"/>
      <c r="S377" s="452"/>
      <c r="T377" s="452"/>
      <c r="U377" s="452"/>
      <c r="V377" s="452"/>
      <c r="W377" s="452"/>
      <c r="X377" s="452"/>
      <c r="Y377" s="452"/>
    </row>
    <row r="378" spans="1:25" ht="15.6">
      <c r="A378" s="452"/>
      <c r="B378" s="452"/>
      <c r="C378" s="452"/>
      <c r="D378" s="452"/>
      <c r="E378" s="452"/>
      <c r="F378" s="452"/>
      <c r="G378" s="452"/>
      <c r="H378" s="452"/>
      <c r="I378" s="452"/>
      <c r="J378" s="452"/>
      <c r="K378" s="452"/>
      <c r="L378" s="452"/>
      <c r="M378" s="452"/>
      <c r="N378" s="452"/>
      <c r="O378" s="452"/>
      <c r="P378" s="452"/>
      <c r="Q378" s="452"/>
      <c r="R378" s="452"/>
      <c r="S378" s="452"/>
      <c r="T378" s="452"/>
      <c r="U378" s="452"/>
      <c r="V378" s="452"/>
      <c r="W378" s="452"/>
      <c r="X378" s="452"/>
      <c r="Y378" s="452"/>
    </row>
    <row r="379" spans="1:25" ht="15.6">
      <c r="A379" s="452"/>
      <c r="B379" s="452"/>
      <c r="C379" s="452"/>
      <c r="D379" s="452"/>
      <c r="E379" s="452"/>
      <c r="F379" s="452"/>
      <c r="G379" s="452"/>
      <c r="H379" s="452"/>
      <c r="I379" s="452"/>
      <c r="J379" s="452"/>
      <c r="K379" s="452"/>
      <c r="L379" s="452"/>
      <c r="M379" s="452"/>
      <c r="N379" s="452"/>
      <c r="O379" s="452"/>
      <c r="P379" s="452"/>
      <c r="Q379" s="452"/>
      <c r="R379" s="452"/>
      <c r="S379" s="452"/>
      <c r="T379" s="452"/>
      <c r="U379" s="452"/>
      <c r="V379" s="452"/>
      <c r="W379" s="452"/>
      <c r="X379" s="452"/>
      <c r="Y379" s="452"/>
    </row>
    <row r="380" spans="1:25" ht="15.6">
      <c r="A380" s="452"/>
      <c r="B380" s="452"/>
      <c r="C380" s="452"/>
      <c r="D380" s="452"/>
      <c r="E380" s="452"/>
      <c r="F380" s="452"/>
      <c r="G380" s="452"/>
      <c r="H380" s="452"/>
      <c r="I380" s="452"/>
      <c r="J380" s="452"/>
      <c r="K380" s="452"/>
      <c r="L380" s="452"/>
      <c r="M380" s="452"/>
      <c r="N380" s="452"/>
      <c r="O380" s="452"/>
      <c r="P380" s="452"/>
      <c r="Q380" s="452"/>
      <c r="R380" s="452"/>
      <c r="S380" s="452"/>
      <c r="T380" s="452"/>
      <c r="U380" s="452"/>
      <c r="V380" s="452"/>
      <c r="W380" s="452"/>
      <c r="X380" s="452"/>
      <c r="Y380" s="452"/>
    </row>
    <row r="381" spans="1:25" ht="15.6">
      <c r="A381" s="452"/>
      <c r="B381" s="452"/>
      <c r="C381" s="452"/>
      <c r="D381" s="452"/>
      <c r="E381" s="452"/>
      <c r="F381" s="452"/>
      <c r="G381" s="452"/>
      <c r="H381" s="452"/>
      <c r="I381" s="452"/>
      <c r="J381" s="452"/>
      <c r="K381" s="452"/>
      <c r="L381" s="452"/>
      <c r="M381" s="452"/>
      <c r="N381" s="452"/>
      <c r="O381" s="452"/>
      <c r="P381" s="452"/>
      <c r="Q381" s="452"/>
      <c r="R381" s="452"/>
      <c r="S381" s="452"/>
      <c r="T381" s="452"/>
      <c r="U381" s="452"/>
      <c r="V381" s="452"/>
      <c r="W381" s="452"/>
      <c r="X381" s="452"/>
      <c r="Y381" s="452"/>
    </row>
    <row r="382" spans="1:25" ht="15.6">
      <c r="A382" s="452"/>
      <c r="B382" s="452"/>
      <c r="C382" s="452"/>
      <c r="D382" s="452"/>
      <c r="E382" s="452"/>
      <c r="F382" s="452"/>
      <c r="G382" s="452"/>
      <c r="H382" s="452"/>
      <c r="I382" s="452"/>
      <c r="J382" s="452"/>
      <c r="K382" s="452"/>
      <c r="L382" s="452"/>
      <c r="M382" s="452"/>
      <c r="N382" s="452"/>
      <c r="O382" s="452"/>
      <c r="P382" s="452"/>
      <c r="Q382" s="452"/>
      <c r="R382" s="452"/>
      <c r="S382" s="452"/>
      <c r="T382" s="452"/>
      <c r="U382" s="452"/>
      <c r="V382" s="452"/>
      <c r="W382" s="452"/>
      <c r="X382" s="452"/>
      <c r="Y382" s="452"/>
    </row>
    <row r="383" spans="1:25" ht="15.6">
      <c r="A383" s="452"/>
      <c r="B383" s="452"/>
      <c r="C383" s="452"/>
      <c r="D383" s="452"/>
      <c r="E383" s="452"/>
      <c r="F383" s="452"/>
      <c r="G383" s="452"/>
      <c r="H383" s="452"/>
      <c r="I383" s="452"/>
      <c r="J383" s="452"/>
      <c r="K383" s="452"/>
      <c r="L383" s="452"/>
      <c r="M383" s="452"/>
      <c r="N383" s="452"/>
      <c r="O383" s="452"/>
      <c r="P383" s="452"/>
      <c r="Q383" s="452"/>
      <c r="R383" s="452"/>
      <c r="S383" s="452"/>
      <c r="T383" s="452"/>
      <c r="U383" s="452"/>
      <c r="V383" s="452"/>
      <c r="W383" s="452"/>
      <c r="X383" s="452"/>
      <c r="Y383" s="452"/>
    </row>
    <row r="384" spans="1:25" ht="15.6">
      <c r="A384" s="452"/>
      <c r="B384" s="452"/>
      <c r="C384" s="452"/>
      <c r="D384" s="452"/>
      <c r="E384" s="452"/>
      <c r="F384" s="452"/>
      <c r="G384" s="452"/>
      <c r="H384" s="452"/>
      <c r="I384" s="452"/>
      <c r="J384" s="452"/>
      <c r="K384" s="452"/>
      <c r="L384" s="452"/>
      <c r="M384" s="452"/>
      <c r="N384" s="452"/>
      <c r="O384" s="452"/>
      <c r="P384" s="452"/>
      <c r="Q384" s="452"/>
      <c r="R384" s="452"/>
      <c r="S384" s="452"/>
      <c r="T384" s="452"/>
      <c r="U384" s="452"/>
      <c r="V384" s="452"/>
      <c r="W384" s="452"/>
      <c r="X384" s="452"/>
      <c r="Y384" s="452"/>
    </row>
    <row r="385" spans="1:25" ht="15.6">
      <c r="A385" s="452"/>
      <c r="B385" s="452"/>
      <c r="C385" s="452"/>
      <c r="D385" s="452"/>
      <c r="E385" s="452"/>
      <c r="F385" s="452"/>
      <c r="G385" s="452"/>
      <c r="H385" s="452"/>
      <c r="I385" s="452"/>
      <c r="J385" s="452"/>
      <c r="K385" s="452"/>
      <c r="L385" s="452"/>
      <c r="M385" s="452"/>
      <c r="N385" s="452"/>
      <c r="O385" s="452"/>
      <c r="P385" s="452"/>
      <c r="Q385" s="452"/>
      <c r="R385" s="452"/>
      <c r="S385" s="452"/>
      <c r="T385" s="452"/>
      <c r="U385" s="452"/>
      <c r="V385" s="452"/>
      <c r="W385" s="452"/>
      <c r="X385" s="452"/>
      <c r="Y385" s="452"/>
    </row>
    <row r="386" spans="1:25" ht="15.6">
      <c r="A386" s="452"/>
      <c r="B386" s="452"/>
      <c r="C386" s="452"/>
      <c r="D386" s="452"/>
      <c r="E386" s="452"/>
      <c r="F386" s="452"/>
      <c r="G386" s="452"/>
      <c r="H386" s="452"/>
      <c r="I386" s="452"/>
      <c r="J386" s="452"/>
      <c r="K386" s="452"/>
      <c r="L386" s="452"/>
      <c r="M386" s="452"/>
      <c r="N386" s="452"/>
      <c r="O386" s="452"/>
      <c r="P386" s="452"/>
      <c r="Q386" s="452"/>
      <c r="R386" s="452"/>
      <c r="S386" s="452"/>
      <c r="T386" s="452"/>
      <c r="U386" s="452"/>
      <c r="V386" s="452"/>
      <c r="W386" s="452"/>
      <c r="X386" s="452"/>
      <c r="Y386" s="452"/>
    </row>
    <row r="387" spans="1:25" ht="15.6">
      <c r="A387" s="452"/>
      <c r="B387" s="452"/>
      <c r="C387" s="452"/>
      <c r="D387" s="452"/>
      <c r="E387" s="452"/>
      <c r="F387" s="452"/>
      <c r="G387" s="452"/>
      <c r="H387" s="452"/>
      <c r="I387" s="452"/>
      <c r="J387" s="452"/>
      <c r="K387" s="452"/>
      <c r="L387" s="452"/>
      <c r="M387" s="452"/>
      <c r="N387" s="452"/>
      <c r="O387" s="452"/>
      <c r="P387" s="452"/>
      <c r="Q387" s="452"/>
      <c r="R387" s="452"/>
      <c r="S387" s="452"/>
      <c r="T387" s="452"/>
      <c r="U387" s="452"/>
      <c r="V387" s="452"/>
      <c r="W387" s="452"/>
      <c r="X387" s="452"/>
      <c r="Y387" s="452"/>
    </row>
    <row r="388" spans="1:25" ht="15.6">
      <c r="A388" s="452"/>
      <c r="B388" s="452"/>
      <c r="C388" s="452"/>
      <c r="D388" s="452"/>
      <c r="E388" s="452"/>
      <c r="F388" s="452"/>
      <c r="G388" s="452"/>
      <c r="H388" s="452"/>
      <c r="I388" s="452"/>
      <c r="J388" s="452"/>
      <c r="K388" s="452"/>
      <c r="L388" s="452"/>
      <c r="M388" s="452"/>
      <c r="N388" s="452"/>
      <c r="O388" s="452"/>
      <c r="P388" s="452"/>
      <c r="Q388" s="452"/>
      <c r="R388" s="452"/>
      <c r="S388" s="452"/>
      <c r="T388" s="452"/>
      <c r="U388" s="452"/>
      <c r="V388" s="452"/>
      <c r="W388" s="452"/>
      <c r="X388" s="452"/>
      <c r="Y388" s="452"/>
    </row>
    <row r="389" spans="1:25" ht="15.6">
      <c r="A389" s="452"/>
      <c r="B389" s="452"/>
      <c r="C389" s="452"/>
      <c r="D389" s="452"/>
      <c r="E389" s="452"/>
      <c r="F389" s="452"/>
      <c r="G389" s="452"/>
      <c r="H389" s="452"/>
      <c r="I389" s="452"/>
      <c r="J389" s="452"/>
      <c r="K389" s="452"/>
      <c r="L389" s="452"/>
      <c r="M389" s="452"/>
      <c r="N389" s="452"/>
      <c r="O389" s="452"/>
      <c r="P389" s="452"/>
      <c r="Q389" s="452"/>
      <c r="R389" s="452"/>
      <c r="S389" s="452"/>
      <c r="T389" s="452"/>
      <c r="U389" s="452"/>
      <c r="V389" s="452"/>
      <c r="W389" s="452"/>
      <c r="X389" s="452"/>
      <c r="Y389" s="452"/>
    </row>
    <row r="390" spans="1:25" ht="15.6">
      <c r="A390" s="452"/>
      <c r="B390" s="452"/>
      <c r="C390" s="452"/>
      <c r="D390" s="452"/>
      <c r="E390" s="452"/>
      <c r="F390" s="452"/>
      <c r="G390" s="452"/>
      <c r="H390" s="452"/>
      <c r="I390" s="452"/>
      <c r="J390" s="452"/>
      <c r="K390" s="452"/>
      <c r="L390" s="452"/>
      <c r="M390" s="452"/>
      <c r="N390" s="452"/>
      <c r="O390" s="452"/>
      <c r="P390" s="452"/>
      <c r="Q390" s="452"/>
      <c r="R390" s="452"/>
      <c r="S390" s="452"/>
      <c r="T390" s="452"/>
      <c r="U390" s="452"/>
      <c r="V390" s="452"/>
      <c r="W390" s="452"/>
      <c r="X390" s="452"/>
      <c r="Y390" s="452"/>
    </row>
    <row r="391" spans="1:25" ht="15.6">
      <c r="A391" s="452"/>
      <c r="B391" s="452"/>
      <c r="C391" s="452"/>
      <c r="D391" s="452"/>
      <c r="E391" s="452"/>
      <c r="F391" s="452"/>
      <c r="G391" s="452"/>
      <c r="H391" s="452"/>
      <c r="I391" s="452"/>
      <c r="J391" s="452"/>
      <c r="K391" s="452"/>
      <c r="L391" s="452"/>
      <c r="M391" s="452"/>
      <c r="N391" s="452"/>
      <c r="O391" s="452"/>
      <c r="P391" s="452"/>
      <c r="Q391" s="452"/>
      <c r="R391" s="452"/>
      <c r="S391" s="452"/>
      <c r="T391" s="452"/>
      <c r="U391" s="452"/>
      <c r="V391" s="452"/>
      <c r="W391" s="452"/>
      <c r="X391" s="452"/>
      <c r="Y391" s="452"/>
    </row>
    <row r="392" spans="1:25" ht="15.6">
      <c r="A392" s="452"/>
      <c r="B392" s="452"/>
      <c r="C392" s="452"/>
      <c r="D392" s="452"/>
      <c r="E392" s="452"/>
      <c r="F392" s="452"/>
      <c r="G392" s="452"/>
      <c r="H392" s="452"/>
      <c r="I392" s="452"/>
      <c r="J392" s="452"/>
      <c r="K392" s="452"/>
      <c r="L392" s="452"/>
      <c r="M392" s="452"/>
      <c r="N392" s="452"/>
      <c r="O392" s="452"/>
      <c r="P392" s="452"/>
      <c r="Q392" s="452"/>
      <c r="R392" s="452"/>
      <c r="S392" s="452"/>
      <c r="T392" s="452"/>
      <c r="U392" s="452"/>
      <c r="V392" s="452"/>
      <c r="W392" s="452"/>
      <c r="X392" s="452"/>
      <c r="Y392" s="452"/>
    </row>
    <row r="393" spans="1:25" ht="15.6">
      <c r="A393" s="452"/>
      <c r="B393" s="452"/>
      <c r="C393" s="452"/>
      <c r="D393" s="452"/>
      <c r="E393" s="452"/>
      <c r="F393" s="452"/>
      <c r="G393" s="452"/>
      <c r="H393" s="452"/>
      <c r="I393" s="452"/>
      <c r="J393" s="452"/>
      <c r="K393" s="452"/>
      <c r="L393" s="452"/>
      <c r="M393" s="452"/>
      <c r="N393" s="452"/>
      <c r="O393" s="452"/>
      <c r="P393" s="452"/>
      <c r="Q393" s="452"/>
      <c r="R393" s="452"/>
      <c r="S393" s="452"/>
      <c r="T393" s="452"/>
      <c r="U393" s="452"/>
      <c r="V393" s="452"/>
      <c r="W393" s="452"/>
      <c r="X393" s="452"/>
      <c r="Y393" s="452"/>
    </row>
    <row r="394" spans="1:25" ht="15.6">
      <c r="A394" s="452"/>
      <c r="B394" s="452"/>
      <c r="C394" s="452"/>
      <c r="D394" s="452"/>
      <c r="E394" s="452"/>
      <c r="F394" s="452"/>
      <c r="G394" s="452"/>
      <c r="H394" s="452"/>
      <c r="I394" s="452"/>
      <c r="J394" s="452"/>
      <c r="K394" s="452"/>
      <c r="L394" s="452"/>
      <c r="M394" s="452"/>
      <c r="N394" s="452"/>
      <c r="O394" s="452"/>
      <c r="P394" s="452"/>
      <c r="Q394" s="452"/>
      <c r="R394" s="452"/>
      <c r="S394" s="452"/>
      <c r="T394" s="452"/>
      <c r="U394" s="452"/>
      <c r="V394" s="452"/>
      <c r="W394" s="452"/>
      <c r="X394" s="452"/>
      <c r="Y394" s="452"/>
    </row>
    <row r="395" spans="1:25" ht="15.6">
      <c r="A395" s="452"/>
      <c r="B395" s="452"/>
      <c r="C395" s="452"/>
      <c r="D395" s="452"/>
      <c r="E395" s="452"/>
      <c r="F395" s="452"/>
      <c r="G395" s="452"/>
      <c r="H395" s="452"/>
      <c r="I395" s="452"/>
      <c r="J395" s="452"/>
      <c r="K395" s="452"/>
      <c r="L395" s="452"/>
      <c r="M395" s="452"/>
      <c r="N395" s="452"/>
      <c r="O395" s="452"/>
      <c r="P395" s="452"/>
      <c r="Q395" s="452"/>
      <c r="R395" s="452"/>
      <c r="S395" s="452"/>
      <c r="T395" s="452"/>
      <c r="U395" s="452"/>
      <c r="V395" s="452"/>
      <c r="W395" s="452"/>
      <c r="X395" s="452"/>
      <c r="Y395" s="452"/>
    </row>
    <row r="396" spans="1:25" ht="15.6">
      <c r="A396" s="452"/>
      <c r="B396" s="452"/>
      <c r="C396" s="452"/>
      <c r="D396" s="452"/>
      <c r="E396" s="452"/>
      <c r="F396" s="452"/>
      <c r="G396" s="452"/>
      <c r="H396" s="452"/>
      <c r="I396" s="452"/>
      <c r="J396" s="452"/>
      <c r="K396" s="452"/>
      <c r="L396" s="452"/>
      <c r="M396" s="452"/>
      <c r="N396" s="452"/>
      <c r="O396" s="452"/>
      <c r="P396" s="452"/>
      <c r="Q396" s="452"/>
      <c r="R396" s="452"/>
      <c r="S396" s="452"/>
      <c r="T396" s="452"/>
      <c r="U396" s="452"/>
      <c r="V396" s="452"/>
      <c r="W396" s="452"/>
      <c r="X396" s="452"/>
      <c r="Y396" s="452"/>
    </row>
    <row r="397" spans="1:25" ht="15.6">
      <c r="A397" s="452"/>
      <c r="B397" s="452"/>
      <c r="C397" s="452"/>
      <c r="D397" s="452"/>
      <c r="E397" s="452"/>
      <c r="F397" s="452"/>
      <c r="G397" s="452"/>
      <c r="H397" s="452"/>
      <c r="I397" s="452"/>
      <c r="J397" s="452"/>
      <c r="K397" s="452"/>
      <c r="L397" s="452"/>
      <c r="M397" s="452"/>
      <c r="N397" s="452"/>
      <c r="O397" s="452"/>
      <c r="P397" s="452"/>
      <c r="Q397" s="452"/>
      <c r="R397" s="452"/>
      <c r="S397" s="452"/>
      <c r="T397" s="452"/>
      <c r="U397" s="452"/>
      <c r="V397" s="452"/>
      <c r="W397" s="452"/>
      <c r="X397" s="452"/>
      <c r="Y397" s="452"/>
    </row>
    <row r="398" spans="1:25" ht="15.6">
      <c r="A398" s="452"/>
      <c r="B398" s="452"/>
      <c r="C398" s="452"/>
      <c r="D398" s="452"/>
      <c r="E398" s="452"/>
      <c r="F398" s="452"/>
      <c r="G398" s="452"/>
      <c r="H398" s="452"/>
      <c r="I398" s="452"/>
      <c r="J398" s="452"/>
      <c r="K398" s="452"/>
      <c r="L398" s="452"/>
      <c r="M398" s="452"/>
      <c r="N398" s="452"/>
      <c r="O398" s="452"/>
      <c r="P398" s="452"/>
      <c r="Q398" s="452"/>
      <c r="R398" s="452"/>
      <c r="S398" s="452"/>
      <c r="T398" s="452"/>
      <c r="U398" s="452"/>
      <c r="V398" s="452"/>
      <c r="W398" s="452"/>
      <c r="X398" s="452"/>
      <c r="Y398" s="452"/>
    </row>
    <row r="399" spans="1:25" ht="15.6">
      <c r="A399" s="452"/>
      <c r="B399" s="452"/>
      <c r="C399" s="452"/>
      <c r="D399" s="452"/>
      <c r="E399" s="452"/>
      <c r="F399" s="452"/>
      <c r="G399" s="452"/>
      <c r="H399" s="452"/>
      <c r="I399" s="452"/>
      <c r="J399" s="452"/>
      <c r="K399" s="452"/>
      <c r="L399" s="452"/>
      <c r="M399" s="452"/>
      <c r="N399" s="452"/>
      <c r="O399" s="452"/>
      <c r="P399" s="452"/>
      <c r="Q399" s="452"/>
      <c r="R399" s="452"/>
      <c r="S399" s="452"/>
      <c r="T399" s="452"/>
      <c r="U399" s="452"/>
      <c r="V399" s="452"/>
      <c r="W399" s="452"/>
      <c r="X399" s="452"/>
      <c r="Y399" s="452"/>
    </row>
    <row r="400" spans="1:25" ht="15.6">
      <c r="A400" s="452"/>
      <c r="B400" s="452"/>
      <c r="C400" s="452"/>
      <c r="D400" s="452"/>
      <c r="E400" s="452"/>
      <c r="F400" s="452"/>
      <c r="G400" s="452"/>
      <c r="H400" s="452"/>
      <c r="I400" s="452"/>
      <c r="J400" s="452"/>
      <c r="K400" s="452"/>
      <c r="L400" s="452"/>
      <c r="M400" s="452"/>
      <c r="N400" s="452"/>
      <c r="O400" s="452"/>
      <c r="P400" s="452"/>
      <c r="Q400" s="452"/>
      <c r="R400" s="452"/>
      <c r="S400" s="452"/>
      <c r="T400" s="452"/>
      <c r="U400" s="452"/>
      <c r="V400" s="452"/>
      <c r="W400" s="452"/>
      <c r="X400" s="452"/>
      <c r="Y400" s="452"/>
    </row>
    <row r="401" spans="1:25" ht="15.6">
      <c r="A401" s="452"/>
      <c r="B401" s="452"/>
      <c r="C401" s="452"/>
      <c r="D401" s="452"/>
      <c r="E401" s="452"/>
      <c r="F401" s="452"/>
      <c r="G401" s="452"/>
      <c r="H401" s="452"/>
      <c r="I401" s="452"/>
      <c r="J401" s="452"/>
      <c r="K401" s="452"/>
      <c r="L401" s="452"/>
      <c r="M401" s="452"/>
      <c r="N401" s="452"/>
      <c r="O401" s="452"/>
      <c r="P401" s="452"/>
      <c r="Q401" s="452"/>
      <c r="R401" s="452"/>
      <c r="S401" s="452"/>
      <c r="T401" s="452"/>
      <c r="U401" s="452"/>
      <c r="V401" s="452"/>
      <c r="W401" s="452"/>
      <c r="X401" s="452"/>
      <c r="Y401" s="452"/>
    </row>
    <row r="402" spans="1:25" ht="15.6">
      <c r="A402" s="452"/>
      <c r="B402" s="452"/>
      <c r="C402" s="452"/>
      <c r="D402" s="452"/>
      <c r="E402" s="452"/>
      <c r="F402" s="452"/>
      <c r="G402" s="452"/>
      <c r="H402" s="452"/>
      <c r="I402" s="452"/>
      <c r="J402" s="452"/>
      <c r="K402" s="452"/>
      <c r="L402" s="452"/>
      <c r="M402" s="452"/>
      <c r="N402" s="452"/>
      <c r="O402" s="452"/>
      <c r="P402" s="452"/>
      <c r="Q402" s="452"/>
      <c r="R402" s="452"/>
      <c r="S402" s="452"/>
      <c r="T402" s="452"/>
      <c r="U402" s="452"/>
      <c r="V402" s="452"/>
      <c r="W402" s="452"/>
      <c r="X402" s="452"/>
      <c r="Y402" s="452"/>
    </row>
    <row r="403" spans="1:25" ht="15.6">
      <c r="A403" s="452"/>
      <c r="B403" s="452"/>
      <c r="C403" s="452"/>
      <c r="D403" s="452"/>
      <c r="E403" s="452"/>
      <c r="F403" s="452"/>
      <c r="G403" s="452"/>
      <c r="H403" s="452"/>
      <c r="I403" s="452"/>
      <c r="J403" s="452"/>
      <c r="K403" s="452"/>
      <c r="L403" s="452"/>
      <c r="M403" s="452"/>
      <c r="N403" s="452"/>
      <c r="O403" s="452"/>
      <c r="P403" s="452"/>
      <c r="Q403" s="452"/>
      <c r="R403" s="452"/>
      <c r="S403" s="452"/>
      <c r="T403" s="452"/>
      <c r="U403" s="452"/>
      <c r="V403" s="452"/>
      <c r="W403" s="452"/>
      <c r="X403" s="452"/>
      <c r="Y403" s="452"/>
    </row>
    <row r="404" spans="1:25" ht="15.6">
      <c r="A404" s="452"/>
      <c r="B404" s="452"/>
      <c r="C404" s="452"/>
      <c r="D404" s="452"/>
      <c r="E404" s="452"/>
      <c r="F404" s="452"/>
      <c r="G404" s="452"/>
      <c r="H404" s="452"/>
      <c r="I404" s="452"/>
      <c r="J404" s="452"/>
      <c r="K404" s="452"/>
      <c r="L404" s="452"/>
      <c r="M404" s="452"/>
      <c r="N404" s="452"/>
      <c r="O404" s="452"/>
      <c r="P404" s="452"/>
      <c r="Q404" s="452"/>
      <c r="R404" s="452"/>
      <c r="S404" s="452"/>
      <c r="T404" s="452"/>
      <c r="U404" s="452"/>
      <c r="V404" s="452"/>
      <c r="W404" s="452"/>
      <c r="X404" s="452"/>
      <c r="Y404" s="452"/>
    </row>
    <row r="405" spans="1:25" ht="15.6">
      <c r="A405" s="452"/>
      <c r="B405" s="452"/>
      <c r="C405" s="452"/>
      <c r="D405" s="452"/>
      <c r="E405" s="452"/>
      <c r="F405" s="452"/>
      <c r="G405" s="452"/>
      <c r="H405" s="452"/>
      <c r="I405" s="452"/>
      <c r="J405" s="452"/>
      <c r="K405" s="452"/>
      <c r="L405" s="452"/>
      <c r="M405" s="452"/>
      <c r="N405" s="452"/>
      <c r="O405" s="452"/>
      <c r="P405" s="452"/>
      <c r="Q405" s="452"/>
      <c r="R405" s="452"/>
      <c r="S405" s="452"/>
      <c r="T405" s="452"/>
      <c r="U405" s="452"/>
      <c r="V405" s="452"/>
      <c r="W405" s="452"/>
      <c r="X405" s="452"/>
      <c r="Y405" s="452"/>
    </row>
    <row r="406" spans="1:25" ht="15.6">
      <c r="A406" s="452"/>
      <c r="B406" s="452"/>
      <c r="C406" s="452"/>
      <c r="D406" s="452"/>
      <c r="E406" s="452"/>
      <c r="F406" s="452"/>
      <c r="G406" s="452"/>
      <c r="H406" s="452"/>
      <c r="I406" s="452"/>
      <c r="J406" s="452"/>
      <c r="K406" s="452"/>
      <c r="L406" s="452"/>
      <c r="M406" s="452"/>
      <c r="N406" s="452"/>
      <c r="O406" s="452"/>
      <c r="P406" s="452"/>
      <c r="Q406" s="452"/>
      <c r="R406" s="452"/>
      <c r="S406" s="452"/>
      <c r="T406" s="452"/>
      <c r="U406" s="452"/>
      <c r="V406" s="452"/>
      <c r="W406" s="452"/>
      <c r="X406" s="452"/>
      <c r="Y406" s="452"/>
    </row>
    <row r="407" spans="1:25" ht="15.6">
      <c r="A407" s="452"/>
      <c r="B407" s="452"/>
      <c r="C407" s="452"/>
      <c r="D407" s="452"/>
      <c r="E407" s="452"/>
      <c r="F407" s="452"/>
      <c r="G407" s="452"/>
      <c r="H407" s="452"/>
      <c r="I407" s="452"/>
      <c r="J407" s="452"/>
      <c r="K407" s="452"/>
      <c r="L407" s="452"/>
      <c r="M407" s="452"/>
      <c r="N407" s="452"/>
      <c r="O407" s="452"/>
      <c r="P407" s="452"/>
      <c r="Q407" s="452"/>
      <c r="R407" s="452"/>
      <c r="S407" s="452"/>
      <c r="T407" s="452"/>
      <c r="U407" s="452"/>
      <c r="V407" s="452"/>
      <c r="W407" s="452"/>
      <c r="X407" s="452"/>
      <c r="Y407" s="452"/>
    </row>
    <row r="408" spans="1:25" ht="15.6">
      <c r="A408" s="452"/>
      <c r="B408" s="452"/>
      <c r="C408" s="452"/>
      <c r="D408" s="452"/>
      <c r="E408" s="452"/>
      <c r="F408" s="452"/>
      <c r="G408" s="452"/>
      <c r="H408" s="452"/>
      <c r="I408" s="452"/>
      <c r="J408" s="452"/>
      <c r="K408" s="452"/>
      <c r="L408" s="452"/>
      <c r="M408" s="452"/>
      <c r="N408" s="452"/>
      <c r="O408" s="452"/>
      <c r="P408" s="452"/>
      <c r="Q408" s="452"/>
      <c r="R408" s="452"/>
      <c r="S408" s="452"/>
      <c r="T408" s="452"/>
      <c r="U408" s="452"/>
      <c r="V408" s="452"/>
      <c r="W408" s="452"/>
      <c r="X408" s="452"/>
      <c r="Y408" s="452"/>
    </row>
    <row r="409" spans="1:25" ht="15.6">
      <c r="A409" s="452"/>
      <c r="B409" s="452"/>
      <c r="C409" s="452"/>
      <c r="D409" s="452"/>
      <c r="E409" s="452"/>
      <c r="F409" s="452"/>
      <c r="G409" s="452"/>
      <c r="H409" s="452"/>
      <c r="I409" s="452"/>
      <c r="J409" s="452"/>
      <c r="K409" s="452"/>
      <c r="L409" s="452"/>
      <c r="M409" s="452"/>
      <c r="N409" s="452"/>
      <c r="O409" s="452"/>
      <c r="P409" s="452"/>
      <c r="Q409" s="452"/>
      <c r="R409" s="452"/>
      <c r="S409" s="452"/>
      <c r="T409" s="452"/>
      <c r="U409" s="452"/>
      <c r="V409" s="452"/>
      <c r="W409" s="452"/>
      <c r="X409" s="452"/>
      <c r="Y409" s="452"/>
    </row>
    <row r="410" spans="1:25" ht="15.6">
      <c r="A410" s="452"/>
      <c r="B410" s="452"/>
      <c r="C410" s="452"/>
      <c r="D410" s="452"/>
      <c r="E410" s="452"/>
      <c r="F410" s="452"/>
      <c r="G410" s="452"/>
      <c r="H410" s="452"/>
      <c r="I410" s="452"/>
      <c r="J410" s="452"/>
      <c r="K410" s="452"/>
      <c r="L410" s="452"/>
      <c r="M410" s="452"/>
      <c r="N410" s="452"/>
      <c r="O410" s="452"/>
      <c r="P410" s="452"/>
      <c r="Q410" s="452"/>
      <c r="R410" s="452"/>
      <c r="S410" s="452"/>
      <c r="T410" s="452"/>
      <c r="U410" s="452"/>
      <c r="V410" s="452"/>
      <c r="W410" s="452"/>
      <c r="X410" s="452"/>
      <c r="Y410" s="452"/>
    </row>
    <row r="411" spans="1:25" ht="15.6">
      <c r="A411" s="452"/>
      <c r="B411" s="452"/>
      <c r="C411" s="452"/>
      <c r="D411" s="452"/>
      <c r="E411" s="452"/>
      <c r="F411" s="452"/>
      <c r="G411" s="452"/>
      <c r="H411" s="452"/>
      <c r="I411" s="452"/>
      <c r="J411" s="452"/>
      <c r="K411" s="452"/>
      <c r="L411" s="452"/>
      <c r="M411" s="452"/>
      <c r="N411" s="452"/>
      <c r="O411" s="452"/>
      <c r="P411" s="452"/>
      <c r="Q411" s="452"/>
      <c r="R411" s="452"/>
      <c r="S411" s="452"/>
      <c r="T411" s="452"/>
      <c r="U411" s="452"/>
      <c r="V411" s="452"/>
      <c r="W411" s="452"/>
      <c r="X411" s="452"/>
      <c r="Y411" s="452"/>
    </row>
    <row r="412" spans="1:25" ht="15.6">
      <c r="A412" s="452"/>
      <c r="B412" s="452"/>
      <c r="C412" s="452"/>
      <c r="D412" s="452"/>
      <c r="E412" s="452"/>
      <c r="F412" s="452"/>
      <c r="G412" s="452"/>
      <c r="H412" s="452"/>
      <c r="I412" s="452"/>
      <c r="J412" s="452"/>
      <c r="K412" s="452"/>
      <c r="L412" s="452"/>
      <c r="M412" s="452"/>
      <c r="N412" s="452"/>
      <c r="O412" s="452"/>
      <c r="P412" s="452"/>
      <c r="Q412" s="452"/>
      <c r="R412" s="452"/>
      <c r="S412" s="452"/>
      <c r="T412" s="452"/>
      <c r="U412" s="452"/>
      <c r="V412" s="452"/>
      <c r="W412" s="452"/>
      <c r="X412" s="452"/>
      <c r="Y412" s="452"/>
    </row>
    <row r="413" spans="1:25" ht="15.6">
      <c r="A413" s="452"/>
      <c r="B413" s="452"/>
      <c r="C413" s="452"/>
      <c r="D413" s="452"/>
      <c r="E413" s="452"/>
      <c r="F413" s="452"/>
      <c r="G413" s="452"/>
      <c r="H413" s="452"/>
      <c r="I413" s="452"/>
      <c r="J413" s="452"/>
      <c r="K413" s="452"/>
      <c r="L413" s="452"/>
      <c r="M413" s="452"/>
      <c r="N413" s="452"/>
      <c r="O413" s="452"/>
      <c r="P413" s="452"/>
      <c r="Q413" s="452"/>
      <c r="R413" s="452"/>
      <c r="S413" s="452"/>
      <c r="T413" s="452"/>
      <c r="U413" s="452"/>
      <c r="V413" s="452"/>
      <c r="W413" s="452"/>
      <c r="X413" s="452"/>
      <c r="Y413" s="452"/>
    </row>
    <row r="414" spans="1:25" ht="15.6">
      <c r="A414" s="452"/>
      <c r="B414" s="452"/>
      <c r="C414" s="452"/>
      <c r="D414" s="452"/>
      <c r="E414" s="452"/>
      <c r="F414" s="452"/>
      <c r="G414" s="452"/>
      <c r="H414" s="452"/>
      <c r="I414" s="452"/>
      <c r="J414" s="452"/>
      <c r="K414" s="452"/>
      <c r="L414" s="452"/>
      <c r="M414" s="452"/>
      <c r="N414" s="452"/>
      <c r="O414" s="452"/>
      <c r="P414" s="452"/>
      <c r="Q414" s="452"/>
      <c r="R414" s="452"/>
      <c r="S414" s="452"/>
      <c r="T414" s="452"/>
      <c r="U414" s="452"/>
      <c r="V414" s="452"/>
      <c r="W414" s="452"/>
      <c r="X414" s="452"/>
      <c r="Y414" s="452"/>
    </row>
    <row r="415" spans="1:25" ht="15.6">
      <c r="A415" s="452"/>
      <c r="B415" s="452"/>
      <c r="C415" s="452"/>
      <c r="D415" s="452"/>
      <c r="E415" s="452"/>
      <c r="F415" s="452"/>
      <c r="G415" s="452"/>
      <c r="H415" s="452"/>
      <c r="I415" s="452"/>
      <c r="J415" s="452"/>
      <c r="K415" s="452"/>
      <c r="L415" s="452"/>
      <c r="M415" s="452"/>
      <c r="N415" s="452"/>
      <c r="O415" s="452"/>
      <c r="P415" s="452"/>
      <c r="Q415" s="452"/>
      <c r="R415" s="452"/>
      <c r="S415" s="452"/>
      <c r="T415" s="452"/>
      <c r="U415" s="452"/>
      <c r="V415" s="452"/>
      <c r="W415" s="452"/>
      <c r="X415" s="452"/>
      <c r="Y415" s="452"/>
    </row>
    <row r="416" spans="1:25" ht="15.6">
      <c r="A416" s="452"/>
      <c r="B416" s="452"/>
      <c r="C416" s="452"/>
      <c r="D416" s="452"/>
      <c r="E416" s="452"/>
      <c r="F416" s="452"/>
      <c r="G416" s="452"/>
      <c r="H416" s="452"/>
      <c r="I416" s="452"/>
      <c r="J416" s="452"/>
      <c r="K416" s="452"/>
      <c r="L416" s="452"/>
      <c r="M416" s="452"/>
      <c r="N416" s="452"/>
      <c r="O416" s="452"/>
      <c r="P416" s="452"/>
      <c r="Q416" s="452"/>
      <c r="R416" s="452"/>
      <c r="S416" s="452"/>
      <c r="T416" s="452"/>
      <c r="U416" s="452"/>
      <c r="V416" s="452"/>
      <c r="W416" s="452"/>
      <c r="X416" s="452"/>
      <c r="Y416" s="452"/>
    </row>
    <row r="417" spans="1:25" ht="15.6">
      <c r="A417" s="452"/>
      <c r="B417" s="452"/>
      <c r="C417" s="452"/>
      <c r="D417" s="452"/>
      <c r="E417" s="452"/>
      <c r="F417" s="452"/>
      <c r="G417" s="452"/>
      <c r="H417" s="452"/>
      <c r="I417" s="452"/>
      <c r="J417" s="452"/>
      <c r="K417" s="452"/>
      <c r="L417" s="452"/>
      <c r="M417" s="452"/>
      <c r="N417" s="452"/>
      <c r="O417" s="452"/>
      <c r="P417" s="452"/>
      <c r="Q417" s="452"/>
      <c r="R417" s="452"/>
      <c r="S417" s="452"/>
      <c r="T417" s="452"/>
      <c r="U417" s="452"/>
      <c r="V417" s="452"/>
      <c r="W417" s="452"/>
      <c r="X417" s="452"/>
      <c r="Y417" s="452"/>
    </row>
    <row r="418" spans="1:25" ht="15.6">
      <c r="A418" s="452"/>
      <c r="B418" s="452"/>
      <c r="C418" s="452"/>
      <c r="D418" s="452"/>
      <c r="E418" s="452"/>
      <c r="F418" s="452"/>
      <c r="G418" s="452"/>
      <c r="H418" s="452"/>
      <c r="I418" s="452"/>
      <c r="J418" s="452"/>
      <c r="K418" s="452"/>
      <c r="L418" s="452"/>
      <c r="M418" s="452"/>
      <c r="N418" s="452"/>
      <c r="O418" s="452"/>
      <c r="P418" s="452"/>
      <c r="Q418" s="452"/>
      <c r="R418" s="452"/>
      <c r="S418" s="452"/>
      <c r="T418" s="452"/>
      <c r="U418" s="452"/>
      <c r="V418" s="452"/>
      <c r="W418" s="452"/>
      <c r="X418" s="452"/>
      <c r="Y418" s="452"/>
    </row>
    <row r="419" spans="1:25" ht="15.6">
      <c r="A419" s="452"/>
      <c r="B419" s="452"/>
      <c r="C419" s="452"/>
      <c r="D419" s="452"/>
      <c r="E419" s="452"/>
      <c r="F419" s="452"/>
      <c r="G419" s="452"/>
      <c r="H419" s="452"/>
      <c r="I419" s="452"/>
      <c r="J419" s="452"/>
      <c r="K419" s="452"/>
      <c r="L419" s="452"/>
      <c r="M419" s="452"/>
      <c r="N419" s="452"/>
      <c r="O419" s="452"/>
      <c r="P419" s="452"/>
      <c r="Q419" s="452"/>
      <c r="R419" s="452"/>
      <c r="S419" s="452"/>
      <c r="T419" s="452"/>
      <c r="U419" s="452"/>
      <c r="V419" s="452"/>
      <c r="W419" s="452"/>
      <c r="X419" s="452"/>
      <c r="Y419" s="452"/>
    </row>
    <row r="420" spans="1:25" ht="15.6">
      <c r="A420" s="452"/>
      <c r="B420" s="452"/>
      <c r="C420" s="452"/>
      <c r="D420" s="452"/>
      <c r="E420" s="452"/>
      <c r="F420" s="452"/>
      <c r="G420" s="452"/>
      <c r="H420" s="452"/>
      <c r="I420" s="452"/>
      <c r="J420" s="452"/>
      <c r="K420" s="452"/>
      <c r="L420" s="452"/>
      <c r="M420" s="452"/>
      <c r="N420" s="452"/>
      <c r="O420" s="452"/>
      <c r="P420" s="452"/>
      <c r="Q420" s="452"/>
      <c r="R420" s="452"/>
      <c r="S420" s="452"/>
      <c r="T420" s="452"/>
      <c r="U420" s="452"/>
      <c r="V420" s="452"/>
      <c r="W420" s="452"/>
      <c r="X420" s="452"/>
      <c r="Y420" s="452"/>
    </row>
    <row r="421" spans="1:25" ht="15.6">
      <c r="A421" s="452"/>
      <c r="B421" s="452"/>
      <c r="C421" s="452"/>
      <c r="D421" s="452"/>
      <c r="E421" s="452"/>
      <c r="F421" s="452"/>
      <c r="G421" s="452"/>
      <c r="H421" s="452"/>
      <c r="I421" s="452"/>
      <c r="J421" s="452"/>
      <c r="K421" s="452"/>
      <c r="L421" s="452"/>
      <c r="M421" s="452"/>
      <c r="N421" s="452"/>
      <c r="O421" s="452"/>
      <c r="P421" s="452"/>
      <c r="Q421" s="452"/>
      <c r="R421" s="452"/>
      <c r="S421" s="452"/>
      <c r="T421" s="452"/>
      <c r="U421" s="452"/>
      <c r="V421" s="452"/>
      <c r="W421" s="452"/>
      <c r="X421" s="452"/>
      <c r="Y421" s="452"/>
    </row>
    <row r="422" spans="1:25" ht="15.6">
      <c r="A422" s="452"/>
      <c r="B422" s="452"/>
      <c r="C422" s="452"/>
      <c r="D422" s="452"/>
      <c r="E422" s="452"/>
      <c r="F422" s="452"/>
      <c r="G422" s="452"/>
      <c r="H422" s="452"/>
      <c r="I422" s="452"/>
      <c r="J422" s="452"/>
      <c r="K422" s="452"/>
      <c r="L422" s="452"/>
      <c r="M422" s="452"/>
      <c r="N422" s="452"/>
      <c r="O422" s="452"/>
      <c r="P422" s="452"/>
      <c r="Q422" s="452"/>
      <c r="R422" s="452"/>
      <c r="S422" s="452"/>
      <c r="T422" s="452"/>
      <c r="U422" s="452"/>
      <c r="V422" s="452"/>
      <c r="W422" s="452"/>
      <c r="X422" s="452"/>
      <c r="Y422" s="452"/>
    </row>
    <row r="423" spans="1:25" ht="15.6">
      <c r="A423" s="452"/>
      <c r="B423" s="452"/>
      <c r="C423" s="452"/>
      <c r="D423" s="452"/>
      <c r="E423" s="452"/>
      <c r="F423" s="452"/>
      <c r="G423" s="452"/>
      <c r="H423" s="452"/>
      <c r="I423" s="452"/>
      <c r="J423" s="452"/>
      <c r="K423" s="452"/>
      <c r="L423" s="452"/>
      <c r="M423" s="452"/>
      <c r="N423" s="452"/>
      <c r="O423" s="452"/>
      <c r="P423" s="452"/>
      <c r="Q423" s="452"/>
      <c r="R423" s="452"/>
      <c r="S423" s="452"/>
      <c r="T423" s="452"/>
      <c r="U423" s="452"/>
      <c r="V423" s="452"/>
      <c r="W423" s="452"/>
      <c r="X423" s="452"/>
      <c r="Y423" s="452"/>
    </row>
    <row r="424" spans="1:25" ht="15.6">
      <c r="A424" s="452"/>
      <c r="B424" s="452"/>
      <c r="C424" s="452"/>
      <c r="D424" s="452"/>
      <c r="E424" s="452"/>
      <c r="F424" s="452"/>
      <c r="G424" s="452"/>
      <c r="H424" s="452"/>
      <c r="I424" s="452"/>
      <c r="J424" s="452"/>
      <c r="K424" s="452"/>
      <c r="L424" s="452"/>
      <c r="M424" s="452"/>
      <c r="N424" s="452"/>
      <c r="O424" s="452"/>
      <c r="P424" s="452"/>
      <c r="Q424" s="452"/>
      <c r="R424" s="452"/>
      <c r="S424" s="452"/>
      <c r="T424" s="452"/>
      <c r="U424" s="452"/>
      <c r="V424" s="452"/>
      <c r="W424" s="452"/>
      <c r="X424" s="452"/>
      <c r="Y424" s="452"/>
    </row>
    <row r="425" spans="1:25" ht="15.6">
      <c r="A425" s="452"/>
      <c r="B425" s="452"/>
      <c r="C425" s="452"/>
      <c r="D425" s="452"/>
      <c r="E425" s="452"/>
      <c r="F425" s="452"/>
      <c r="G425" s="452"/>
      <c r="H425" s="452"/>
      <c r="I425" s="452"/>
      <c r="J425" s="452"/>
      <c r="K425" s="452"/>
      <c r="L425" s="452"/>
      <c r="M425" s="452"/>
      <c r="N425" s="452"/>
      <c r="O425" s="452"/>
      <c r="P425" s="452"/>
      <c r="Q425" s="452"/>
      <c r="R425" s="452"/>
      <c r="S425" s="452"/>
      <c r="T425" s="452"/>
      <c r="U425" s="452"/>
      <c r="V425" s="452"/>
      <c r="W425" s="452"/>
      <c r="X425" s="452"/>
      <c r="Y425" s="452"/>
    </row>
    <row r="426" spans="1:25" ht="15.6">
      <c r="A426" s="452"/>
      <c r="B426" s="452"/>
      <c r="C426" s="452"/>
      <c r="D426" s="452"/>
      <c r="E426" s="452"/>
      <c r="F426" s="452"/>
      <c r="G426" s="452"/>
      <c r="H426" s="452"/>
      <c r="I426" s="452"/>
      <c r="J426" s="452"/>
      <c r="K426" s="452"/>
      <c r="L426" s="452"/>
      <c r="M426" s="452"/>
      <c r="N426" s="452"/>
      <c r="O426" s="452"/>
      <c r="P426" s="452"/>
      <c r="Q426" s="452"/>
      <c r="R426" s="452"/>
      <c r="S426" s="452"/>
      <c r="T426" s="452"/>
      <c r="U426" s="452"/>
      <c r="V426" s="452"/>
      <c r="W426" s="452"/>
      <c r="X426" s="452"/>
      <c r="Y426" s="452"/>
    </row>
    <row r="427" spans="1:25" ht="15.6">
      <c r="A427" s="452"/>
      <c r="B427" s="452"/>
      <c r="C427" s="452"/>
      <c r="D427" s="452"/>
      <c r="E427" s="452"/>
      <c r="F427" s="452"/>
      <c r="G427" s="452"/>
      <c r="H427" s="452"/>
      <c r="I427" s="452"/>
      <c r="J427" s="452"/>
      <c r="K427" s="452"/>
      <c r="L427" s="452"/>
      <c r="M427" s="452"/>
      <c r="N427" s="452"/>
      <c r="O427" s="452"/>
      <c r="P427" s="452"/>
      <c r="Q427" s="452"/>
      <c r="R427" s="452"/>
      <c r="S427" s="452"/>
      <c r="T427" s="452"/>
      <c r="U427" s="452"/>
      <c r="V427" s="452"/>
      <c r="W427" s="452"/>
      <c r="X427" s="452"/>
      <c r="Y427" s="452"/>
    </row>
    <row r="428" spans="1:25" ht="15.6">
      <c r="A428" s="452"/>
      <c r="B428" s="452"/>
      <c r="C428" s="452"/>
      <c r="D428" s="452"/>
      <c r="E428" s="452"/>
      <c r="F428" s="452"/>
      <c r="G428" s="452"/>
      <c r="H428" s="452"/>
      <c r="I428" s="452"/>
      <c r="J428" s="452"/>
      <c r="K428" s="452"/>
      <c r="L428" s="452"/>
      <c r="M428" s="452"/>
      <c r="N428" s="452"/>
      <c r="O428" s="452"/>
      <c r="P428" s="452"/>
      <c r="Q428" s="452"/>
      <c r="R428" s="452"/>
      <c r="S428" s="452"/>
      <c r="T428" s="452"/>
      <c r="U428" s="452"/>
      <c r="V428" s="452"/>
      <c r="W428" s="452"/>
      <c r="X428" s="452"/>
      <c r="Y428" s="452"/>
    </row>
    <row r="429" spans="1:25" ht="15.6">
      <c r="A429" s="452"/>
      <c r="B429" s="452"/>
      <c r="C429" s="452"/>
      <c r="D429" s="452"/>
      <c r="E429" s="452"/>
      <c r="F429" s="452"/>
      <c r="G429" s="452"/>
      <c r="H429" s="452"/>
      <c r="I429" s="452"/>
      <c r="J429" s="452"/>
      <c r="K429" s="452"/>
      <c r="L429" s="452"/>
      <c r="M429" s="452"/>
      <c r="N429" s="452"/>
      <c r="O429" s="452"/>
      <c r="P429" s="452"/>
      <c r="Q429" s="452"/>
      <c r="R429" s="452"/>
      <c r="S429" s="452"/>
      <c r="T429" s="452"/>
      <c r="U429" s="452"/>
      <c r="V429" s="452"/>
      <c r="W429" s="452"/>
      <c r="X429" s="452"/>
      <c r="Y429" s="452"/>
    </row>
    <row r="430" spans="1:25" ht="15.6">
      <c r="A430" s="452"/>
      <c r="B430" s="452"/>
      <c r="C430" s="452"/>
      <c r="D430" s="452"/>
      <c r="E430" s="452"/>
      <c r="F430" s="452"/>
      <c r="G430" s="452"/>
      <c r="H430" s="452"/>
      <c r="I430" s="452"/>
      <c r="J430" s="452"/>
      <c r="K430" s="452"/>
      <c r="L430" s="452"/>
      <c r="M430" s="452"/>
      <c r="N430" s="452"/>
      <c r="O430" s="452"/>
      <c r="P430" s="452"/>
      <c r="Q430" s="452"/>
      <c r="R430" s="452"/>
      <c r="S430" s="452"/>
      <c r="T430" s="452"/>
      <c r="U430" s="452"/>
      <c r="V430" s="452"/>
      <c r="W430" s="452"/>
      <c r="X430" s="452"/>
      <c r="Y430" s="452"/>
    </row>
    <row r="431" spans="1:25" ht="15.6">
      <c r="A431" s="452"/>
      <c r="B431" s="452"/>
      <c r="C431" s="452"/>
      <c r="D431" s="452"/>
      <c r="E431" s="452"/>
      <c r="F431" s="452"/>
      <c r="G431" s="452"/>
      <c r="H431" s="452"/>
      <c r="I431" s="452"/>
      <c r="J431" s="452"/>
      <c r="K431" s="452"/>
      <c r="L431" s="452"/>
      <c r="M431" s="452"/>
      <c r="N431" s="452"/>
      <c r="O431" s="452"/>
      <c r="P431" s="452"/>
      <c r="Q431" s="452"/>
      <c r="R431" s="452"/>
      <c r="S431" s="452"/>
      <c r="T431" s="452"/>
      <c r="U431" s="452"/>
      <c r="V431" s="452"/>
      <c r="W431" s="452"/>
      <c r="X431" s="452"/>
      <c r="Y431" s="452"/>
    </row>
    <row r="432" spans="1:25" ht="15.6">
      <c r="A432" s="452"/>
      <c r="B432" s="452"/>
      <c r="C432" s="452"/>
      <c r="D432" s="452"/>
      <c r="E432" s="452"/>
      <c r="F432" s="452"/>
      <c r="G432" s="452"/>
      <c r="H432" s="452"/>
      <c r="I432" s="452"/>
      <c r="J432" s="452"/>
      <c r="K432" s="452"/>
      <c r="L432" s="452"/>
      <c r="M432" s="452"/>
      <c r="N432" s="452"/>
      <c r="O432" s="452"/>
      <c r="P432" s="452"/>
      <c r="Q432" s="452"/>
      <c r="R432" s="452"/>
      <c r="S432" s="452"/>
      <c r="T432" s="452"/>
      <c r="U432" s="452"/>
      <c r="V432" s="452"/>
      <c r="W432" s="452"/>
      <c r="X432" s="452"/>
      <c r="Y432" s="452"/>
    </row>
    <row r="433" spans="1:25" ht="15.6">
      <c r="A433" s="452"/>
      <c r="B433" s="452"/>
      <c r="C433" s="452"/>
      <c r="D433" s="452"/>
      <c r="E433" s="452"/>
      <c r="F433" s="452"/>
      <c r="G433" s="452"/>
      <c r="H433" s="452"/>
      <c r="I433" s="452"/>
      <c r="J433" s="452"/>
      <c r="K433" s="452"/>
      <c r="L433" s="452"/>
      <c r="M433" s="452"/>
      <c r="N433" s="452"/>
      <c r="O433" s="452"/>
      <c r="P433" s="452"/>
      <c r="Q433" s="452"/>
      <c r="R433" s="452"/>
      <c r="S433" s="452"/>
      <c r="T433" s="452"/>
      <c r="U433" s="452"/>
      <c r="V433" s="452"/>
      <c r="W433" s="452"/>
      <c r="X433" s="452"/>
      <c r="Y433" s="452"/>
    </row>
    <row r="434" spans="1:25" ht="15.6">
      <c r="A434" s="452"/>
      <c r="B434" s="452"/>
      <c r="C434" s="452"/>
      <c r="D434" s="452"/>
      <c r="E434" s="452"/>
      <c r="F434" s="452"/>
      <c r="G434" s="452"/>
      <c r="H434" s="452"/>
      <c r="I434" s="452"/>
      <c r="J434" s="452"/>
      <c r="K434" s="452"/>
      <c r="L434" s="452"/>
      <c r="M434" s="452"/>
      <c r="N434" s="452"/>
      <c r="O434" s="452"/>
      <c r="P434" s="452"/>
      <c r="Q434" s="452"/>
      <c r="R434" s="452"/>
      <c r="S434" s="452"/>
      <c r="T434" s="452"/>
      <c r="U434" s="452"/>
      <c r="V434" s="452"/>
      <c r="W434" s="452"/>
      <c r="X434" s="452"/>
      <c r="Y434" s="452"/>
    </row>
    <row r="435" spans="1:25" ht="15.6">
      <c r="A435" s="452"/>
      <c r="B435" s="452"/>
      <c r="C435" s="452"/>
      <c r="D435" s="452"/>
      <c r="E435" s="452"/>
      <c r="F435" s="452"/>
      <c r="G435" s="452"/>
      <c r="H435" s="452"/>
      <c r="I435" s="452"/>
      <c r="J435" s="452"/>
      <c r="K435" s="452"/>
      <c r="L435" s="452"/>
      <c r="M435" s="452"/>
      <c r="N435" s="452"/>
      <c r="O435" s="452"/>
      <c r="P435" s="452"/>
      <c r="Q435" s="452"/>
      <c r="R435" s="452"/>
      <c r="S435" s="452"/>
      <c r="T435" s="452"/>
      <c r="U435" s="452"/>
      <c r="V435" s="452"/>
      <c r="W435" s="452"/>
      <c r="X435" s="452"/>
      <c r="Y435" s="452"/>
    </row>
    <row r="436" spans="1:25" ht="15.6">
      <c r="A436" s="452"/>
      <c r="B436" s="452"/>
      <c r="C436" s="452"/>
      <c r="D436" s="452"/>
      <c r="E436" s="452"/>
      <c r="F436" s="452"/>
      <c r="G436" s="452"/>
      <c r="H436" s="452"/>
      <c r="I436" s="452"/>
      <c r="J436" s="452"/>
      <c r="K436" s="452"/>
      <c r="L436" s="452"/>
      <c r="M436" s="452"/>
      <c r="N436" s="452"/>
      <c r="O436" s="452"/>
      <c r="P436" s="452"/>
      <c r="Q436" s="452"/>
      <c r="R436" s="452"/>
      <c r="S436" s="452"/>
      <c r="T436" s="452"/>
      <c r="U436" s="452"/>
      <c r="V436" s="452"/>
      <c r="W436" s="452"/>
      <c r="X436" s="452"/>
      <c r="Y436" s="452"/>
    </row>
    <row r="437" spans="1:25" ht="15.6">
      <c r="A437" s="452"/>
      <c r="B437" s="452"/>
      <c r="C437" s="452"/>
      <c r="D437" s="452"/>
      <c r="E437" s="452"/>
      <c r="F437" s="452"/>
      <c r="G437" s="452"/>
      <c r="H437" s="452"/>
      <c r="I437" s="452"/>
      <c r="J437" s="452"/>
      <c r="K437" s="452"/>
      <c r="L437" s="452"/>
      <c r="M437" s="452"/>
      <c r="N437" s="452"/>
      <c r="O437" s="452"/>
      <c r="P437" s="452"/>
      <c r="Q437" s="452"/>
      <c r="R437" s="452"/>
      <c r="S437" s="452"/>
      <c r="T437" s="452"/>
      <c r="U437" s="452"/>
      <c r="V437" s="452"/>
      <c r="W437" s="452"/>
      <c r="X437" s="452"/>
      <c r="Y437" s="452"/>
    </row>
    <row r="438" spans="1:25" ht="15.6">
      <c r="A438" s="452"/>
      <c r="B438" s="452"/>
      <c r="C438" s="452"/>
      <c r="D438" s="452"/>
      <c r="E438" s="452"/>
      <c r="F438" s="452"/>
      <c r="G438" s="452"/>
      <c r="H438" s="452"/>
      <c r="I438" s="452"/>
      <c r="J438" s="452"/>
      <c r="K438" s="452"/>
      <c r="L438" s="452"/>
      <c r="M438" s="452"/>
      <c r="N438" s="452"/>
      <c r="O438" s="452"/>
      <c r="P438" s="452"/>
      <c r="Q438" s="452"/>
      <c r="R438" s="452"/>
      <c r="S438" s="452"/>
      <c r="T438" s="452"/>
      <c r="U438" s="452"/>
      <c r="V438" s="452"/>
      <c r="W438" s="452"/>
      <c r="X438" s="452"/>
      <c r="Y438" s="452"/>
    </row>
    <row r="439" spans="1:25" ht="15.6">
      <c r="A439" s="452"/>
      <c r="B439" s="452"/>
      <c r="C439" s="452"/>
      <c r="D439" s="452"/>
      <c r="E439" s="452"/>
      <c r="F439" s="452"/>
      <c r="G439" s="452"/>
      <c r="H439" s="452"/>
      <c r="I439" s="452"/>
      <c r="J439" s="452"/>
      <c r="K439" s="452"/>
      <c r="L439" s="452"/>
      <c r="M439" s="452"/>
      <c r="N439" s="452"/>
      <c r="O439" s="452"/>
      <c r="P439" s="452"/>
      <c r="Q439" s="452"/>
      <c r="R439" s="452"/>
      <c r="S439" s="452"/>
      <c r="T439" s="452"/>
      <c r="U439" s="452"/>
      <c r="V439" s="452"/>
      <c r="W439" s="452"/>
      <c r="X439" s="452"/>
      <c r="Y439" s="452"/>
    </row>
    <row r="440" spans="1:25" ht="15.6">
      <c r="A440" s="452"/>
      <c r="B440" s="452"/>
      <c r="C440" s="452"/>
      <c r="D440" s="452"/>
      <c r="E440" s="452"/>
      <c r="F440" s="452"/>
      <c r="G440" s="452"/>
      <c r="H440" s="452"/>
      <c r="I440" s="452"/>
      <c r="J440" s="452"/>
      <c r="K440" s="452"/>
      <c r="L440" s="452"/>
      <c r="M440" s="452"/>
      <c r="N440" s="452"/>
      <c r="O440" s="452"/>
      <c r="P440" s="452"/>
      <c r="Q440" s="452"/>
      <c r="R440" s="452"/>
      <c r="S440" s="452"/>
      <c r="T440" s="452"/>
      <c r="U440" s="452"/>
      <c r="V440" s="452"/>
      <c r="W440" s="452"/>
      <c r="X440" s="452"/>
      <c r="Y440" s="452"/>
    </row>
    <row r="441" spans="1:25" ht="15.6">
      <c r="A441" s="452"/>
      <c r="B441" s="452"/>
      <c r="C441" s="452"/>
      <c r="D441" s="452"/>
      <c r="E441" s="452"/>
      <c r="F441" s="452"/>
      <c r="G441" s="452"/>
      <c r="H441" s="452"/>
      <c r="I441" s="452"/>
      <c r="J441" s="452"/>
      <c r="K441" s="452"/>
      <c r="L441" s="452"/>
      <c r="M441" s="452"/>
      <c r="N441" s="452"/>
      <c r="O441" s="452"/>
      <c r="P441" s="452"/>
      <c r="Q441" s="452"/>
      <c r="R441" s="452"/>
      <c r="S441" s="452"/>
      <c r="T441" s="452"/>
      <c r="U441" s="452"/>
      <c r="V441" s="452"/>
      <c r="W441" s="452"/>
      <c r="X441" s="452"/>
      <c r="Y441" s="452"/>
    </row>
    <row r="442" spans="1:25" ht="15.6">
      <c r="A442" s="452"/>
      <c r="B442" s="452"/>
      <c r="C442" s="452"/>
      <c r="D442" s="452"/>
      <c r="E442" s="452"/>
      <c r="F442" s="452"/>
      <c r="G442" s="452"/>
      <c r="H442" s="452"/>
      <c r="I442" s="452"/>
      <c r="J442" s="452"/>
      <c r="K442" s="452"/>
      <c r="L442" s="452"/>
      <c r="M442" s="452"/>
      <c r="N442" s="452"/>
      <c r="O442" s="452"/>
      <c r="P442" s="452"/>
      <c r="Q442" s="452"/>
      <c r="R442" s="452"/>
      <c r="S442" s="452"/>
      <c r="T442" s="452"/>
      <c r="U442" s="452"/>
      <c r="V442" s="452"/>
      <c r="W442" s="452"/>
      <c r="X442" s="452"/>
      <c r="Y442" s="452"/>
    </row>
    <row r="443" spans="1:25" ht="15.6">
      <c r="A443" s="452"/>
      <c r="B443" s="452"/>
      <c r="C443" s="452"/>
      <c r="D443" s="452"/>
      <c r="E443" s="452"/>
      <c r="F443" s="452"/>
      <c r="G443" s="452"/>
      <c r="H443" s="452"/>
      <c r="I443" s="452"/>
      <c r="J443" s="452"/>
      <c r="K443" s="452"/>
      <c r="L443" s="452"/>
      <c r="M443" s="452"/>
      <c r="N443" s="452"/>
      <c r="O443" s="452"/>
      <c r="P443" s="452"/>
      <c r="Q443" s="452"/>
      <c r="R443" s="452"/>
      <c r="S443" s="452"/>
      <c r="T443" s="452"/>
      <c r="U443" s="452"/>
      <c r="V443" s="452"/>
      <c r="W443" s="452"/>
      <c r="X443" s="452"/>
      <c r="Y443" s="452"/>
    </row>
    <row r="444" spans="1:25" ht="15.6">
      <c r="A444" s="452"/>
      <c r="B444" s="452"/>
      <c r="C444" s="452"/>
      <c r="D444" s="452"/>
      <c r="E444" s="452"/>
      <c r="F444" s="452"/>
      <c r="G444" s="452"/>
      <c r="H444" s="452"/>
      <c r="I444" s="452"/>
      <c r="J444" s="452"/>
      <c r="K444" s="452"/>
      <c r="L444" s="452"/>
      <c r="M444" s="452"/>
      <c r="N444" s="452"/>
      <c r="O444" s="452"/>
      <c r="P444" s="452"/>
      <c r="Q444" s="452"/>
      <c r="R444" s="452"/>
      <c r="S444" s="452"/>
      <c r="T444" s="452"/>
      <c r="U444" s="452"/>
      <c r="V444" s="452"/>
      <c r="W444" s="452"/>
      <c r="X444" s="452"/>
      <c r="Y444" s="452"/>
    </row>
    <row r="445" spans="1:25" ht="15.6">
      <c r="A445" s="452"/>
      <c r="B445" s="452"/>
      <c r="C445" s="452"/>
      <c r="D445" s="452"/>
      <c r="E445" s="452"/>
      <c r="F445" s="452"/>
      <c r="G445" s="452"/>
      <c r="H445" s="452"/>
      <c r="I445" s="452"/>
      <c r="J445" s="452"/>
      <c r="K445" s="452"/>
      <c r="L445" s="452"/>
      <c r="M445" s="452"/>
      <c r="N445" s="452"/>
      <c r="O445" s="452"/>
      <c r="P445" s="452"/>
      <c r="Q445" s="452"/>
      <c r="R445" s="452"/>
      <c r="S445" s="452"/>
      <c r="T445" s="452"/>
      <c r="U445" s="452"/>
      <c r="V445" s="452"/>
      <c r="W445" s="452"/>
      <c r="X445" s="452"/>
      <c r="Y445" s="452"/>
    </row>
    <row r="446" spans="1:25" ht="15.6">
      <c r="A446" s="452"/>
      <c r="B446" s="452"/>
      <c r="C446" s="452"/>
      <c r="D446" s="452"/>
      <c r="E446" s="452"/>
      <c r="F446" s="452"/>
      <c r="G446" s="452"/>
      <c r="H446" s="452"/>
      <c r="I446" s="452"/>
      <c r="J446" s="452"/>
      <c r="K446" s="452"/>
      <c r="L446" s="452"/>
      <c r="M446" s="452"/>
      <c r="N446" s="452"/>
      <c r="O446" s="452"/>
      <c r="P446" s="452"/>
      <c r="Q446" s="452"/>
      <c r="R446" s="452"/>
      <c r="S446" s="452"/>
      <c r="T446" s="452"/>
      <c r="U446" s="452"/>
      <c r="V446" s="452"/>
      <c r="W446" s="452"/>
      <c r="X446" s="452"/>
      <c r="Y446" s="452"/>
    </row>
    <row r="447" spans="1:25" ht="15.6">
      <c r="A447" s="452"/>
      <c r="B447" s="452"/>
      <c r="C447" s="452"/>
      <c r="D447" s="452"/>
      <c r="E447" s="452"/>
      <c r="F447" s="452"/>
      <c r="G447" s="452"/>
      <c r="H447" s="452"/>
      <c r="I447" s="452"/>
      <c r="J447" s="452"/>
      <c r="K447" s="452"/>
      <c r="L447" s="452"/>
      <c r="M447" s="452"/>
      <c r="N447" s="452"/>
      <c r="O447" s="452"/>
      <c r="P447" s="452"/>
      <c r="Q447" s="452"/>
      <c r="R447" s="452"/>
      <c r="S447" s="452"/>
      <c r="T447" s="452"/>
      <c r="U447" s="452"/>
      <c r="V447" s="452"/>
      <c r="W447" s="452"/>
      <c r="X447" s="452"/>
      <c r="Y447" s="452"/>
    </row>
    <row r="448" spans="1:25" ht="15.6">
      <c r="A448" s="452"/>
      <c r="B448" s="452"/>
      <c r="C448" s="452"/>
      <c r="D448" s="452"/>
      <c r="E448" s="452"/>
      <c r="F448" s="452"/>
      <c r="G448" s="452"/>
      <c r="H448" s="452"/>
      <c r="I448" s="452"/>
      <c r="J448" s="452"/>
      <c r="K448" s="452"/>
      <c r="L448" s="452"/>
      <c r="M448" s="452"/>
      <c r="N448" s="452"/>
      <c r="O448" s="452"/>
      <c r="P448" s="452"/>
      <c r="Q448" s="452"/>
      <c r="R448" s="452"/>
      <c r="S448" s="452"/>
      <c r="T448" s="452"/>
      <c r="U448" s="452"/>
      <c r="V448" s="452"/>
      <c r="W448" s="452"/>
      <c r="X448" s="452"/>
      <c r="Y448" s="452"/>
    </row>
    <row r="449" spans="1:25" ht="15.6">
      <c r="A449" s="452"/>
      <c r="B449" s="452"/>
      <c r="C449" s="452"/>
      <c r="D449" s="452"/>
      <c r="E449" s="452"/>
      <c r="F449" s="452"/>
      <c r="G449" s="452"/>
      <c r="H449" s="452"/>
      <c r="I449" s="452"/>
      <c r="J449" s="452"/>
      <c r="K449" s="452"/>
      <c r="L449" s="452"/>
      <c r="M449" s="452"/>
      <c r="N449" s="452"/>
      <c r="O449" s="452"/>
      <c r="P449" s="452"/>
      <c r="Q449" s="452"/>
      <c r="R449" s="452"/>
      <c r="S449" s="452"/>
      <c r="T449" s="452"/>
      <c r="U449" s="452"/>
      <c r="V449" s="452"/>
      <c r="W449" s="452"/>
      <c r="X449" s="452"/>
      <c r="Y449" s="452"/>
    </row>
    <row r="450" spans="1:25" ht="15.6">
      <c r="A450" s="452"/>
      <c r="B450" s="452"/>
      <c r="C450" s="452"/>
      <c r="D450" s="452"/>
      <c r="E450" s="452"/>
      <c r="F450" s="452"/>
      <c r="G450" s="452"/>
      <c r="H450" s="452"/>
      <c r="I450" s="452"/>
      <c r="J450" s="452"/>
      <c r="K450" s="452"/>
      <c r="L450" s="452"/>
      <c r="M450" s="452"/>
      <c r="N450" s="452"/>
      <c r="O450" s="452"/>
      <c r="P450" s="452"/>
      <c r="Q450" s="452"/>
      <c r="R450" s="452"/>
      <c r="S450" s="452"/>
      <c r="T450" s="452"/>
      <c r="U450" s="452"/>
      <c r="V450" s="452"/>
      <c r="W450" s="452"/>
      <c r="X450" s="452"/>
      <c r="Y450" s="452"/>
    </row>
    <row r="451" spans="1:25" ht="15.6">
      <c r="A451" s="452"/>
      <c r="B451" s="452"/>
      <c r="C451" s="452"/>
      <c r="D451" s="452"/>
      <c r="E451" s="452"/>
      <c r="F451" s="452"/>
      <c r="G451" s="452"/>
      <c r="H451" s="452"/>
      <c r="I451" s="452"/>
      <c r="J451" s="452"/>
      <c r="K451" s="452"/>
      <c r="L451" s="452"/>
      <c r="M451" s="452"/>
      <c r="N451" s="452"/>
      <c r="O451" s="452"/>
      <c r="P451" s="452"/>
      <c r="Q451" s="452"/>
      <c r="R451" s="452"/>
      <c r="S451" s="452"/>
      <c r="T451" s="452"/>
      <c r="U451" s="452"/>
      <c r="V451" s="452"/>
      <c r="W451" s="452"/>
      <c r="X451" s="452"/>
      <c r="Y451" s="452"/>
    </row>
    <row r="452" spans="1:25" ht="15.6">
      <c r="A452" s="452"/>
      <c r="B452" s="452"/>
      <c r="C452" s="452"/>
      <c r="D452" s="452"/>
      <c r="E452" s="452"/>
      <c r="F452" s="452"/>
      <c r="G452" s="452"/>
      <c r="H452" s="452"/>
      <c r="I452" s="452"/>
      <c r="J452" s="452"/>
      <c r="K452" s="452"/>
      <c r="L452" s="452"/>
      <c r="M452" s="452"/>
      <c r="N452" s="452"/>
      <c r="O452" s="452"/>
      <c r="P452" s="452"/>
      <c r="Q452" s="452"/>
      <c r="R452" s="452"/>
      <c r="S452" s="452"/>
      <c r="T452" s="452"/>
      <c r="U452" s="452"/>
      <c r="V452" s="452"/>
      <c r="W452" s="452"/>
      <c r="X452" s="452"/>
      <c r="Y452" s="452"/>
    </row>
    <row r="453" spans="1:25" ht="15.6">
      <c r="A453" s="452"/>
      <c r="B453" s="452"/>
      <c r="C453" s="452"/>
      <c r="D453" s="452"/>
      <c r="E453" s="452"/>
      <c r="F453" s="452"/>
      <c r="G453" s="452"/>
      <c r="H453" s="452"/>
      <c r="I453" s="452"/>
      <c r="J453" s="452"/>
      <c r="K453" s="452"/>
      <c r="L453" s="452"/>
      <c r="M453" s="452"/>
      <c r="N453" s="452"/>
      <c r="O453" s="452"/>
      <c r="P453" s="452"/>
      <c r="Q453" s="452"/>
      <c r="R453" s="452"/>
      <c r="S453" s="452"/>
      <c r="T453" s="452"/>
      <c r="U453" s="452"/>
      <c r="V453" s="452"/>
      <c r="W453" s="452"/>
      <c r="X453" s="452"/>
      <c r="Y453" s="452"/>
    </row>
    <row r="454" spans="1:25" ht="15.6">
      <c r="A454" s="452"/>
      <c r="B454" s="452"/>
      <c r="C454" s="452"/>
      <c r="D454" s="452"/>
      <c r="E454" s="452"/>
      <c r="F454" s="452"/>
      <c r="G454" s="452"/>
      <c r="H454" s="452"/>
      <c r="I454" s="452"/>
      <c r="J454" s="452"/>
      <c r="K454" s="452"/>
      <c r="L454" s="452"/>
      <c r="M454" s="452"/>
      <c r="N454" s="452"/>
      <c r="O454" s="452"/>
      <c r="P454" s="452"/>
      <c r="Q454" s="452"/>
      <c r="R454" s="452"/>
      <c r="S454" s="452"/>
      <c r="T454" s="452"/>
      <c r="U454" s="452"/>
      <c r="V454" s="452"/>
      <c r="W454" s="452"/>
      <c r="X454" s="452"/>
      <c r="Y454" s="452"/>
    </row>
    <row r="455" spans="1:25" ht="15.6">
      <c r="A455" s="452"/>
      <c r="B455" s="452"/>
      <c r="C455" s="452"/>
      <c r="D455" s="452"/>
      <c r="E455" s="452"/>
      <c r="F455" s="452"/>
      <c r="G455" s="452"/>
      <c r="H455" s="452"/>
      <c r="I455" s="452"/>
      <c r="J455" s="452"/>
      <c r="K455" s="452"/>
      <c r="L455" s="452"/>
      <c r="M455" s="452"/>
      <c r="N455" s="452"/>
      <c r="O455" s="452"/>
      <c r="P455" s="452"/>
      <c r="Q455" s="452"/>
      <c r="R455" s="452"/>
      <c r="S455" s="452"/>
      <c r="T455" s="452"/>
      <c r="U455" s="452"/>
      <c r="V455" s="452"/>
      <c r="W455" s="452"/>
      <c r="X455" s="452"/>
      <c r="Y455" s="452"/>
    </row>
    <row r="456" spans="1:25" ht="15.6">
      <c r="A456" s="452"/>
      <c r="B456" s="452"/>
      <c r="C456" s="452"/>
      <c r="D456" s="452"/>
      <c r="E456" s="452"/>
      <c r="F456" s="452"/>
      <c r="G456" s="452"/>
      <c r="H456" s="452"/>
      <c r="I456" s="452"/>
      <c r="J456" s="452"/>
      <c r="K456" s="452"/>
      <c r="L456" s="452"/>
      <c r="M456" s="452"/>
      <c r="N456" s="452"/>
      <c r="O456" s="452"/>
      <c r="P456" s="452"/>
      <c r="Q456" s="452"/>
      <c r="R456" s="452"/>
      <c r="S456" s="452"/>
      <c r="T456" s="452"/>
      <c r="U456" s="452"/>
      <c r="V456" s="452"/>
      <c r="W456" s="452"/>
      <c r="X456" s="452"/>
      <c r="Y456" s="452"/>
    </row>
    <row r="457" spans="1:25" ht="15.6">
      <c r="A457" s="452"/>
      <c r="B457" s="452"/>
      <c r="C457" s="452"/>
      <c r="D457" s="452"/>
      <c r="E457" s="452"/>
      <c r="F457" s="452"/>
      <c r="G457" s="452"/>
      <c r="H457" s="452"/>
      <c r="I457" s="452"/>
      <c r="J457" s="452"/>
      <c r="K457" s="452"/>
      <c r="L457" s="452"/>
      <c r="M457" s="452"/>
      <c r="N457" s="452"/>
      <c r="O457" s="452"/>
      <c r="P457" s="452"/>
      <c r="Q457" s="452"/>
      <c r="R457" s="452"/>
      <c r="S457" s="452"/>
      <c r="T457" s="452"/>
      <c r="U457" s="452"/>
      <c r="V457" s="452"/>
      <c r="W457" s="452"/>
      <c r="X457" s="452"/>
      <c r="Y457" s="452"/>
    </row>
    <row r="458" spans="1:25" ht="15.6">
      <c r="A458" s="452"/>
      <c r="B458" s="452"/>
      <c r="C458" s="452"/>
      <c r="D458" s="452"/>
      <c r="E458" s="452"/>
      <c r="F458" s="452"/>
      <c r="G458" s="452"/>
      <c r="H458" s="452"/>
      <c r="I458" s="452"/>
      <c r="J458" s="452"/>
      <c r="K458" s="452"/>
      <c r="L458" s="452"/>
      <c r="M458" s="452"/>
      <c r="N458" s="452"/>
      <c r="O458" s="452"/>
      <c r="P458" s="452"/>
      <c r="Q458" s="452"/>
      <c r="R458" s="452"/>
      <c r="S458" s="452"/>
      <c r="T458" s="452"/>
      <c r="U458" s="452"/>
      <c r="V458" s="452"/>
      <c r="W458" s="452"/>
      <c r="X458" s="452"/>
      <c r="Y458" s="452"/>
    </row>
    <row r="459" spans="1:25" ht="15.6">
      <c r="A459" s="452"/>
      <c r="B459" s="452"/>
      <c r="C459" s="452"/>
      <c r="D459" s="452"/>
      <c r="E459" s="452"/>
      <c r="F459" s="452"/>
      <c r="G459" s="452"/>
      <c r="H459" s="452"/>
      <c r="I459" s="452"/>
      <c r="J459" s="452"/>
      <c r="K459" s="452"/>
      <c r="L459" s="452"/>
      <c r="M459" s="452"/>
      <c r="N459" s="452"/>
      <c r="O459" s="452"/>
      <c r="P459" s="452"/>
      <c r="Q459" s="452"/>
      <c r="R459" s="452"/>
      <c r="S459" s="452"/>
      <c r="T459" s="452"/>
      <c r="U459" s="452"/>
      <c r="V459" s="452"/>
      <c r="W459" s="452"/>
      <c r="X459" s="452"/>
      <c r="Y459" s="452"/>
    </row>
    <row r="460" spans="1:25" ht="15.6">
      <c r="A460" s="452"/>
      <c r="B460" s="452"/>
      <c r="C460" s="452"/>
      <c r="D460" s="452"/>
      <c r="E460" s="452"/>
      <c r="F460" s="452"/>
      <c r="G460" s="452"/>
      <c r="H460" s="452"/>
      <c r="I460" s="452"/>
      <c r="J460" s="452"/>
      <c r="K460" s="452"/>
      <c r="L460" s="452"/>
      <c r="M460" s="452"/>
      <c r="N460" s="452"/>
      <c r="O460" s="452"/>
      <c r="P460" s="452"/>
      <c r="Q460" s="452"/>
      <c r="R460" s="452"/>
      <c r="S460" s="452"/>
      <c r="T460" s="452"/>
      <c r="U460" s="452"/>
      <c r="V460" s="452"/>
      <c r="W460" s="452"/>
      <c r="X460" s="452"/>
      <c r="Y460" s="452"/>
    </row>
    <row r="461" spans="1:25" ht="15.6">
      <c r="A461" s="452"/>
      <c r="B461" s="452"/>
      <c r="C461" s="452"/>
      <c r="D461" s="452"/>
      <c r="E461" s="452"/>
      <c r="F461" s="452"/>
      <c r="G461" s="452"/>
      <c r="H461" s="452"/>
      <c r="I461" s="452"/>
      <c r="J461" s="452"/>
      <c r="K461" s="452"/>
      <c r="L461" s="452"/>
      <c r="M461" s="452"/>
      <c r="N461" s="452"/>
      <c r="O461" s="452"/>
      <c r="P461" s="452"/>
      <c r="Q461" s="452"/>
      <c r="R461" s="452"/>
      <c r="S461" s="452"/>
      <c r="T461" s="452"/>
      <c r="U461" s="452"/>
      <c r="V461" s="452"/>
      <c r="W461" s="452"/>
      <c r="X461" s="452"/>
      <c r="Y461" s="452"/>
    </row>
    <row r="462" spans="1:25" ht="15.6">
      <c r="A462" s="452"/>
      <c r="B462" s="452"/>
      <c r="C462" s="452"/>
      <c r="D462" s="452"/>
      <c r="E462" s="452"/>
      <c r="F462" s="452"/>
      <c r="G462" s="452"/>
      <c r="H462" s="452"/>
      <c r="I462" s="452"/>
      <c r="J462" s="452"/>
      <c r="K462" s="452"/>
      <c r="L462" s="452"/>
      <c r="M462" s="452"/>
      <c r="N462" s="452"/>
      <c r="O462" s="452"/>
      <c r="P462" s="452"/>
      <c r="Q462" s="452"/>
      <c r="R462" s="452"/>
      <c r="S462" s="452"/>
      <c r="T462" s="452"/>
      <c r="U462" s="452"/>
      <c r="V462" s="452"/>
      <c r="W462" s="452"/>
      <c r="X462" s="452"/>
      <c r="Y462" s="452"/>
    </row>
    <row r="463" spans="1:25" ht="15.6">
      <c r="A463" s="452"/>
      <c r="B463" s="452"/>
      <c r="C463" s="452"/>
      <c r="D463" s="452"/>
      <c r="E463" s="452"/>
      <c r="F463" s="452"/>
      <c r="G463" s="452"/>
      <c r="H463" s="452"/>
      <c r="I463" s="452"/>
      <c r="J463" s="452"/>
      <c r="K463" s="452"/>
      <c r="L463" s="452"/>
      <c r="M463" s="452"/>
      <c r="N463" s="452"/>
      <c r="O463" s="452"/>
      <c r="P463" s="452"/>
      <c r="Q463" s="452"/>
      <c r="R463" s="452"/>
      <c r="S463" s="452"/>
      <c r="T463" s="452"/>
      <c r="U463" s="452"/>
      <c r="V463" s="452"/>
      <c r="W463" s="452"/>
      <c r="X463" s="452"/>
      <c r="Y463" s="452"/>
    </row>
    <row r="464" spans="1:25" ht="15.6">
      <c r="A464" s="452"/>
      <c r="B464" s="452"/>
      <c r="C464" s="452"/>
      <c r="D464" s="452"/>
      <c r="E464" s="452"/>
      <c r="F464" s="452"/>
      <c r="G464" s="452"/>
      <c r="H464" s="452"/>
      <c r="I464" s="452"/>
      <c r="J464" s="452"/>
      <c r="K464" s="452"/>
      <c r="L464" s="452"/>
      <c r="M464" s="452"/>
      <c r="N464" s="452"/>
      <c r="O464" s="452"/>
      <c r="P464" s="452"/>
      <c r="Q464" s="452"/>
      <c r="R464" s="452"/>
      <c r="S464" s="452"/>
      <c r="T464" s="452"/>
      <c r="U464" s="452"/>
      <c r="V464" s="452"/>
      <c r="W464" s="452"/>
      <c r="X464" s="452"/>
      <c r="Y464" s="452"/>
    </row>
    <row r="465" spans="1:25" ht="15.6">
      <c r="A465" s="452"/>
      <c r="B465" s="452"/>
      <c r="C465" s="452"/>
      <c r="D465" s="452"/>
      <c r="E465" s="452"/>
      <c r="F465" s="452"/>
      <c r="G465" s="452"/>
      <c r="H465" s="452"/>
      <c r="I465" s="452"/>
      <c r="J465" s="452"/>
      <c r="K465" s="452"/>
      <c r="L465" s="452"/>
      <c r="M465" s="452"/>
      <c r="N465" s="452"/>
      <c r="O465" s="452"/>
      <c r="P465" s="452"/>
      <c r="Q465" s="452"/>
      <c r="R465" s="452"/>
      <c r="S465" s="452"/>
      <c r="T465" s="452"/>
      <c r="U465" s="452"/>
      <c r="V465" s="452"/>
      <c r="W465" s="452"/>
      <c r="X465" s="452"/>
      <c r="Y465" s="452"/>
    </row>
    <row r="466" spans="1:25" ht="15.6">
      <c r="A466" s="452"/>
      <c r="B466" s="452"/>
      <c r="C466" s="452"/>
      <c r="D466" s="452"/>
      <c r="E466" s="452"/>
      <c r="F466" s="452"/>
      <c r="G466" s="452"/>
      <c r="H466" s="452"/>
      <c r="I466" s="452"/>
      <c r="J466" s="452"/>
      <c r="K466" s="452"/>
      <c r="L466" s="452"/>
      <c r="M466" s="452"/>
      <c r="N466" s="452"/>
      <c r="O466" s="452"/>
      <c r="P466" s="452"/>
      <c r="Q466" s="452"/>
      <c r="R466" s="452"/>
      <c r="S466" s="452"/>
      <c r="T466" s="452"/>
      <c r="U466" s="452"/>
      <c r="V466" s="452"/>
      <c r="W466" s="452"/>
      <c r="X466" s="452"/>
      <c r="Y466" s="452"/>
    </row>
    <row r="467" spans="1:25" ht="15.6">
      <c r="A467" s="452"/>
      <c r="B467" s="452"/>
      <c r="C467" s="452"/>
      <c r="D467" s="452"/>
      <c r="E467" s="452"/>
      <c r="F467" s="452"/>
      <c r="G467" s="452"/>
      <c r="H467" s="452"/>
      <c r="I467" s="452"/>
      <c r="J467" s="452"/>
      <c r="K467" s="452"/>
      <c r="L467" s="452"/>
      <c r="M467" s="452"/>
      <c r="N467" s="452"/>
      <c r="O467" s="452"/>
      <c r="P467" s="452"/>
      <c r="Q467" s="452"/>
      <c r="R467" s="452"/>
      <c r="S467" s="452"/>
      <c r="T467" s="452"/>
      <c r="U467" s="452"/>
      <c r="V467" s="452"/>
      <c r="W467" s="452"/>
      <c r="X467" s="452"/>
      <c r="Y467" s="452"/>
    </row>
    <row r="468" spans="1:25" ht="15.6">
      <c r="A468" s="452"/>
      <c r="B468" s="452"/>
      <c r="C468" s="452"/>
      <c r="D468" s="452"/>
      <c r="E468" s="452"/>
      <c r="F468" s="452"/>
      <c r="G468" s="452"/>
      <c r="H468" s="452"/>
      <c r="I468" s="452"/>
      <c r="J468" s="452"/>
      <c r="K468" s="452"/>
      <c r="L468" s="452"/>
      <c r="M468" s="452"/>
      <c r="N468" s="452"/>
      <c r="O468" s="452"/>
      <c r="P468" s="452"/>
      <c r="Q468" s="452"/>
      <c r="R468" s="452"/>
      <c r="S468" s="452"/>
      <c r="T468" s="452"/>
      <c r="U468" s="452"/>
      <c r="V468" s="452"/>
      <c r="W468" s="452"/>
      <c r="X468" s="452"/>
      <c r="Y468" s="452"/>
    </row>
    <row r="469" spans="1:25" ht="15.6">
      <c r="A469" s="452"/>
      <c r="B469" s="452"/>
      <c r="C469" s="452"/>
      <c r="D469" s="452"/>
      <c r="E469" s="452"/>
      <c r="F469" s="452"/>
      <c r="G469" s="452"/>
      <c r="H469" s="452"/>
      <c r="I469" s="452"/>
      <c r="J469" s="452"/>
      <c r="K469" s="452"/>
      <c r="L469" s="452"/>
      <c r="M469" s="452"/>
      <c r="N469" s="452"/>
      <c r="O469" s="452"/>
      <c r="P469" s="452"/>
      <c r="Q469" s="452"/>
      <c r="R469" s="452"/>
      <c r="S469" s="452"/>
      <c r="T469" s="452"/>
      <c r="U469" s="452"/>
      <c r="V469" s="452"/>
      <c r="W469" s="452"/>
      <c r="X469" s="452"/>
      <c r="Y469" s="452"/>
    </row>
    <row r="470" spans="1:25" ht="15.6">
      <c r="A470" s="452"/>
      <c r="B470" s="452"/>
      <c r="C470" s="452"/>
      <c r="D470" s="452"/>
      <c r="E470" s="452"/>
      <c r="F470" s="452"/>
      <c r="G470" s="452"/>
      <c r="H470" s="452"/>
      <c r="I470" s="452"/>
      <c r="J470" s="452"/>
      <c r="K470" s="452"/>
      <c r="L470" s="452"/>
      <c r="M470" s="452"/>
      <c r="N470" s="452"/>
      <c r="O470" s="452"/>
      <c r="P470" s="452"/>
      <c r="Q470" s="452"/>
      <c r="R470" s="452"/>
      <c r="S470" s="452"/>
      <c r="T470" s="452"/>
      <c r="U470" s="452"/>
      <c r="V470" s="452"/>
      <c r="W470" s="452"/>
      <c r="X470" s="452"/>
      <c r="Y470" s="452"/>
    </row>
    <row r="471" spans="1:25" ht="15.6">
      <c r="A471" s="452"/>
      <c r="B471" s="452"/>
      <c r="C471" s="452"/>
      <c r="D471" s="452"/>
      <c r="E471" s="452"/>
      <c r="F471" s="452"/>
      <c r="G471" s="452"/>
      <c r="H471" s="452"/>
      <c r="I471" s="452"/>
      <c r="J471" s="452"/>
      <c r="K471" s="452"/>
      <c r="L471" s="452"/>
      <c r="M471" s="452"/>
      <c r="N471" s="452"/>
      <c r="O471" s="452"/>
      <c r="P471" s="452"/>
      <c r="Q471" s="452"/>
      <c r="R471" s="452"/>
      <c r="S471" s="452"/>
      <c r="T471" s="452"/>
      <c r="U471" s="452"/>
      <c r="V471" s="452"/>
      <c r="W471" s="452"/>
      <c r="X471" s="452"/>
      <c r="Y471" s="452"/>
    </row>
    <row r="472" spans="1:25" ht="15.6">
      <c r="A472" s="452"/>
      <c r="B472" s="452"/>
      <c r="C472" s="452"/>
      <c r="D472" s="452"/>
      <c r="E472" s="452"/>
      <c r="F472" s="452"/>
      <c r="G472" s="452"/>
      <c r="H472" s="452"/>
      <c r="I472" s="452"/>
      <c r="J472" s="452"/>
      <c r="K472" s="452"/>
      <c r="L472" s="452"/>
      <c r="M472" s="452"/>
      <c r="N472" s="452"/>
      <c r="O472" s="452"/>
      <c r="P472" s="452"/>
      <c r="Q472" s="452"/>
      <c r="R472" s="452"/>
      <c r="S472" s="452"/>
      <c r="T472" s="452"/>
      <c r="U472" s="452"/>
      <c r="V472" s="452"/>
      <c r="W472" s="452"/>
      <c r="X472" s="452"/>
      <c r="Y472" s="452"/>
    </row>
    <row r="473" spans="1:25" ht="15.6">
      <c r="A473" s="452"/>
      <c r="B473" s="452"/>
      <c r="C473" s="452"/>
      <c r="D473" s="452"/>
      <c r="E473" s="452"/>
      <c r="F473" s="452"/>
      <c r="G473" s="452"/>
      <c r="H473" s="452"/>
      <c r="I473" s="452"/>
      <c r="J473" s="452"/>
      <c r="K473" s="452"/>
      <c r="L473" s="452"/>
      <c r="M473" s="452"/>
      <c r="N473" s="452"/>
      <c r="O473" s="452"/>
      <c r="P473" s="452"/>
      <c r="Q473" s="452"/>
      <c r="R473" s="452"/>
      <c r="S473" s="452"/>
      <c r="T473" s="452"/>
      <c r="U473" s="452"/>
      <c r="V473" s="452"/>
      <c r="W473" s="452"/>
      <c r="X473" s="452"/>
      <c r="Y473" s="452"/>
    </row>
    <row r="474" spans="1:25" ht="15.6">
      <c r="A474" s="452"/>
      <c r="B474" s="452"/>
      <c r="C474" s="452"/>
      <c r="D474" s="452"/>
      <c r="E474" s="452"/>
      <c r="F474" s="452"/>
      <c r="G474" s="452"/>
      <c r="H474" s="452"/>
      <c r="I474" s="452"/>
      <c r="J474" s="452"/>
      <c r="K474" s="452"/>
      <c r="L474" s="452"/>
      <c r="M474" s="452"/>
      <c r="N474" s="452"/>
      <c r="O474" s="452"/>
      <c r="P474" s="452"/>
      <c r="Q474" s="452"/>
      <c r="R474" s="452"/>
      <c r="S474" s="452"/>
      <c r="T474" s="452"/>
      <c r="U474" s="452"/>
      <c r="V474" s="452"/>
      <c r="W474" s="452"/>
      <c r="X474" s="452"/>
      <c r="Y474" s="452"/>
    </row>
    <row r="475" spans="1:25" ht="15.6">
      <c r="A475" s="452"/>
      <c r="B475" s="452"/>
      <c r="C475" s="452"/>
      <c r="D475" s="452"/>
      <c r="E475" s="452"/>
      <c r="F475" s="452"/>
      <c r="G475" s="452"/>
      <c r="H475" s="452"/>
      <c r="I475" s="452"/>
      <c r="J475" s="452"/>
      <c r="K475" s="452"/>
      <c r="L475" s="452"/>
      <c r="M475" s="452"/>
      <c r="N475" s="452"/>
      <c r="O475" s="452"/>
      <c r="P475" s="452"/>
      <c r="Q475" s="452"/>
      <c r="R475" s="452"/>
      <c r="S475" s="452"/>
      <c r="T475" s="452"/>
      <c r="U475" s="452"/>
      <c r="V475" s="452"/>
      <c r="W475" s="452"/>
      <c r="X475" s="452"/>
      <c r="Y475" s="452"/>
    </row>
    <row r="476" spans="1:25" ht="15.6">
      <c r="A476" s="452"/>
      <c r="B476" s="452"/>
      <c r="C476" s="452"/>
      <c r="D476" s="452"/>
      <c r="E476" s="452"/>
      <c r="F476" s="452"/>
      <c r="G476" s="452"/>
      <c r="H476" s="452"/>
      <c r="I476" s="452"/>
      <c r="J476" s="452"/>
      <c r="K476" s="452"/>
      <c r="L476" s="452"/>
      <c r="M476" s="452"/>
      <c r="N476" s="452"/>
      <c r="O476" s="452"/>
      <c r="P476" s="452"/>
      <c r="Q476" s="452"/>
      <c r="R476" s="452"/>
      <c r="S476" s="452"/>
      <c r="T476" s="452"/>
      <c r="U476" s="452"/>
      <c r="V476" s="452"/>
      <c r="W476" s="452"/>
      <c r="X476" s="452"/>
      <c r="Y476" s="452"/>
    </row>
    <row r="477" spans="1:25" ht="15.6">
      <c r="A477" s="452"/>
      <c r="B477" s="452"/>
      <c r="C477" s="452"/>
      <c r="D477" s="452"/>
      <c r="E477" s="452"/>
      <c r="F477" s="452"/>
      <c r="G477" s="452"/>
      <c r="H477" s="452"/>
      <c r="I477" s="452"/>
      <c r="J477" s="452"/>
      <c r="K477" s="452"/>
      <c r="L477" s="452"/>
      <c r="M477" s="452"/>
      <c r="N477" s="452"/>
      <c r="O477" s="452"/>
      <c r="P477" s="452"/>
      <c r="Q477" s="452"/>
      <c r="R477" s="452"/>
      <c r="S477" s="452"/>
      <c r="T477" s="452"/>
      <c r="U477" s="452"/>
      <c r="V477" s="452"/>
      <c r="W477" s="452"/>
      <c r="X477" s="452"/>
      <c r="Y477" s="452"/>
    </row>
    <row r="478" spans="1:25" ht="15.6">
      <c r="A478" s="452"/>
      <c r="B478" s="452"/>
      <c r="C478" s="452"/>
      <c r="D478" s="452"/>
      <c r="E478" s="452"/>
      <c r="F478" s="452"/>
      <c r="G478" s="452"/>
      <c r="H478" s="452"/>
      <c r="I478" s="452"/>
      <c r="J478" s="452"/>
      <c r="K478" s="452"/>
      <c r="L478" s="452"/>
      <c r="M478" s="452"/>
      <c r="N478" s="452"/>
      <c r="O478" s="452"/>
      <c r="P478" s="452"/>
      <c r="Q478" s="452"/>
      <c r="R478" s="452"/>
      <c r="S478" s="452"/>
      <c r="T478" s="452"/>
      <c r="U478" s="452"/>
      <c r="V478" s="452"/>
      <c r="W478" s="452"/>
      <c r="X478" s="452"/>
      <c r="Y478" s="452"/>
    </row>
    <row r="479" spans="1:25" ht="15.6">
      <c r="A479" s="452"/>
      <c r="B479" s="452"/>
      <c r="C479" s="452"/>
      <c r="D479" s="452"/>
      <c r="E479" s="452"/>
      <c r="F479" s="452"/>
      <c r="G479" s="452"/>
      <c r="H479" s="452"/>
      <c r="I479" s="452"/>
      <c r="J479" s="452"/>
      <c r="K479" s="452"/>
      <c r="L479" s="452"/>
      <c r="M479" s="452"/>
      <c r="N479" s="452"/>
      <c r="O479" s="452"/>
      <c r="P479" s="452"/>
      <c r="Q479" s="452"/>
      <c r="R479" s="452"/>
      <c r="S479" s="452"/>
      <c r="T479" s="452"/>
      <c r="U479" s="452"/>
      <c r="V479" s="452"/>
      <c r="W479" s="452"/>
      <c r="X479" s="452"/>
      <c r="Y479" s="452"/>
    </row>
    <row r="480" spans="1:25" ht="15.6">
      <c r="A480" s="452"/>
      <c r="B480" s="452"/>
      <c r="C480" s="452"/>
      <c r="D480" s="452"/>
      <c r="E480" s="452"/>
      <c r="F480" s="452"/>
      <c r="G480" s="452"/>
      <c r="H480" s="452"/>
      <c r="I480" s="452"/>
      <c r="J480" s="452"/>
      <c r="K480" s="452"/>
      <c r="L480" s="452"/>
      <c r="M480" s="452"/>
      <c r="N480" s="452"/>
      <c r="O480" s="452"/>
      <c r="P480" s="452"/>
      <c r="Q480" s="452"/>
      <c r="R480" s="452"/>
      <c r="S480" s="452"/>
      <c r="T480" s="452"/>
      <c r="U480" s="452"/>
      <c r="V480" s="452"/>
      <c r="W480" s="452"/>
      <c r="X480" s="452"/>
      <c r="Y480" s="452"/>
    </row>
    <row r="481" spans="1:25" ht="15.6">
      <c r="A481" s="452"/>
      <c r="B481" s="452"/>
      <c r="C481" s="452"/>
      <c r="D481" s="452"/>
      <c r="E481" s="452"/>
      <c r="F481" s="452"/>
      <c r="G481" s="452"/>
      <c r="H481" s="452"/>
      <c r="I481" s="452"/>
      <c r="J481" s="452"/>
      <c r="K481" s="452"/>
      <c r="L481" s="452"/>
      <c r="M481" s="452"/>
      <c r="N481" s="452"/>
      <c r="O481" s="452"/>
      <c r="P481" s="452"/>
      <c r="Q481" s="452"/>
      <c r="R481" s="452"/>
      <c r="S481" s="452"/>
      <c r="T481" s="452"/>
      <c r="U481" s="452"/>
      <c r="V481" s="452"/>
      <c r="W481" s="452"/>
      <c r="X481" s="452"/>
      <c r="Y481" s="452"/>
    </row>
    <row r="482" spans="1:25" ht="15.6">
      <c r="A482" s="452"/>
      <c r="B482" s="452"/>
      <c r="C482" s="452"/>
      <c r="D482" s="452"/>
      <c r="E482" s="452"/>
      <c r="F482" s="452"/>
      <c r="G482" s="452"/>
      <c r="H482" s="452"/>
      <c r="I482" s="452"/>
      <c r="J482" s="452"/>
      <c r="K482" s="452"/>
      <c r="L482" s="452"/>
      <c r="M482" s="452"/>
      <c r="N482" s="452"/>
      <c r="O482" s="452"/>
      <c r="P482" s="452"/>
      <c r="Q482" s="452"/>
      <c r="R482" s="452"/>
      <c r="S482" s="452"/>
      <c r="T482" s="452"/>
      <c r="U482" s="452"/>
      <c r="V482" s="452"/>
      <c r="W482" s="452"/>
      <c r="X482" s="452"/>
      <c r="Y482" s="452"/>
    </row>
    <row r="483" spans="1:25" ht="15.6">
      <c r="A483" s="452"/>
      <c r="B483" s="452"/>
      <c r="C483" s="452"/>
      <c r="D483" s="452"/>
      <c r="E483" s="452"/>
      <c r="F483" s="452"/>
      <c r="G483" s="452"/>
      <c r="H483" s="452"/>
      <c r="I483" s="452"/>
      <c r="J483" s="452"/>
      <c r="K483" s="452"/>
      <c r="L483" s="452"/>
      <c r="M483" s="452"/>
      <c r="N483" s="452"/>
      <c r="O483" s="452"/>
      <c r="P483" s="452"/>
      <c r="Q483" s="452"/>
      <c r="R483" s="452"/>
      <c r="S483" s="452"/>
      <c r="T483" s="452"/>
      <c r="U483" s="452"/>
      <c r="V483" s="452"/>
      <c r="W483" s="452"/>
      <c r="X483" s="452"/>
      <c r="Y483" s="452"/>
    </row>
    <row r="484" spans="1:25" ht="15.6">
      <c r="A484" s="452"/>
      <c r="B484" s="452"/>
      <c r="C484" s="452"/>
      <c r="D484" s="452"/>
      <c r="E484" s="452"/>
      <c r="F484" s="452"/>
      <c r="G484" s="452"/>
      <c r="H484" s="452"/>
      <c r="I484" s="452"/>
      <c r="J484" s="452"/>
      <c r="K484" s="452"/>
      <c r="L484" s="452"/>
      <c r="M484" s="452"/>
      <c r="N484" s="452"/>
      <c r="O484" s="452"/>
      <c r="P484" s="452"/>
      <c r="Q484" s="452"/>
      <c r="R484" s="452"/>
      <c r="S484" s="452"/>
      <c r="T484" s="452"/>
      <c r="U484" s="452"/>
      <c r="V484" s="452"/>
      <c r="W484" s="452"/>
      <c r="X484" s="452"/>
      <c r="Y484" s="452"/>
    </row>
    <row r="485" spans="1:25" ht="15.6">
      <c r="A485" s="452"/>
      <c r="B485" s="452"/>
      <c r="C485" s="452"/>
      <c r="D485" s="452"/>
      <c r="E485" s="452"/>
      <c r="F485" s="452"/>
      <c r="G485" s="452"/>
      <c r="H485" s="452"/>
      <c r="I485" s="452"/>
      <c r="J485" s="452"/>
      <c r="K485" s="452"/>
      <c r="L485" s="452"/>
      <c r="M485" s="452"/>
      <c r="N485" s="452"/>
      <c r="O485" s="452"/>
      <c r="P485" s="452"/>
      <c r="Q485" s="452"/>
      <c r="R485" s="452"/>
      <c r="S485" s="452"/>
      <c r="T485" s="452"/>
      <c r="U485" s="452"/>
      <c r="V485" s="452"/>
      <c r="W485" s="452"/>
      <c r="X485" s="452"/>
      <c r="Y485" s="452"/>
    </row>
    <row r="486" spans="1:25" ht="15.6">
      <c r="A486" s="452"/>
      <c r="B486" s="452"/>
      <c r="C486" s="452"/>
      <c r="D486" s="452"/>
      <c r="E486" s="452"/>
      <c r="F486" s="452"/>
      <c r="G486" s="452"/>
      <c r="H486" s="452"/>
      <c r="I486" s="452"/>
      <c r="J486" s="452"/>
      <c r="K486" s="452"/>
      <c r="L486" s="452"/>
      <c r="M486" s="452"/>
      <c r="N486" s="452"/>
      <c r="O486" s="452"/>
      <c r="P486" s="452"/>
      <c r="Q486" s="452"/>
      <c r="R486" s="452"/>
      <c r="S486" s="452"/>
      <c r="T486" s="452"/>
      <c r="U486" s="452"/>
      <c r="V486" s="452"/>
      <c r="W486" s="452"/>
      <c r="X486" s="452"/>
      <c r="Y486" s="452"/>
    </row>
    <row r="487" spans="1:25" ht="15.6">
      <c r="A487" s="452"/>
      <c r="B487" s="452"/>
      <c r="C487" s="452"/>
      <c r="D487" s="452"/>
      <c r="E487" s="452"/>
      <c r="F487" s="452"/>
      <c r="G487" s="452"/>
      <c r="H487" s="452"/>
      <c r="I487" s="452"/>
      <c r="J487" s="452"/>
      <c r="K487" s="452"/>
      <c r="L487" s="452"/>
      <c r="M487" s="452"/>
      <c r="N487" s="452"/>
      <c r="O487" s="452"/>
      <c r="P487" s="452"/>
      <c r="Q487" s="452"/>
      <c r="R487" s="452"/>
      <c r="S487" s="452"/>
      <c r="T487" s="452"/>
      <c r="U487" s="452"/>
      <c r="V487" s="452"/>
      <c r="W487" s="452"/>
      <c r="X487" s="452"/>
      <c r="Y487" s="452"/>
    </row>
    <row r="488" spans="1:25" ht="15.6">
      <c r="A488" s="452"/>
      <c r="B488" s="452"/>
      <c r="C488" s="452"/>
      <c r="D488" s="452"/>
      <c r="E488" s="452"/>
      <c r="F488" s="452"/>
      <c r="G488" s="452"/>
      <c r="H488" s="452"/>
      <c r="I488" s="452"/>
      <c r="J488" s="452"/>
      <c r="K488" s="452"/>
      <c r="L488" s="452"/>
      <c r="M488" s="452"/>
      <c r="N488" s="452"/>
      <c r="O488" s="452"/>
      <c r="P488" s="452"/>
      <c r="Q488" s="452"/>
      <c r="R488" s="452"/>
      <c r="S488" s="452"/>
      <c r="T488" s="452"/>
      <c r="U488" s="452"/>
      <c r="V488" s="452"/>
      <c r="W488" s="452"/>
      <c r="X488" s="452"/>
      <c r="Y488" s="452"/>
    </row>
    <row r="489" spans="1:25" ht="15.6">
      <c r="A489" s="452"/>
      <c r="B489" s="452"/>
      <c r="C489" s="452"/>
      <c r="D489" s="452"/>
      <c r="E489" s="452"/>
      <c r="F489" s="452"/>
      <c r="G489" s="452"/>
      <c r="H489" s="452"/>
      <c r="I489" s="452"/>
      <c r="J489" s="452"/>
      <c r="K489" s="452"/>
      <c r="L489" s="452"/>
      <c r="M489" s="452"/>
      <c r="N489" s="452"/>
      <c r="O489" s="452"/>
      <c r="P489" s="452"/>
      <c r="Q489" s="452"/>
      <c r="R489" s="452"/>
      <c r="S489" s="452"/>
      <c r="T489" s="452"/>
      <c r="U489" s="452"/>
      <c r="V489" s="452"/>
      <c r="W489" s="452"/>
      <c r="X489" s="452"/>
      <c r="Y489" s="452"/>
    </row>
    <row r="490" spans="1:25" ht="15.6">
      <c r="A490" s="452"/>
      <c r="B490" s="452"/>
      <c r="C490" s="452"/>
      <c r="D490" s="452"/>
      <c r="E490" s="452"/>
      <c r="F490" s="452"/>
      <c r="G490" s="452"/>
      <c r="H490" s="452"/>
      <c r="I490" s="452"/>
      <c r="J490" s="452"/>
      <c r="K490" s="452"/>
      <c r="L490" s="452"/>
      <c r="M490" s="452"/>
      <c r="N490" s="452"/>
      <c r="O490" s="452"/>
      <c r="P490" s="452"/>
      <c r="Q490" s="452"/>
      <c r="R490" s="452"/>
      <c r="S490" s="452"/>
      <c r="T490" s="452"/>
      <c r="U490" s="452"/>
      <c r="V490" s="452"/>
      <c r="W490" s="452"/>
      <c r="X490" s="452"/>
      <c r="Y490" s="452"/>
    </row>
    <row r="491" spans="1:25" ht="15.6">
      <c r="A491" s="452"/>
      <c r="B491" s="452"/>
      <c r="C491" s="452"/>
      <c r="D491" s="452"/>
      <c r="E491" s="452"/>
      <c r="F491" s="452"/>
      <c r="G491" s="452"/>
      <c r="H491" s="452"/>
      <c r="I491" s="452"/>
      <c r="J491" s="452"/>
      <c r="K491" s="452"/>
      <c r="L491" s="452"/>
      <c r="M491" s="452"/>
      <c r="N491" s="452"/>
      <c r="O491" s="452"/>
      <c r="P491" s="452"/>
      <c r="Q491" s="452"/>
      <c r="R491" s="452"/>
      <c r="S491" s="452"/>
      <c r="T491" s="452"/>
      <c r="U491" s="452"/>
      <c r="V491" s="452"/>
      <c r="W491" s="452"/>
      <c r="X491" s="452"/>
      <c r="Y491" s="452"/>
    </row>
    <row r="492" spans="1:25" ht="15.6">
      <c r="A492" s="452"/>
      <c r="B492" s="452"/>
      <c r="C492" s="452"/>
      <c r="D492" s="452"/>
      <c r="E492" s="452"/>
      <c r="F492" s="452"/>
      <c r="G492" s="452"/>
      <c r="H492" s="452"/>
      <c r="I492" s="452"/>
      <c r="J492" s="452"/>
      <c r="K492" s="452"/>
      <c r="L492" s="452"/>
      <c r="M492" s="452"/>
      <c r="N492" s="452"/>
      <c r="O492" s="452"/>
      <c r="P492" s="452"/>
      <c r="Q492" s="452"/>
      <c r="R492" s="452"/>
      <c r="S492" s="452"/>
      <c r="T492" s="452"/>
      <c r="U492" s="452"/>
      <c r="V492" s="452"/>
      <c r="W492" s="452"/>
      <c r="X492" s="452"/>
      <c r="Y492" s="452"/>
    </row>
    <row r="493" spans="1:25" ht="15.6">
      <c r="A493" s="452"/>
      <c r="B493" s="452"/>
      <c r="C493" s="452"/>
      <c r="D493" s="452"/>
      <c r="E493" s="452"/>
      <c r="F493" s="452"/>
      <c r="G493" s="452"/>
      <c r="H493" s="452"/>
      <c r="I493" s="452"/>
      <c r="J493" s="452"/>
      <c r="K493" s="452"/>
      <c r="L493" s="452"/>
      <c r="M493" s="452"/>
      <c r="N493" s="452"/>
      <c r="O493" s="452"/>
      <c r="P493" s="452"/>
      <c r="Q493" s="452"/>
      <c r="R493" s="452"/>
      <c r="S493" s="452"/>
      <c r="T493" s="452"/>
      <c r="U493" s="452"/>
      <c r="V493" s="452"/>
      <c r="W493" s="452"/>
      <c r="X493" s="452"/>
      <c r="Y493" s="452"/>
    </row>
    <row r="494" spans="1:25" ht="15.6">
      <c r="A494" s="452"/>
      <c r="B494" s="452"/>
      <c r="C494" s="452"/>
      <c r="D494" s="452"/>
      <c r="E494" s="452"/>
      <c r="F494" s="452"/>
      <c r="G494" s="452"/>
      <c r="H494" s="452"/>
      <c r="I494" s="452"/>
      <c r="J494" s="452"/>
      <c r="K494" s="452"/>
      <c r="L494" s="452"/>
      <c r="M494" s="452"/>
      <c r="N494" s="452"/>
      <c r="O494" s="452"/>
      <c r="P494" s="452"/>
      <c r="Q494" s="452"/>
      <c r="R494" s="452"/>
      <c r="S494" s="452"/>
      <c r="T494" s="452"/>
      <c r="U494" s="452"/>
      <c r="V494" s="452"/>
      <c r="W494" s="452"/>
      <c r="X494" s="452"/>
      <c r="Y494" s="452"/>
    </row>
    <row r="495" spans="1:25" ht="15.6">
      <c r="A495" s="452"/>
      <c r="B495" s="452"/>
      <c r="C495" s="452"/>
      <c r="D495" s="452"/>
      <c r="E495" s="452"/>
      <c r="F495" s="452"/>
      <c r="G495" s="452"/>
      <c r="H495" s="452"/>
      <c r="I495" s="452"/>
      <c r="J495" s="452"/>
      <c r="K495" s="452"/>
      <c r="L495" s="452"/>
      <c r="M495" s="452"/>
      <c r="N495" s="452"/>
      <c r="O495" s="452"/>
      <c r="P495" s="452"/>
      <c r="Q495" s="452"/>
      <c r="R495" s="452"/>
      <c r="S495" s="452"/>
      <c r="T495" s="452"/>
      <c r="U495" s="452"/>
      <c r="V495" s="452"/>
      <c r="W495" s="452"/>
      <c r="X495" s="452"/>
      <c r="Y495" s="452"/>
    </row>
    <row r="496" spans="1:25" ht="15.6">
      <c r="A496" s="452"/>
      <c r="B496" s="452"/>
      <c r="C496" s="452"/>
      <c r="D496" s="452"/>
      <c r="E496" s="452"/>
      <c r="F496" s="452"/>
      <c r="G496" s="452"/>
      <c r="H496" s="452"/>
      <c r="I496" s="452"/>
      <c r="J496" s="452"/>
      <c r="K496" s="452"/>
      <c r="L496" s="452"/>
      <c r="M496" s="452"/>
      <c r="N496" s="452"/>
      <c r="O496" s="452"/>
      <c r="P496" s="452"/>
      <c r="Q496" s="452"/>
      <c r="R496" s="452"/>
      <c r="S496" s="452"/>
      <c r="T496" s="452"/>
      <c r="U496" s="452"/>
      <c r="V496" s="452"/>
      <c r="W496" s="452"/>
      <c r="X496" s="452"/>
      <c r="Y496" s="452"/>
    </row>
    <row r="497" spans="1:25" ht="15.6">
      <c r="A497" s="452"/>
      <c r="B497" s="452"/>
      <c r="C497" s="452"/>
      <c r="D497" s="452"/>
      <c r="E497" s="452"/>
      <c r="F497" s="452"/>
      <c r="G497" s="452"/>
      <c r="H497" s="452"/>
      <c r="I497" s="452"/>
      <c r="J497" s="452"/>
      <c r="K497" s="452"/>
      <c r="L497" s="452"/>
      <c r="M497" s="452"/>
      <c r="N497" s="452"/>
      <c r="O497" s="452"/>
      <c r="P497" s="452"/>
      <c r="Q497" s="452"/>
      <c r="R497" s="452"/>
      <c r="S497" s="452"/>
      <c r="T497" s="452"/>
      <c r="U497" s="452"/>
      <c r="V497" s="452"/>
      <c r="W497" s="452"/>
      <c r="X497" s="452"/>
      <c r="Y497" s="452"/>
    </row>
    <row r="498" spans="1:25" ht="15.6">
      <c r="A498" s="452"/>
      <c r="B498" s="452"/>
      <c r="C498" s="452"/>
      <c r="D498" s="452"/>
      <c r="E498" s="452"/>
      <c r="F498" s="452"/>
      <c r="G498" s="452"/>
      <c r="H498" s="452"/>
      <c r="I498" s="452"/>
      <c r="J498" s="452"/>
      <c r="K498" s="452"/>
      <c r="L498" s="452"/>
      <c r="M498" s="452"/>
      <c r="N498" s="452"/>
      <c r="O498" s="452"/>
      <c r="P498" s="452"/>
      <c r="Q498" s="452"/>
      <c r="R498" s="452"/>
      <c r="S498" s="452"/>
      <c r="T498" s="452"/>
      <c r="U498" s="452"/>
      <c r="V498" s="452"/>
      <c r="W498" s="452"/>
      <c r="X498" s="452"/>
      <c r="Y498" s="452"/>
    </row>
    <row r="499" spans="1:25" ht="15.6">
      <c r="A499" s="452"/>
      <c r="B499" s="452"/>
      <c r="C499" s="452"/>
      <c r="D499" s="452"/>
      <c r="E499" s="452"/>
      <c r="F499" s="452"/>
      <c r="G499" s="452"/>
      <c r="H499" s="452"/>
      <c r="I499" s="452"/>
      <c r="J499" s="452"/>
      <c r="K499" s="452"/>
      <c r="L499" s="452"/>
      <c r="M499" s="452"/>
      <c r="N499" s="452"/>
      <c r="O499" s="452"/>
      <c r="P499" s="452"/>
      <c r="Q499" s="452"/>
      <c r="R499" s="452"/>
      <c r="S499" s="452"/>
      <c r="T499" s="452"/>
      <c r="U499" s="452"/>
      <c r="V499" s="452"/>
      <c r="W499" s="452"/>
      <c r="X499" s="452"/>
      <c r="Y499" s="452"/>
    </row>
    <row r="500" spans="1:25" ht="15.6">
      <c r="A500" s="452"/>
      <c r="B500" s="452"/>
      <c r="C500" s="452"/>
      <c r="D500" s="452"/>
      <c r="E500" s="452"/>
      <c r="F500" s="452"/>
      <c r="G500" s="452"/>
      <c r="H500" s="452"/>
      <c r="I500" s="452"/>
      <c r="J500" s="452"/>
      <c r="K500" s="452"/>
      <c r="L500" s="452"/>
      <c r="M500" s="452"/>
      <c r="N500" s="452"/>
      <c r="O500" s="452"/>
      <c r="P500" s="452"/>
      <c r="Q500" s="452"/>
      <c r="R500" s="452"/>
      <c r="S500" s="452"/>
      <c r="T500" s="452"/>
      <c r="U500" s="452"/>
      <c r="V500" s="452"/>
      <c r="W500" s="452"/>
      <c r="X500" s="452"/>
      <c r="Y500" s="452"/>
    </row>
    <row r="501" spans="1:25" ht="15.6">
      <c r="A501" s="452"/>
      <c r="B501" s="452"/>
      <c r="C501" s="452"/>
      <c r="D501" s="452"/>
      <c r="E501" s="452"/>
      <c r="F501" s="452"/>
      <c r="G501" s="452"/>
      <c r="H501" s="452"/>
      <c r="I501" s="452"/>
      <c r="J501" s="452"/>
      <c r="K501" s="452"/>
      <c r="L501" s="452"/>
      <c r="M501" s="452"/>
      <c r="N501" s="452"/>
      <c r="O501" s="452"/>
      <c r="P501" s="452"/>
      <c r="Q501" s="452"/>
      <c r="R501" s="452"/>
      <c r="S501" s="452"/>
      <c r="T501" s="452"/>
      <c r="U501" s="452"/>
      <c r="V501" s="452"/>
      <c r="W501" s="452"/>
      <c r="X501" s="452"/>
      <c r="Y501" s="452"/>
    </row>
    <row r="502" spans="1:25" ht="15.6">
      <c r="A502" s="452"/>
      <c r="B502" s="452"/>
      <c r="C502" s="452"/>
      <c r="D502" s="452"/>
      <c r="E502" s="452"/>
      <c r="F502" s="452"/>
      <c r="G502" s="452"/>
      <c r="H502" s="452"/>
      <c r="I502" s="452"/>
      <c r="J502" s="452"/>
      <c r="K502" s="452"/>
      <c r="L502" s="452"/>
      <c r="M502" s="452"/>
      <c r="N502" s="452"/>
      <c r="O502" s="452"/>
      <c r="P502" s="452"/>
      <c r="Q502" s="452"/>
      <c r="R502" s="452"/>
      <c r="S502" s="452"/>
      <c r="T502" s="452"/>
      <c r="U502" s="452"/>
      <c r="V502" s="452"/>
      <c r="W502" s="452"/>
      <c r="X502" s="452"/>
      <c r="Y502" s="452"/>
    </row>
    <row r="503" spans="1:25" ht="15.6">
      <c r="A503" s="452"/>
      <c r="B503" s="452"/>
      <c r="C503" s="452"/>
      <c r="D503" s="452"/>
      <c r="E503" s="452"/>
      <c r="F503" s="452"/>
      <c r="G503" s="452"/>
      <c r="H503" s="452"/>
      <c r="I503" s="452"/>
      <c r="J503" s="452"/>
      <c r="K503" s="452"/>
      <c r="L503" s="452"/>
      <c r="M503" s="452"/>
      <c r="N503" s="452"/>
      <c r="O503" s="452"/>
      <c r="P503" s="452"/>
      <c r="Q503" s="452"/>
      <c r="R503" s="452"/>
      <c r="S503" s="452"/>
      <c r="T503" s="452"/>
      <c r="U503" s="452"/>
      <c r="V503" s="452"/>
      <c r="W503" s="452"/>
      <c r="X503" s="452"/>
      <c r="Y503" s="452"/>
    </row>
    <row r="504" spans="1:25" ht="15.6">
      <c r="A504" s="452"/>
      <c r="B504" s="452"/>
      <c r="C504" s="452"/>
      <c r="D504" s="452"/>
      <c r="E504" s="452"/>
      <c r="F504" s="452"/>
      <c r="G504" s="452"/>
      <c r="H504" s="452"/>
      <c r="I504" s="452"/>
      <c r="J504" s="452"/>
      <c r="K504" s="452"/>
      <c r="L504" s="452"/>
      <c r="M504" s="452"/>
      <c r="N504" s="452"/>
      <c r="O504" s="452"/>
      <c r="P504" s="452"/>
      <c r="Q504" s="452"/>
      <c r="R504" s="452"/>
      <c r="S504" s="452"/>
      <c r="T504" s="452"/>
      <c r="U504" s="452"/>
      <c r="V504" s="452"/>
      <c r="W504" s="452"/>
      <c r="X504" s="452"/>
      <c r="Y504" s="452"/>
    </row>
    <row r="505" spans="1:25" ht="15.6">
      <c r="A505" s="452"/>
      <c r="B505" s="452"/>
      <c r="C505" s="452"/>
      <c r="D505" s="452"/>
      <c r="E505" s="452"/>
      <c r="F505" s="452"/>
      <c r="G505" s="452"/>
      <c r="H505" s="452"/>
      <c r="I505" s="452"/>
      <c r="J505" s="452"/>
      <c r="K505" s="452"/>
      <c r="L505" s="452"/>
      <c r="M505" s="452"/>
      <c r="N505" s="452"/>
      <c r="O505" s="452"/>
      <c r="P505" s="452"/>
      <c r="Q505" s="452"/>
      <c r="R505" s="452"/>
      <c r="S505" s="452"/>
      <c r="T505" s="452"/>
      <c r="U505" s="452"/>
      <c r="V505" s="452"/>
      <c r="W505" s="452"/>
      <c r="X505" s="452"/>
      <c r="Y505" s="452"/>
    </row>
    <row r="506" spans="1:25" ht="15.6">
      <c r="A506" s="452"/>
      <c r="B506" s="452"/>
      <c r="C506" s="452"/>
      <c r="D506" s="452"/>
      <c r="E506" s="452"/>
      <c r="F506" s="452"/>
      <c r="G506" s="452"/>
      <c r="H506" s="452"/>
      <c r="I506" s="452"/>
      <c r="J506" s="452"/>
      <c r="K506" s="452"/>
      <c r="L506" s="452"/>
      <c r="M506" s="452"/>
      <c r="N506" s="452"/>
      <c r="O506" s="452"/>
      <c r="P506" s="452"/>
      <c r="Q506" s="452"/>
      <c r="R506" s="452"/>
      <c r="S506" s="452"/>
      <c r="T506" s="452"/>
      <c r="U506" s="452"/>
      <c r="V506" s="452"/>
      <c r="W506" s="452"/>
      <c r="X506" s="452"/>
      <c r="Y506" s="452"/>
    </row>
    <row r="507" spans="1:25" ht="15.6">
      <c r="A507" s="452"/>
      <c r="B507" s="452"/>
      <c r="C507" s="452"/>
      <c r="D507" s="452"/>
      <c r="E507" s="452"/>
      <c r="F507" s="452"/>
      <c r="G507" s="452"/>
      <c r="H507" s="452"/>
      <c r="I507" s="452"/>
      <c r="J507" s="452"/>
      <c r="K507" s="452"/>
      <c r="L507" s="452"/>
      <c r="M507" s="452"/>
      <c r="N507" s="452"/>
      <c r="O507" s="452"/>
      <c r="P507" s="452"/>
      <c r="Q507" s="452"/>
      <c r="R507" s="452"/>
      <c r="S507" s="452"/>
      <c r="T507" s="452"/>
      <c r="U507" s="452"/>
      <c r="V507" s="452"/>
      <c r="W507" s="452"/>
      <c r="X507" s="452"/>
      <c r="Y507" s="452"/>
    </row>
    <row r="508" spans="1:25" ht="15.6">
      <c r="A508" s="452"/>
      <c r="B508" s="452"/>
      <c r="C508" s="452"/>
      <c r="D508" s="452"/>
      <c r="E508" s="452"/>
      <c r="F508" s="452"/>
      <c r="G508" s="452"/>
      <c r="H508" s="452"/>
      <c r="I508" s="452"/>
      <c r="J508" s="452"/>
      <c r="K508" s="452"/>
      <c r="L508" s="452"/>
      <c r="M508" s="452"/>
      <c r="N508" s="452"/>
      <c r="O508" s="452"/>
      <c r="P508" s="452"/>
      <c r="Q508" s="452"/>
      <c r="R508" s="452"/>
      <c r="S508" s="452"/>
      <c r="T508" s="452"/>
      <c r="U508" s="452"/>
      <c r="V508" s="452"/>
      <c r="W508" s="452"/>
      <c r="X508" s="452"/>
      <c r="Y508" s="452"/>
    </row>
    <row r="509" spans="1:25" ht="15.6">
      <c r="A509" s="452"/>
      <c r="B509" s="452"/>
      <c r="C509" s="452"/>
      <c r="D509" s="452"/>
      <c r="E509" s="452"/>
      <c r="F509" s="452"/>
      <c r="G509" s="452"/>
      <c r="H509" s="452"/>
      <c r="I509" s="452"/>
      <c r="J509" s="452"/>
      <c r="K509" s="452"/>
      <c r="L509" s="452"/>
      <c r="M509" s="452"/>
      <c r="N509" s="452"/>
      <c r="O509" s="452"/>
      <c r="P509" s="452"/>
      <c r="Q509" s="452"/>
      <c r="R509" s="452"/>
      <c r="S509" s="452"/>
      <c r="T509" s="452"/>
      <c r="U509" s="452"/>
      <c r="V509" s="452"/>
      <c r="W509" s="452"/>
      <c r="X509" s="452"/>
      <c r="Y509" s="452"/>
    </row>
    <row r="510" spans="1:25" ht="15.6">
      <c r="A510" s="452"/>
      <c r="B510" s="452"/>
      <c r="C510" s="452"/>
      <c r="D510" s="452"/>
      <c r="E510" s="452"/>
      <c r="F510" s="452"/>
      <c r="G510" s="452"/>
      <c r="H510" s="452"/>
      <c r="I510" s="452"/>
      <c r="J510" s="452"/>
      <c r="K510" s="452"/>
      <c r="L510" s="452"/>
      <c r="M510" s="452"/>
      <c r="N510" s="452"/>
      <c r="O510" s="452"/>
      <c r="P510" s="452"/>
      <c r="Q510" s="452"/>
      <c r="R510" s="452"/>
      <c r="S510" s="452"/>
      <c r="T510" s="452"/>
      <c r="U510" s="452"/>
      <c r="V510" s="452"/>
      <c r="W510" s="452"/>
      <c r="X510" s="452"/>
      <c r="Y510" s="452"/>
    </row>
    <row r="511" spans="1:25" ht="15.6">
      <c r="A511" s="452"/>
      <c r="B511" s="452"/>
      <c r="C511" s="452"/>
      <c r="D511" s="452"/>
      <c r="E511" s="452"/>
      <c r="F511" s="452"/>
      <c r="G511" s="452"/>
      <c r="H511" s="452"/>
      <c r="I511" s="452"/>
      <c r="J511" s="452"/>
      <c r="K511" s="452"/>
      <c r="L511" s="452"/>
      <c r="M511" s="452"/>
      <c r="N511" s="452"/>
      <c r="O511" s="452"/>
      <c r="P511" s="452"/>
      <c r="Q511" s="452"/>
      <c r="R511" s="452"/>
      <c r="S511" s="452"/>
      <c r="T511" s="452"/>
      <c r="U511" s="452"/>
      <c r="V511" s="452"/>
      <c r="W511" s="452"/>
      <c r="X511" s="452"/>
      <c r="Y511" s="452"/>
    </row>
    <row r="512" spans="1:25" ht="15.6">
      <c r="A512" s="452"/>
      <c r="B512" s="452"/>
      <c r="C512" s="452"/>
      <c r="D512" s="452"/>
      <c r="E512" s="452"/>
      <c r="F512" s="452"/>
      <c r="G512" s="452"/>
      <c r="H512" s="452"/>
      <c r="I512" s="452"/>
      <c r="J512" s="452"/>
      <c r="K512" s="452"/>
      <c r="L512" s="452"/>
      <c r="M512" s="452"/>
      <c r="N512" s="452"/>
      <c r="O512" s="452"/>
      <c r="P512" s="452"/>
      <c r="Q512" s="452"/>
      <c r="R512" s="452"/>
      <c r="S512" s="452"/>
      <c r="T512" s="452"/>
      <c r="U512" s="452"/>
      <c r="V512" s="452"/>
      <c r="W512" s="452"/>
      <c r="X512" s="452"/>
      <c r="Y512" s="452"/>
    </row>
    <row r="513" spans="1:25" ht="15.6">
      <c r="A513" s="452"/>
      <c r="B513" s="452"/>
      <c r="C513" s="452"/>
      <c r="D513" s="452"/>
      <c r="E513" s="452"/>
      <c r="F513" s="452"/>
      <c r="G513" s="452"/>
      <c r="H513" s="452"/>
      <c r="I513" s="452"/>
      <c r="J513" s="452"/>
      <c r="K513" s="452"/>
      <c r="L513" s="452"/>
      <c r="M513" s="452"/>
      <c r="N513" s="452"/>
      <c r="O513" s="452"/>
      <c r="P513" s="452"/>
      <c r="Q513" s="452"/>
      <c r="R513" s="452"/>
      <c r="S513" s="452"/>
      <c r="T513" s="452"/>
      <c r="U513" s="452"/>
      <c r="V513" s="452"/>
      <c r="W513" s="452"/>
      <c r="X513" s="452"/>
      <c r="Y513" s="452"/>
    </row>
    <row r="514" spans="1:25" ht="15.6">
      <c r="A514" s="452"/>
      <c r="B514" s="452"/>
      <c r="C514" s="452"/>
      <c r="D514" s="452"/>
      <c r="E514" s="452"/>
      <c r="F514" s="452"/>
      <c r="G514" s="452"/>
      <c r="H514" s="452"/>
      <c r="I514" s="452"/>
      <c r="J514" s="452"/>
      <c r="K514" s="452"/>
      <c r="L514" s="452"/>
      <c r="M514" s="452"/>
      <c r="N514" s="452"/>
      <c r="O514" s="452"/>
      <c r="P514" s="452"/>
      <c r="Q514" s="452"/>
      <c r="R514" s="452"/>
      <c r="S514" s="452"/>
      <c r="T514" s="452"/>
      <c r="U514" s="452"/>
      <c r="V514" s="452"/>
      <c r="W514" s="452"/>
      <c r="X514" s="452"/>
      <c r="Y514" s="452"/>
    </row>
    <row r="515" spans="1:25" ht="15.6">
      <c r="A515" s="452"/>
      <c r="B515" s="452"/>
      <c r="C515" s="452"/>
      <c r="D515" s="452"/>
      <c r="E515" s="452"/>
      <c r="F515" s="452"/>
      <c r="G515" s="452"/>
      <c r="H515" s="452"/>
      <c r="I515" s="452"/>
      <c r="J515" s="452"/>
      <c r="K515" s="452"/>
      <c r="L515" s="452"/>
      <c r="M515" s="452"/>
      <c r="N515" s="452"/>
      <c r="O515" s="452"/>
      <c r="P515" s="452"/>
      <c r="Q515" s="452"/>
      <c r="R515" s="452"/>
      <c r="S515" s="452"/>
      <c r="T515" s="452"/>
      <c r="U515" s="452"/>
      <c r="V515" s="452"/>
      <c r="W515" s="452"/>
      <c r="X515" s="452"/>
      <c r="Y515" s="452"/>
    </row>
    <row r="516" spans="1:25" ht="15.6">
      <c r="A516" s="452"/>
      <c r="B516" s="452"/>
      <c r="C516" s="452"/>
      <c r="D516" s="452"/>
      <c r="E516" s="452"/>
      <c r="F516" s="452"/>
      <c r="G516" s="452"/>
      <c r="H516" s="452"/>
      <c r="I516" s="452"/>
      <c r="J516" s="452"/>
      <c r="K516" s="452"/>
      <c r="L516" s="452"/>
      <c r="M516" s="452"/>
      <c r="N516" s="452"/>
      <c r="O516" s="452"/>
      <c r="P516" s="452"/>
      <c r="Q516" s="452"/>
      <c r="R516" s="452"/>
      <c r="S516" s="452"/>
      <c r="T516" s="452"/>
      <c r="U516" s="452"/>
      <c r="V516" s="452"/>
      <c r="W516" s="452"/>
      <c r="X516" s="452"/>
      <c r="Y516" s="452"/>
    </row>
    <row r="517" spans="1:25" ht="15.6">
      <c r="A517" s="452"/>
      <c r="B517" s="452"/>
      <c r="C517" s="452"/>
      <c r="D517" s="452"/>
      <c r="E517" s="452"/>
      <c r="F517" s="452"/>
      <c r="G517" s="452"/>
      <c r="H517" s="452"/>
      <c r="I517" s="452"/>
      <c r="J517" s="452"/>
      <c r="K517" s="452"/>
      <c r="L517" s="452"/>
      <c r="M517" s="452"/>
      <c r="N517" s="452"/>
      <c r="O517" s="452"/>
      <c r="P517" s="452"/>
      <c r="Q517" s="452"/>
      <c r="R517" s="452"/>
      <c r="S517" s="452"/>
      <c r="T517" s="452"/>
      <c r="U517" s="452"/>
      <c r="V517" s="452"/>
      <c r="W517" s="452"/>
      <c r="X517" s="452"/>
      <c r="Y517" s="452"/>
    </row>
    <row r="518" spans="1:25" ht="15.6">
      <c r="A518" s="452"/>
      <c r="B518" s="452"/>
      <c r="C518" s="452"/>
      <c r="D518" s="452"/>
      <c r="E518" s="452"/>
      <c r="F518" s="452"/>
      <c r="G518" s="452"/>
      <c r="H518" s="452"/>
      <c r="I518" s="452"/>
      <c r="J518" s="452"/>
      <c r="K518" s="452"/>
      <c r="L518" s="452"/>
      <c r="M518" s="452"/>
      <c r="N518" s="452"/>
      <c r="O518" s="452"/>
      <c r="P518" s="452"/>
      <c r="Q518" s="452"/>
      <c r="R518" s="452"/>
      <c r="S518" s="452"/>
      <c r="T518" s="452"/>
      <c r="U518" s="452"/>
      <c r="V518" s="452"/>
      <c r="W518" s="452"/>
      <c r="X518" s="452"/>
      <c r="Y518" s="452"/>
    </row>
    <row r="519" spans="1:25" ht="15.6">
      <c r="A519" s="452"/>
      <c r="B519" s="452"/>
      <c r="C519" s="452"/>
      <c r="D519" s="452"/>
      <c r="E519" s="452"/>
      <c r="F519" s="452"/>
      <c r="G519" s="452"/>
      <c r="H519" s="452"/>
      <c r="I519" s="452"/>
      <c r="J519" s="452"/>
      <c r="K519" s="452"/>
      <c r="L519" s="452"/>
      <c r="M519" s="452"/>
      <c r="N519" s="452"/>
      <c r="O519" s="452"/>
      <c r="P519" s="452"/>
      <c r="Q519" s="452"/>
      <c r="R519" s="452"/>
      <c r="S519" s="452"/>
      <c r="T519" s="452"/>
      <c r="U519" s="452"/>
      <c r="V519" s="452"/>
      <c r="W519" s="452"/>
      <c r="X519" s="452"/>
      <c r="Y519" s="452"/>
    </row>
    <row r="520" spans="1:25" ht="15.6">
      <c r="A520" s="452"/>
      <c r="B520" s="452"/>
      <c r="C520" s="452"/>
      <c r="D520" s="452"/>
      <c r="E520" s="452"/>
      <c r="F520" s="452"/>
      <c r="G520" s="452"/>
      <c r="H520" s="452"/>
      <c r="I520" s="452"/>
      <c r="J520" s="452"/>
      <c r="K520" s="452"/>
      <c r="L520" s="452"/>
      <c r="M520" s="452"/>
      <c r="N520" s="452"/>
      <c r="O520" s="452"/>
      <c r="P520" s="452"/>
      <c r="Q520" s="452"/>
      <c r="R520" s="452"/>
      <c r="S520" s="452"/>
      <c r="T520" s="452"/>
      <c r="U520" s="452"/>
      <c r="V520" s="452"/>
      <c r="W520" s="452"/>
      <c r="X520" s="452"/>
      <c r="Y520" s="452"/>
    </row>
    <row r="521" spans="1:25" ht="15.6">
      <c r="A521" s="452"/>
      <c r="B521" s="452"/>
      <c r="C521" s="452"/>
      <c r="D521" s="452"/>
      <c r="E521" s="452"/>
      <c r="F521" s="452"/>
      <c r="G521" s="452"/>
      <c r="H521" s="452"/>
      <c r="I521" s="452"/>
      <c r="J521" s="452"/>
      <c r="K521" s="452"/>
      <c r="L521" s="452"/>
      <c r="M521" s="452"/>
      <c r="N521" s="452"/>
      <c r="O521" s="452"/>
      <c r="P521" s="452"/>
      <c r="Q521" s="452"/>
      <c r="R521" s="452"/>
      <c r="S521" s="452"/>
      <c r="T521" s="452"/>
      <c r="U521" s="452"/>
      <c r="V521" s="452"/>
      <c r="W521" s="452"/>
      <c r="X521" s="452"/>
      <c r="Y521" s="452"/>
    </row>
    <row r="522" spans="1:25" ht="15.6">
      <c r="A522" s="452"/>
      <c r="B522" s="452"/>
      <c r="C522" s="452"/>
      <c r="D522" s="452"/>
      <c r="E522" s="452"/>
      <c r="F522" s="452"/>
      <c r="G522" s="452"/>
      <c r="H522" s="452"/>
      <c r="I522" s="452"/>
      <c r="J522" s="452"/>
      <c r="K522" s="452"/>
      <c r="L522" s="452"/>
      <c r="M522" s="452"/>
      <c r="N522" s="452"/>
      <c r="O522" s="452"/>
      <c r="P522" s="452"/>
      <c r="Q522" s="452"/>
      <c r="R522" s="452"/>
      <c r="S522" s="452"/>
      <c r="T522" s="452"/>
      <c r="U522" s="452"/>
      <c r="V522" s="452"/>
      <c r="W522" s="452"/>
      <c r="X522" s="452"/>
      <c r="Y522" s="452"/>
    </row>
    <row r="523" spans="1:25" ht="15.6">
      <c r="A523" s="452"/>
      <c r="B523" s="452"/>
      <c r="C523" s="452"/>
      <c r="D523" s="452"/>
      <c r="E523" s="452"/>
      <c r="F523" s="452"/>
      <c r="G523" s="452"/>
      <c r="H523" s="452"/>
      <c r="I523" s="452"/>
      <c r="J523" s="452"/>
      <c r="K523" s="452"/>
      <c r="L523" s="452"/>
      <c r="M523" s="452"/>
      <c r="N523" s="452"/>
      <c r="O523" s="452"/>
      <c r="P523" s="452"/>
      <c r="Q523" s="452"/>
      <c r="R523" s="452"/>
      <c r="S523" s="452"/>
      <c r="T523" s="452"/>
      <c r="U523" s="452"/>
      <c r="V523" s="452"/>
      <c r="W523" s="452"/>
      <c r="X523" s="452"/>
      <c r="Y523" s="452"/>
    </row>
    <row r="524" spans="1:25" ht="15.6">
      <c r="A524" s="452"/>
      <c r="B524" s="452"/>
      <c r="C524" s="452"/>
      <c r="D524" s="452"/>
      <c r="E524" s="452"/>
      <c r="F524" s="452"/>
      <c r="G524" s="452"/>
      <c r="H524" s="452"/>
      <c r="I524" s="452"/>
      <c r="J524" s="452"/>
      <c r="K524" s="452"/>
      <c r="L524" s="452"/>
      <c r="M524" s="452"/>
      <c r="N524" s="452"/>
      <c r="O524" s="452"/>
      <c r="P524" s="452"/>
      <c r="Q524" s="452"/>
      <c r="R524" s="452"/>
      <c r="S524" s="452"/>
      <c r="T524" s="452"/>
      <c r="U524" s="452"/>
      <c r="V524" s="452"/>
      <c r="W524" s="452"/>
      <c r="X524" s="452"/>
      <c r="Y524" s="452"/>
    </row>
    <row r="525" spans="1:25" ht="15.6">
      <c r="A525" s="452"/>
      <c r="B525" s="452"/>
      <c r="C525" s="452"/>
      <c r="D525" s="452"/>
      <c r="E525" s="452"/>
      <c r="F525" s="452"/>
      <c r="G525" s="452"/>
      <c r="H525" s="452"/>
      <c r="I525" s="452"/>
      <c r="J525" s="452"/>
      <c r="K525" s="452"/>
      <c r="L525" s="452"/>
      <c r="M525" s="452"/>
      <c r="N525" s="452"/>
      <c r="O525" s="452"/>
      <c r="P525" s="452"/>
      <c r="Q525" s="452"/>
      <c r="R525" s="452"/>
      <c r="S525" s="452"/>
      <c r="T525" s="452"/>
      <c r="U525" s="452"/>
      <c r="V525" s="452"/>
      <c r="W525" s="452"/>
      <c r="X525" s="452"/>
      <c r="Y525" s="452"/>
    </row>
    <row r="526" spans="1:25" ht="15.6">
      <c r="A526" s="452"/>
      <c r="B526" s="452"/>
      <c r="C526" s="452"/>
      <c r="D526" s="452"/>
      <c r="E526" s="452"/>
      <c r="F526" s="452"/>
      <c r="G526" s="452"/>
      <c r="H526" s="452"/>
      <c r="I526" s="452"/>
      <c r="J526" s="452"/>
      <c r="K526" s="452"/>
      <c r="L526" s="452"/>
      <c r="M526" s="452"/>
      <c r="N526" s="452"/>
      <c r="O526" s="452"/>
      <c r="P526" s="452"/>
      <c r="Q526" s="452"/>
      <c r="R526" s="452"/>
      <c r="S526" s="452"/>
      <c r="T526" s="452"/>
      <c r="U526" s="452"/>
      <c r="V526" s="452"/>
      <c r="W526" s="452"/>
      <c r="X526" s="452"/>
      <c r="Y526" s="452"/>
    </row>
    <row r="527" spans="1:25" ht="15.6">
      <c r="A527" s="452"/>
      <c r="B527" s="452"/>
      <c r="C527" s="452"/>
      <c r="D527" s="452"/>
      <c r="E527" s="452"/>
      <c r="F527" s="452"/>
      <c r="G527" s="452"/>
      <c r="H527" s="452"/>
      <c r="I527" s="452"/>
      <c r="J527" s="452"/>
      <c r="K527" s="452"/>
      <c r="L527" s="452"/>
      <c r="M527" s="452"/>
      <c r="N527" s="452"/>
      <c r="O527" s="452"/>
      <c r="P527" s="452"/>
      <c r="Q527" s="452"/>
      <c r="R527" s="452"/>
      <c r="S527" s="452"/>
      <c r="T527" s="452"/>
      <c r="U527" s="452"/>
      <c r="V527" s="452"/>
      <c r="W527" s="452"/>
      <c r="X527" s="452"/>
      <c r="Y527" s="452"/>
    </row>
    <row r="528" spans="1:25" ht="15.6">
      <c r="A528" s="452"/>
      <c r="B528" s="452"/>
      <c r="C528" s="452"/>
      <c r="D528" s="452"/>
      <c r="E528" s="452"/>
      <c r="F528" s="452"/>
      <c r="G528" s="452"/>
      <c r="H528" s="452"/>
      <c r="I528" s="452"/>
      <c r="J528" s="452"/>
      <c r="K528" s="452"/>
      <c r="L528" s="452"/>
      <c r="M528" s="452"/>
      <c r="N528" s="452"/>
      <c r="O528" s="452"/>
      <c r="P528" s="452"/>
      <c r="Q528" s="452"/>
      <c r="R528" s="452"/>
      <c r="S528" s="452"/>
      <c r="T528" s="452"/>
      <c r="U528" s="452"/>
      <c r="V528" s="452"/>
      <c r="W528" s="452"/>
      <c r="X528" s="452"/>
      <c r="Y528" s="452"/>
    </row>
    <row r="529" spans="1:25" ht="15.6">
      <c r="A529" s="452"/>
      <c r="B529" s="452"/>
      <c r="C529" s="452"/>
      <c r="D529" s="452"/>
      <c r="E529" s="452"/>
      <c r="F529" s="452"/>
      <c r="G529" s="452"/>
      <c r="H529" s="452"/>
      <c r="I529" s="452"/>
      <c r="J529" s="452"/>
      <c r="K529" s="452"/>
      <c r="L529" s="452"/>
      <c r="M529" s="452"/>
      <c r="N529" s="452"/>
      <c r="O529" s="452"/>
      <c r="P529" s="452"/>
      <c r="Q529" s="452"/>
      <c r="R529" s="452"/>
      <c r="S529" s="452"/>
      <c r="T529" s="452"/>
      <c r="U529" s="452"/>
      <c r="V529" s="452"/>
      <c r="W529" s="452"/>
      <c r="X529" s="452"/>
      <c r="Y529" s="452"/>
    </row>
    <row r="530" spans="1:25" ht="15.6">
      <c r="A530" s="452"/>
      <c r="B530" s="452"/>
      <c r="C530" s="452"/>
      <c r="D530" s="452"/>
      <c r="E530" s="452"/>
      <c r="F530" s="452"/>
      <c r="G530" s="452"/>
      <c r="H530" s="452"/>
      <c r="I530" s="452"/>
      <c r="J530" s="452"/>
      <c r="K530" s="452"/>
      <c r="L530" s="452"/>
      <c r="M530" s="452"/>
      <c r="N530" s="452"/>
      <c r="O530" s="452"/>
      <c r="P530" s="452"/>
      <c r="Q530" s="452"/>
      <c r="R530" s="452"/>
      <c r="S530" s="452"/>
      <c r="T530" s="452"/>
      <c r="U530" s="452"/>
      <c r="V530" s="452"/>
      <c r="W530" s="452"/>
      <c r="X530" s="452"/>
      <c r="Y530" s="452"/>
    </row>
    <row r="531" spans="1:25" ht="15.6">
      <c r="A531" s="452"/>
      <c r="B531" s="452"/>
      <c r="C531" s="452"/>
      <c r="D531" s="452"/>
      <c r="E531" s="452"/>
      <c r="F531" s="452"/>
      <c r="G531" s="452"/>
      <c r="H531" s="452"/>
      <c r="I531" s="452"/>
      <c r="J531" s="452"/>
      <c r="K531" s="452"/>
      <c r="L531" s="452"/>
      <c r="M531" s="452"/>
      <c r="N531" s="452"/>
      <c r="O531" s="452"/>
      <c r="P531" s="452"/>
      <c r="Q531" s="452"/>
      <c r="R531" s="452"/>
      <c r="S531" s="452"/>
      <c r="T531" s="452"/>
      <c r="U531" s="452"/>
      <c r="V531" s="452"/>
      <c r="W531" s="452"/>
      <c r="X531" s="452"/>
      <c r="Y531" s="452"/>
    </row>
    <row r="532" spans="1:25" ht="15.6">
      <c r="A532" s="452"/>
      <c r="B532" s="452"/>
      <c r="C532" s="452"/>
      <c r="D532" s="452"/>
      <c r="E532" s="452"/>
      <c r="F532" s="452"/>
      <c r="G532" s="452"/>
      <c r="H532" s="452"/>
      <c r="I532" s="452"/>
      <c r="J532" s="452"/>
      <c r="K532" s="452"/>
      <c r="L532" s="452"/>
      <c r="M532" s="452"/>
      <c r="N532" s="452"/>
      <c r="O532" s="452"/>
      <c r="P532" s="452"/>
      <c r="Q532" s="452"/>
      <c r="R532" s="452"/>
      <c r="S532" s="452"/>
      <c r="T532" s="452"/>
      <c r="U532" s="452"/>
      <c r="V532" s="452"/>
      <c r="W532" s="452"/>
      <c r="X532" s="452"/>
      <c r="Y532" s="452"/>
    </row>
    <row r="533" spans="1:25" ht="15.6">
      <c r="A533" s="452"/>
      <c r="B533" s="452"/>
      <c r="C533" s="452"/>
      <c r="D533" s="452"/>
      <c r="E533" s="452"/>
      <c r="F533" s="452"/>
      <c r="G533" s="452"/>
      <c r="H533" s="452"/>
      <c r="I533" s="452"/>
      <c r="J533" s="452"/>
      <c r="K533" s="452"/>
      <c r="L533" s="452"/>
      <c r="M533" s="452"/>
      <c r="N533" s="452"/>
      <c r="O533" s="452"/>
      <c r="P533" s="452"/>
      <c r="Q533" s="452"/>
      <c r="R533" s="452"/>
      <c r="S533" s="452"/>
      <c r="T533" s="452"/>
      <c r="U533" s="452"/>
      <c r="V533" s="452"/>
      <c r="W533" s="452"/>
      <c r="X533" s="452"/>
      <c r="Y533" s="452"/>
    </row>
    <row r="534" spans="1:25" ht="15.6">
      <c r="A534" s="452"/>
      <c r="B534" s="452"/>
      <c r="C534" s="452"/>
      <c r="D534" s="452"/>
      <c r="E534" s="452"/>
      <c r="F534" s="452"/>
      <c r="G534" s="452"/>
      <c r="H534" s="452"/>
      <c r="I534" s="452"/>
      <c r="J534" s="452"/>
      <c r="K534" s="452"/>
      <c r="L534" s="452"/>
      <c r="M534" s="452"/>
      <c r="N534" s="452"/>
      <c r="O534" s="452"/>
      <c r="P534" s="452"/>
      <c r="Q534" s="452"/>
      <c r="R534" s="452"/>
      <c r="S534" s="452"/>
      <c r="T534" s="452"/>
      <c r="U534" s="452"/>
      <c r="V534" s="452"/>
      <c r="W534" s="452"/>
      <c r="X534" s="452"/>
      <c r="Y534" s="452"/>
    </row>
    <row r="535" spans="1:25" ht="15.6">
      <c r="A535" s="452"/>
      <c r="B535" s="452"/>
      <c r="C535" s="452"/>
      <c r="D535" s="452"/>
      <c r="E535" s="452"/>
      <c r="F535" s="452"/>
      <c r="G535" s="452"/>
      <c r="H535" s="452"/>
      <c r="I535" s="452"/>
      <c r="J535" s="452"/>
      <c r="K535" s="452"/>
      <c r="L535" s="452"/>
      <c r="M535" s="452"/>
      <c r="N535" s="452"/>
      <c r="O535" s="452"/>
      <c r="P535" s="452"/>
      <c r="Q535" s="452"/>
      <c r="R535" s="452"/>
      <c r="S535" s="452"/>
      <c r="T535" s="452"/>
      <c r="U535" s="452"/>
      <c r="V535" s="452"/>
      <c r="W535" s="452"/>
      <c r="X535" s="452"/>
      <c r="Y535" s="452"/>
    </row>
    <row r="536" spans="1:25" ht="15.6">
      <c r="A536" s="452"/>
      <c r="B536" s="452"/>
      <c r="C536" s="452"/>
      <c r="D536" s="452"/>
      <c r="E536" s="452"/>
      <c r="F536" s="452"/>
      <c r="G536" s="452"/>
      <c r="H536" s="452"/>
      <c r="I536" s="452"/>
      <c r="J536" s="452"/>
      <c r="K536" s="452"/>
      <c r="L536" s="452"/>
      <c r="M536" s="452"/>
      <c r="N536" s="452"/>
      <c r="O536" s="452"/>
      <c r="P536" s="452"/>
      <c r="Q536" s="452"/>
      <c r="R536" s="452"/>
      <c r="S536" s="452"/>
      <c r="T536" s="452"/>
      <c r="U536" s="452"/>
      <c r="V536" s="452"/>
      <c r="W536" s="452"/>
      <c r="X536" s="452"/>
      <c r="Y536" s="452"/>
    </row>
    <row r="537" spans="1:25" ht="15.6">
      <c r="A537" s="452"/>
      <c r="B537" s="452"/>
      <c r="C537" s="452"/>
      <c r="D537" s="452"/>
      <c r="E537" s="452"/>
      <c r="F537" s="452"/>
      <c r="G537" s="452"/>
      <c r="H537" s="452"/>
      <c r="I537" s="452"/>
      <c r="J537" s="452"/>
      <c r="K537" s="452"/>
      <c r="L537" s="452"/>
      <c r="M537" s="452"/>
      <c r="N537" s="452"/>
      <c r="O537" s="452"/>
      <c r="P537" s="452"/>
      <c r="Q537" s="452"/>
      <c r="R537" s="452"/>
      <c r="S537" s="452"/>
      <c r="T537" s="452"/>
      <c r="U537" s="452"/>
      <c r="V537" s="452"/>
      <c r="W537" s="452"/>
      <c r="X537" s="452"/>
      <c r="Y537" s="452"/>
    </row>
    <row r="538" spans="1:25" ht="15.6">
      <c r="A538" s="452"/>
      <c r="B538" s="452"/>
      <c r="C538" s="452"/>
      <c r="D538" s="452"/>
      <c r="E538" s="452"/>
      <c r="F538" s="452"/>
      <c r="G538" s="452"/>
      <c r="H538" s="452"/>
      <c r="I538" s="452"/>
      <c r="J538" s="452"/>
      <c r="K538" s="452"/>
      <c r="L538" s="452"/>
      <c r="M538" s="452"/>
      <c r="N538" s="452"/>
      <c r="O538" s="452"/>
      <c r="P538" s="452"/>
      <c r="Q538" s="452"/>
      <c r="R538" s="452"/>
      <c r="S538" s="452"/>
      <c r="T538" s="452"/>
      <c r="U538" s="452"/>
      <c r="V538" s="452"/>
      <c r="W538" s="452"/>
      <c r="X538" s="452"/>
      <c r="Y538" s="452"/>
    </row>
    <row r="539" spans="1:25" ht="15.6">
      <c r="A539" s="452"/>
      <c r="B539" s="452"/>
      <c r="C539" s="452"/>
      <c r="D539" s="452"/>
      <c r="E539" s="452"/>
      <c r="F539" s="452"/>
      <c r="G539" s="452"/>
      <c r="H539" s="452"/>
      <c r="I539" s="452"/>
      <c r="J539" s="452"/>
      <c r="K539" s="452"/>
      <c r="L539" s="452"/>
      <c r="M539" s="452"/>
      <c r="N539" s="452"/>
      <c r="O539" s="452"/>
      <c r="P539" s="452"/>
      <c r="Q539" s="452"/>
      <c r="R539" s="452"/>
      <c r="S539" s="452"/>
      <c r="T539" s="452"/>
      <c r="U539" s="452"/>
      <c r="V539" s="452"/>
      <c r="W539" s="452"/>
      <c r="X539" s="452"/>
      <c r="Y539" s="452"/>
    </row>
    <row r="540" spans="1:25" ht="15.6">
      <c r="A540" s="452"/>
      <c r="B540" s="452"/>
      <c r="C540" s="452"/>
      <c r="D540" s="452"/>
      <c r="E540" s="452"/>
      <c r="F540" s="452"/>
      <c r="G540" s="452"/>
      <c r="H540" s="452"/>
      <c r="I540" s="452"/>
      <c r="J540" s="452"/>
      <c r="K540" s="452"/>
      <c r="L540" s="452"/>
      <c r="M540" s="452"/>
      <c r="N540" s="452"/>
      <c r="O540" s="452"/>
      <c r="P540" s="452"/>
      <c r="Q540" s="452"/>
      <c r="R540" s="452"/>
      <c r="S540" s="452"/>
      <c r="T540" s="452"/>
      <c r="U540" s="452"/>
      <c r="V540" s="452"/>
      <c r="W540" s="452"/>
      <c r="X540" s="452"/>
      <c r="Y540" s="452"/>
    </row>
    <row r="541" spans="1:25" ht="15.6">
      <c r="A541" s="452"/>
      <c r="B541" s="452"/>
      <c r="C541" s="452"/>
      <c r="D541" s="452"/>
      <c r="E541" s="452"/>
      <c r="F541" s="452"/>
      <c r="G541" s="452"/>
      <c r="H541" s="452"/>
      <c r="I541" s="452"/>
      <c r="J541" s="452"/>
      <c r="K541" s="452"/>
      <c r="L541" s="452"/>
      <c r="M541" s="452"/>
      <c r="N541" s="452"/>
      <c r="O541" s="452"/>
      <c r="P541" s="452"/>
      <c r="Q541" s="452"/>
      <c r="R541" s="452"/>
      <c r="S541" s="452"/>
      <c r="T541" s="452"/>
      <c r="U541" s="452"/>
      <c r="V541" s="452"/>
      <c r="W541" s="452"/>
      <c r="X541" s="452"/>
      <c r="Y541" s="452"/>
    </row>
    <row r="542" spans="1:25" ht="15.6">
      <c r="A542" s="452"/>
      <c r="B542" s="452"/>
      <c r="C542" s="452"/>
      <c r="D542" s="452"/>
      <c r="E542" s="452"/>
      <c r="F542" s="452"/>
      <c r="G542" s="452"/>
      <c r="H542" s="452"/>
      <c r="I542" s="452"/>
      <c r="J542" s="452"/>
      <c r="K542" s="452"/>
      <c r="L542" s="452"/>
      <c r="M542" s="452"/>
      <c r="N542" s="452"/>
      <c r="O542" s="452"/>
      <c r="P542" s="452"/>
      <c r="Q542" s="452"/>
      <c r="R542" s="452"/>
      <c r="S542" s="452"/>
      <c r="T542" s="452"/>
      <c r="U542" s="452"/>
      <c r="V542" s="452"/>
      <c r="W542" s="452"/>
      <c r="X542" s="452"/>
      <c r="Y542" s="452"/>
    </row>
    <row r="543" spans="1:25" ht="15.6">
      <c r="A543" s="452"/>
      <c r="B543" s="452"/>
      <c r="C543" s="452"/>
      <c r="D543" s="452"/>
      <c r="E543" s="452"/>
      <c r="F543" s="452"/>
      <c r="G543" s="452"/>
      <c r="H543" s="452"/>
      <c r="I543" s="452"/>
      <c r="J543" s="452"/>
      <c r="K543" s="452"/>
      <c r="L543" s="452"/>
      <c r="M543" s="452"/>
      <c r="N543" s="452"/>
      <c r="O543" s="452"/>
      <c r="P543" s="452"/>
      <c r="Q543" s="452"/>
      <c r="R543" s="452"/>
      <c r="S543" s="452"/>
      <c r="T543" s="452"/>
      <c r="U543" s="452"/>
      <c r="V543" s="452"/>
      <c r="W543" s="452"/>
      <c r="X543" s="452"/>
      <c r="Y543" s="452"/>
    </row>
    <row r="544" spans="1:25" ht="15.6">
      <c r="A544" s="452"/>
      <c r="B544" s="452"/>
      <c r="C544" s="452"/>
      <c r="D544" s="452"/>
      <c r="E544" s="452"/>
      <c r="F544" s="452"/>
      <c r="G544" s="452"/>
      <c r="H544" s="452"/>
      <c r="I544" s="452"/>
      <c r="J544" s="452"/>
      <c r="K544" s="452"/>
      <c r="L544" s="452"/>
      <c r="M544" s="452"/>
      <c r="N544" s="452"/>
      <c r="O544" s="452"/>
      <c r="P544" s="452"/>
      <c r="Q544" s="452"/>
      <c r="R544" s="452"/>
      <c r="S544" s="452"/>
      <c r="T544" s="452"/>
      <c r="U544" s="452"/>
      <c r="V544" s="452"/>
      <c r="W544" s="452"/>
      <c r="X544" s="452"/>
      <c r="Y544" s="452"/>
    </row>
    <row r="545" spans="1:25" ht="15.6">
      <c r="A545" s="452"/>
      <c r="B545" s="452"/>
      <c r="C545" s="452"/>
      <c r="D545" s="452"/>
      <c r="E545" s="452"/>
      <c r="F545" s="452"/>
      <c r="G545" s="452"/>
      <c r="H545" s="452"/>
      <c r="I545" s="452"/>
      <c r="J545" s="452"/>
      <c r="K545" s="452"/>
      <c r="L545" s="452"/>
      <c r="M545" s="452"/>
      <c r="N545" s="452"/>
      <c r="O545" s="452"/>
      <c r="P545" s="452"/>
      <c r="Q545" s="452"/>
      <c r="R545" s="452"/>
      <c r="S545" s="452"/>
      <c r="T545" s="452"/>
      <c r="U545" s="452"/>
      <c r="V545" s="452"/>
      <c r="W545" s="452"/>
      <c r="X545" s="452"/>
      <c r="Y545" s="452"/>
    </row>
    <row r="546" spans="1:25" ht="15.6">
      <c r="A546" s="452"/>
      <c r="B546" s="452"/>
      <c r="C546" s="452"/>
      <c r="D546" s="452"/>
      <c r="E546" s="452"/>
      <c r="F546" s="452"/>
      <c r="G546" s="452"/>
      <c r="H546" s="452"/>
      <c r="I546" s="452"/>
      <c r="J546" s="452"/>
      <c r="K546" s="452"/>
      <c r="L546" s="452"/>
      <c r="M546" s="452"/>
      <c r="N546" s="452"/>
      <c r="O546" s="452"/>
      <c r="P546" s="452"/>
      <c r="Q546" s="452"/>
      <c r="R546" s="452"/>
      <c r="S546" s="452"/>
      <c r="T546" s="452"/>
      <c r="U546" s="452"/>
      <c r="V546" s="452"/>
      <c r="W546" s="452"/>
      <c r="X546" s="452"/>
      <c r="Y546" s="452"/>
    </row>
    <row r="547" spans="1:25" ht="15.6">
      <c r="A547" s="452"/>
      <c r="B547" s="452"/>
      <c r="C547" s="452"/>
      <c r="D547" s="452"/>
      <c r="E547" s="452"/>
      <c r="F547" s="452"/>
      <c r="G547" s="452"/>
      <c r="H547" s="452"/>
      <c r="I547" s="452"/>
      <c r="J547" s="452"/>
      <c r="K547" s="452"/>
      <c r="L547" s="452"/>
      <c r="M547" s="452"/>
      <c r="N547" s="452"/>
      <c r="O547" s="452"/>
      <c r="P547" s="452"/>
      <c r="Q547" s="452"/>
      <c r="R547" s="452"/>
      <c r="S547" s="452"/>
      <c r="T547" s="452"/>
      <c r="U547" s="452"/>
      <c r="V547" s="452"/>
      <c r="W547" s="452"/>
      <c r="X547" s="452"/>
      <c r="Y547" s="452"/>
    </row>
    <row r="548" spans="1:25" ht="15.6">
      <c r="A548" s="452"/>
      <c r="B548" s="452"/>
      <c r="C548" s="452"/>
      <c r="D548" s="452"/>
      <c r="E548" s="452"/>
      <c r="F548" s="452"/>
      <c r="G548" s="452"/>
      <c r="H548" s="452"/>
      <c r="I548" s="452"/>
      <c r="J548" s="452"/>
      <c r="K548" s="452"/>
      <c r="L548" s="452"/>
      <c r="M548" s="452"/>
      <c r="N548" s="452"/>
      <c r="O548" s="452"/>
      <c r="P548" s="452"/>
      <c r="Q548" s="452"/>
      <c r="R548" s="452"/>
      <c r="S548" s="452"/>
      <c r="T548" s="452"/>
      <c r="U548" s="452"/>
      <c r="V548" s="452"/>
      <c r="W548" s="452"/>
      <c r="X548" s="452"/>
      <c r="Y548" s="452"/>
    </row>
    <row r="549" spans="1:25" ht="15.6">
      <c r="A549" s="452"/>
      <c r="B549" s="452"/>
      <c r="C549" s="452"/>
      <c r="D549" s="452"/>
      <c r="E549" s="452"/>
      <c r="F549" s="452"/>
      <c r="G549" s="452"/>
      <c r="H549" s="452"/>
      <c r="I549" s="452"/>
      <c r="J549" s="452"/>
      <c r="K549" s="452"/>
      <c r="L549" s="452"/>
      <c r="M549" s="452"/>
      <c r="N549" s="452"/>
      <c r="O549" s="452"/>
      <c r="P549" s="452"/>
      <c r="Q549" s="452"/>
      <c r="R549" s="452"/>
      <c r="S549" s="452"/>
      <c r="T549" s="452"/>
      <c r="U549" s="452"/>
      <c r="V549" s="452"/>
      <c r="W549" s="452"/>
      <c r="X549" s="452"/>
      <c r="Y549" s="452"/>
    </row>
    <row r="550" spans="1:25" ht="15.6">
      <c r="A550" s="452"/>
      <c r="B550" s="452"/>
      <c r="C550" s="452"/>
      <c r="D550" s="452"/>
      <c r="E550" s="452"/>
      <c r="F550" s="452"/>
      <c r="G550" s="452"/>
      <c r="H550" s="452"/>
      <c r="I550" s="452"/>
      <c r="J550" s="452"/>
      <c r="K550" s="452"/>
      <c r="L550" s="452"/>
      <c r="M550" s="452"/>
      <c r="N550" s="452"/>
      <c r="O550" s="452"/>
      <c r="P550" s="452"/>
      <c r="Q550" s="452"/>
      <c r="R550" s="452"/>
      <c r="S550" s="452"/>
      <c r="T550" s="452"/>
      <c r="U550" s="452"/>
      <c r="V550" s="452"/>
      <c r="W550" s="452"/>
      <c r="X550" s="452"/>
      <c r="Y550" s="452"/>
    </row>
    <row r="551" spans="1:25" ht="15.6">
      <c r="A551" s="452"/>
      <c r="B551" s="452"/>
      <c r="C551" s="452"/>
      <c r="D551" s="452"/>
      <c r="E551" s="452"/>
      <c r="F551" s="452"/>
      <c r="G551" s="452"/>
      <c r="H551" s="452"/>
      <c r="I551" s="452"/>
      <c r="J551" s="452"/>
      <c r="K551" s="452"/>
      <c r="L551" s="452"/>
      <c r="M551" s="452"/>
      <c r="N551" s="452"/>
      <c r="O551" s="452"/>
      <c r="P551" s="452"/>
      <c r="Q551" s="452"/>
      <c r="R551" s="452"/>
      <c r="S551" s="452"/>
      <c r="T551" s="452"/>
      <c r="U551" s="452"/>
      <c r="V551" s="452"/>
      <c r="W551" s="452"/>
      <c r="X551" s="452"/>
      <c r="Y551" s="452"/>
    </row>
    <row r="552" spans="1:25" ht="15.6">
      <c r="A552" s="452"/>
      <c r="B552" s="452"/>
      <c r="C552" s="452"/>
      <c r="D552" s="452"/>
      <c r="E552" s="452"/>
      <c r="F552" s="452"/>
      <c r="G552" s="452"/>
      <c r="H552" s="452"/>
      <c r="I552" s="452"/>
      <c r="J552" s="452"/>
      <c r="K552" s="452"/>
      <c r="L552" s="452"/>
      <c r="M552" s="452"/>
      <c r="N552" s="452"/>
      <c r="O552" s="452"/>
      <c r="P552" s="452"/>
      <c r="Q552" s="452"/>
      <c r="R552" s="452"/>
      <c r="S552" s="452"/>
      <c r="T552" s="452"/>
      <c r="U552" s="452"/>
      <c r="V552" s="452"/>
      <c r="W552" s="452"/>
      <c r="X552" s="452"/>
      <c r="Y552" s="452"/>
    </row>
    <row r="553" spans="1:25" ht="15.6">
      <c r="A553" s="452"/>
      <c r="B553" s="452"/>
      <c r="C553" s="452"/>
      <c r="D553" s="452"/>
      <c r="E553" s="452"/>
      <c r="F553" s="452"/>
      <c r="G553" s="452"/>
      <c r="H553" s="452"/>
      <c r="I553" s="452"/>
      <c r="J553" s="452"/>
      <c r="K553" s="452"/>
      <c r="L553" s="452"/>
      <c r="M553" s="452"/>
      <c r="N553" s="452"/>
      <c r="O553" s="452"/>
      <c r="P553" s="452"/>
      <c r="Q553" s="452"/>
      <c r="R553" s="452"/>
      <c r="S553" s="452"/>
      <c r="T553" s="452"/>
      <c r="U553" s="452"/>
      <c r="V553" s="452"/>
      <c r="W553" s="452"/>
      <c r="X553" s="452"/>
      <c r="Y553" s="452"/>
    </row>
    <row r="554" spans="1:25" ht="15.6">
      <c r="A554" s="452"/>
      <c r="B554" s="452"/>
      <c r="C554" s="452"/>
      <c r="D554" s="452"/>
      <c r="E554" s="452"/>
      <c r="F554" s="452"/>
      <c r="G554" s="452"/>
      <c r="H554" s="452"/>
      <c r="I554" s="452"/>
      <c r="J554" s="452"/>
      <c r="K554" s="452"/>
      <c r="L554" s="452"/>
      <c r="M554" s="452"/>
      <c r="N554" s="452"/>
      <c r="O554" s="452"/>
      <c r="P554" s="452"/>
      <c r="Q554" s="452"/>
      <c r="R554" s="452"/>
      <c r="S554" s="452"/>
      <c r="T554" s="452"/>
      <c r="U554" s="452"/>
      <c r="V554" s="452"/>
      <c r="W554" s="452"/>
      <c r="X554" s="452"/>
      <c r="Y554" s="452"/>
    </row>
    <row r="555" spans="1:25" ht="15.6">
      <c r="A555" s="452"/>
      <c r="B555" s="452"/>
      <c r="C555" s="452"/>
      <c r="D555" s="452"/>
      <c r="E555" s="452"/>
      <c r="F555" s="452"/>
      <c r="G555" s="452"/>
      <c r="H555" s="452"/>
      <c r="I555" s="452"/>
      <c r="J555" s="452"/>
      <c r="K555" s="452"/>
      <c r="L555" s="452"/>
      <c r="M555" s="452"/>
      <c r="N555" s="452"/>
      <c r="O555" s="452"/>
      <c r="P555" s="452"/>
      <c r="Q555" s="452"/>
      <c r="R555" s="452"/>
      <c r="S555" s="452"/>
      <c r="T555" s="452"/>
      <c r="U555" s="452"/>
      <c r="V555" s="452"/>
      <c r="W555" s="452"/>
      <c r="X555" s="452"/>
      <c r="Y555" s="452"/>
    </row>
    <row r="556" spans="1:25" ht="15.6">
      <c r="A556" s="452"/>
      <c r="B556" s="452"/>
      <c r="C556" s="452"/>
      <c r="D556" s="452"/>
      <c r="E556" s="452"/>
      <c r="F556" s="452"/>
      <c r="G556" s="452"/>
      <c r="H556" s="452"/>
      <c r="I556" s="452"/>
      <c r="J556" s="452"/>
      <c r="K556" s="452"/>
      <c r="L556" s="452"/>
      <c r="M556" s="452"/>
      <c r="N556" s="452"/>
      <c r="O556" s="452"/>
      <c r="P556" s="452"/>
      <c r="Q556" s="452"/>
      <c r="R556" s="452"/>
      <c r="S556" s="452"/>
      <c r="T556" s="452"/>
      <c r="U556" s="452"/>
      <c r="V556" s="452"/>
      <c r="W556" s="452"/>
      <c r="X556" s="452"/>
      <c r="Y556" s="452"/>
    </row>
    <row r="557" spans="1:25" ht="15.6">
      <c r="A557" s="452"/>
      <c r="B557" s="452"/>
      <c r="C557" s="452"/>
      <c r="D557" s="452"/>
      <c r="E557" s="452"/>
      <c r="F557" s="452"/>
      <c r="G557" s="452"/>
      <c r="H557" s="452"/>
      <c r="I557" s="452"/>
      <c r="J557" s="452"/>
      <c r="K557" s="452"/>
      <c r="L557" s="452"/>
      <c r="M557" s="452"/>
      <c r="N557" s="452"/>
      <c r="O557" s="452"/>
      <c r="P557" s="452"/>
      <c r="Q557" s="452"/>
      <c r="R557" s="452"/>
      <c r="S557" s="452"/>
      <c r="T557" s="452"/>
      <c r="U557" s="452"/>
      <c r="V557" s="452"/>
      <c r="W557" s="452"/>
      <c r="X557" s="452"/>
      <c r="Y557" s="452"/>
    </row>
    <row r="558" spans="1:25" ht="15.6">
      <c r="A558" s="452"/>
      <c r="B558" s="452"/>
      <c r="C558" s="452"/>
      <c r="D558" s="452"/>
      <c r="E558" s="452"/>
      <c r="F558" s="452"/>
      <c r="G558" s="452"/>
      <c r="H558" s="452"/>
      <c r="I558" s="452"/>
      <c r="J558" s="452"/>
      <c r="K558" s="452"/>
      <c r="L558" s="452"/>
      <c r="M558" s="452"/>
      <c r="N558" s="452"/>
      <c r="O558" s="452"/>
      <c r="P558" s="452"/>
      <c r="Q558" s="452"/>
      <c r="R558" s="452"/>
      <c r="S558" s="452"/>
      <c r="T558" s="452"/>
      <c r="U558" s="452"/>
      <c r="V558" s="452"/>
      <c r="W558" s="452"/>
      <c r="X558" s="452"/>
      <c r="Y558" s="452"/>
    </row>
    <row r="559" spans="1:25" ht="15.6">
      <c r="A559" s="452"/>
      <c r="B559" s="452"/>
      <c r="C559" s="452"/>
      <c r="D559" s="452"/>
      <c r="E559" s="452"/>
      <c r="F559" s="452"/>
      <c r="G559" s="452"/>
      <c r="H559" s="452"/>
      <c r="I559" s="452"/>
      <c r="J559" s="452"/>
      <c r="K559" s="452"/>
      <c r="L559" s="452"/>
      <c r="M559" s="452"/>
      <c r="N559" s="452"/>
      <c r="O559" s="452"/>
      <c r="P559" s="452"/>
      <c r="Q559" s="452"/>
      <c r="R559" s="452"/>
      <c r="S559" s="452"/>
      <c r="T559" s="452"/>
      <c r="U559" s="452"/>
      <c r="V559" s="452"/>
      <c r="W559" s="452"/>
      <c r="X559" s="452"/>
      <c r="Y559" s="452"/>
    </row>
    <row r="560" spans="1:25" ht="15.6">
      <c r="A560" s="452"/>
      <c r="B560" s="452"/>
      <c r="C560" s="452"/>
      <c r="D560" s="452"/>
      <c r="E560" s="452"/>
      <c r="F560" s="452"/>
      <c r="G560" s="452"/>
      <c r="H560" s="452"/>
      <c r="I560" s="452"/>
      <c r="J560" s="452"/>
      <c r="K560" s="452"/>
      <c r="L560" s="452"/>
      <c r="M560" s="452"/>
      <c r="N560" s="452"/>
      <c r="O560" s="452"/>
      <c r="P560" s="452"/>
      <c r="Q560" s="452"/>
      <c r="R560" s="452"/>
      <c r="S560" s="452"/>
      <c r="T560" s="452"/>
      <c r="U560" s="452"/>
      <c r="V560" s="452"/>
      <c r="W560" s="452"/>
      <c r="X560" s="452"/>
      <c r="Y560" s="452"/>
    </row>
    <row r="561" spans="1:25" ht="15.6">
      <c r="A561" s="452"/>
      <c r="B561" s="452"/>
      <c r="C561" s="452"/>
      <c r="D561" s="452"/>
      <c r="E561" s="452"/>
      <c r="F561" s="452"/>
      <c r="G561" s="452"/>
      <c r="H561" s="452"/>
      <c r="I561" s="452"/>
      <c r="J561" s="452"/>
      <c r="K561" s="452"/>
      <c r="L561" s="452"/>
      <c r="M561" s="452"/>
      <c r="N561" s="452"/>
      <c r="O561" s="452"/>
      <c r="P561" s="452"/>
      <c r="Q561" s="452"/>
      <c r="R561" s="452"/>
      <c r="S561" s="452"/>
      <c r="T561" s="452"/>
      <c r="U561" s="452"/>
      <c r="V561" s="452"/>
      <c r="W561" s="452"/>
      <c r="X561" s="452"/>
      <c r="Y561" s="452"/>
    </row>
    <row r="562" spans="1:25" ht="15.6">
      <c r="A562" s="452"/>
      <c r="B562" s="452"/>
      <c r="C562" s="452"/>
      <c r="D562" s="452"/>
      <c r="E562" s="452"/>
      <c r="F562" s="452"/>
      <c r="G562" s="452"/>
      <c r="H562" s="452"/>
      <c r="I562" s="452"/>
      <c r="J562" s="452"/>
      <c r="K562" s="452"/>
      <c r="L562" s="452"/>
      <c r="M562" s="452"/>
      <c r="N562" s="452"/>
      <c r="O562" s="452"/>
      <c r="P562" s="452"/>
      <c r="Q562" s="452"/>
      <c r="R562" s="452"/>
      <c r="S562" s="452"/>
      <c r="T562" s="452"/>
      <c r="U562" s="452"/>
      <c r="V562" s="452"/>
      <c r="W562" s="452"/>
      <c r="X562" s="452"/>
      <c r="Y562" s="452"/>
    </row>
    <row r="563" spans="1:25" ht="15.6">
      <c r="A563" s="452"/>
      <c r="B563" s="452"/>
      <c r="C563" s="452"/>
      <c r="D563" s="452"/>
      <c r="E563" s="452"/>
      <c r="F563" s="452"/>
      <c r="G563" s="452"/>
      <c r="H563" s="452"/>
      <c r="I563" s="452"/>
      <c r="J563" s="452"/>
      <c r="K563" s="452"/>
      <c r="L563" s="452"/>
      <c r="M563" s="452"/>
      <c r="N563" s="452"/>
      <c r="O563" s="452"/>
      <c r="P563" s="452"/>
      <c r="Q563" s="452"/>
      <c r="R563" s="452"/>
      <c r="S563" s="452"/>
      <c r="T563" s="452"/>
      <c r="U563" s="452"/>
      <c r="V563" s="452"/>
      <c r="W563" s="452"/>
      <c r="X563" s="452"/>
      <c r="Y563" s="452"/>
    </row>
    <row r="564" spans="1:25" ht="15.6">
      <c r="A564" s="452"/>
      <c r="B564" s="452"/>
      <c r="C564" s="452"/>
      <c r="D564" s="452"/>
      <c r="E564" s="452"/>
      <c r="F564" s="452"/>
      <c r="G564" s="452"/>
      <c r="H564" s="452"/>
      <c r="I564" s="452"/>
      <c r="J564" s="452"/>
      <c r="K564" s="452"/>
      <c r="L564" s="452"/>
      <c r="M564" s="452"/>
      <c r="N564" s="452"/>
      <c r="O564" s="452"/>
      <c r="P564" s="452"/>
      <c r="Q564" s="452"/>
      <c r="R564" s="452"/>
      <c r="S564" s="452"/>
      <c r="T564" s="452"/>
      <c r="U564" s="452"/>
      <c r="V564" s="452"/>
      <c r="W564" s="452"/>
      <c r="X564" s="452"/>
      <c r="Y564" s="452"/>
    </row>
    <row r="565" spans="1:25" ht="15.6">
      <c r="A565" s="452"/>
      <c r="B565" s="452"/>
      <c r="C565" s="452"/>
      <c r="D565" s="452"/>
      <c r="E565" s="452"/>
      <c r="F565" s="452"/>
      <c r="G565" s="452"/>
      <c r="H565" s="452"/>
      <c r="I565" s="452"/>
      <c r="J565" s="452"/>
      <c r="K565" s="452"/>
      <c r="L565" s="452"/>
      <c r="M565" s="452"/>
      <c r="N565" s="452"/>
      <c r="O565" s="452"/>
      <c r="P565" s="452"/>
      <c r="Q565" s="452"/>
      <c r="R565" s="452"/>
      <c r="S565" s="452"/>
      <c r="T565" s="452"/>
      <c r="U565" s="452"/>
      <c r="V565" s="452"/>
      <c r="W565" s="452"/>
      <c r="X565" s="452"/>
      <c r="Y565" s="452"/>
    </row>
    <row r="566" spans="1:25" ht="15.6">
      <c r="A566" s="452"/>
      <c r="B566" s="452"/>
      <c r="C566" s="452"/>
      <c r="D566" s="452"/>
      <c r="E566" s="452"/>
      <c r="F566" s="452"/>
      <c r="G566" s="452"/>
      <c r="H566" s="452"/>
      <c r="I566" s="452"/>
      <c r="J566" s="452"/>
      <c r="K566" s="452"/>
      <c r="L566" s="452"/>
      <c r="M566" s="452"/>
      <c r="N566" s="452"/>
      <c r="O566" s="452"/>
      <c r="P566" s="452"/>
      <c r="Q566" s="452"/>
      <c r="R566" s="452"/>
      <c r="S566" s="452"/>
      <c r="T566" s="452"/>
      <c r="U566" s="452"/>
      <c r="V566" s="452"/>
      <c r="W566" s="452"/>
      <c r="X566" s="452"/>
      <c r="Y566" s="452"/>
    </row>
    <row r="567" spans="1:25" ht="15.6">
      <c r="A567" s="452"/>
      <c r="B567" s="452"/>
      <c r="C567" s="452"/>
      <c r="D567" s="452"/>
      <c r="E567" s="452"/>
      <c r="F567" s="452"/>
      <c r="G567" s="452"/>
      <c r="H567" s="452"/>
      <c r="I567" s="452"/>
      <c r="J567" s="452"/>
      <c r="K567" s="452"/>
      <c r="L567" s="452"/>
      <c r="M567" s="452"/>
      <c r="N567" s="452"/>
      <c r="O567" s="452"/>
      <c r="P567" s="452"/>
      <c r="Q567" s="452"/>
      <c r="R567" s="452"/>
      <c r="S567" s="452"/>
      <c r="T567" s="452"/>
      <c r="U567" s="452"/>
      <c r="V567" s="452"/>
      <c r="W567" s="452"/>
      <c r="X567" s="452"/>
      <c r="Y567" s="452"/>
    </row>
    <row r="568" spans="1:25" ht="15.6">
      <c r="A568" s="452"/>
      <c r="B568" s="452"/>
      <c r="C568" s="452"/>
      <c r="D568" s="452"/>
      <c r="E568" s="452"/>
      <c r="F568" s="452"/>
      <c r="G568" s="452"/>
      <c r="H568" s="452"/>
      <c r="I568" s="452"/>
      <c r="J568" s="452"/>
      <c r="K568" s="452"/>
      <c r="L568" s="452"/>
      <c r="M568" s="452"/>
      <c r="N568" s="452"/>
      <c r="O568" s="452"/>
      <c r="P568" s="452"/>
      <c r="Q568" s="452"/>
      <c r="R568" s="452"/>
      <c r="S568" s="452"/>
      <c r="T568" s="452"/>
      <c r="U568" s="452"/>
      <c r="V568" s="452"/>
      <c r="W568" s="452"/>
      <c r="X568" s="452"/>
      <c r="Y568" s="452"/>
    </row>
    <row r="569" spans="1:25" ht="15.6">
      <c r="A569" s="452"/>
      <c r="B569" s="452"/>
      <c r="C569" s="452"/>
      <c r="D569" s="452"/>
      <c r="E569" s="452"/>
      <c r="F569" s="452"/>
      <c r="G569" s="452"/>
      <c r="H569" s="452"/>
      <c r="I569" s="452"/>
      <c r="J569" s="452"/>
      <c r="K569" s="452"/>
      <c r="L569" s="452"/>
      <c r="M569" s="452"/>
      <c r="N569" s="452"/>
      <c r="O569" s="452"/>
      <c r="P569" s="452"/>
      <c r="Q569" s="452"/>
      <c r="R569" s="452"/>
      <c r="S569" s="452"/>
      <c r="T569" s="452"/>
      <c r="U569" s="452"/>
      <c r="V569" s="452"/>
      <c r="W569" s="452"/>
      <c r="X569" s="452"/>
      <c r="Y569" s="452"/>
    </row>
    <row r="570" spans="1:25" ht="15.6">
      <c r="A570" s="452"/>
      <c r="B570" s="452"/>
      <c r="C570" s="452"/>
      <c r="D570" s="452"/>
      <c r="E570" s="452"/>
      <c r="F570" s="452"/>
      <c r="G570" s="452"/>
      <c r="H570" s="452"/>
      <c r="I570" s="452"/>
      <c r="J570" s="452"/>
      <c r="K570" s="452"/>
      <c r="L570" s="452"/>
      <c r="M570" s="452"/>
      <c r="N570" s="452"/>
      <c r="O570" s="452"/>
      <c r="P570" s="452"/>
      <c r="Q570" s="452"/>
      <c r="R570" s="452"/>
      <c r="S570" s="452"/>
      <c r="T570" s="452"/>
      <c r="U570" s="452"/>
      <c r="V570" s="452"/>
      <c r="W570" s="452"/>
      <c r="X570" s="452"/>
      <c r="Y570" s="452"/>
    </row>
    <row r="571" spans="1:25" ht="15.6">
      <c r="A571" s="452"/>
      <c r="B571" s="452"/>
      <c r="C571" s="452"/>
      <c r="D571" s="452"/>
      <c r="E571" s="452"/>
      <c r="F571" s="452"/>
      <c r="G571" s="452"/>
      <c r="H571" s="452"/>
      <c r="I571" s="452"/>
      <c r="J571" s="452"/>
      <c r="K571" s="452"/>
      <c r="L571" s="452"/>
      <c r="M571" s="452"/>
      <c r="N571" s="452"/>
      <c r="O571" s="452"/>
      <c r="P571" s="452"/>
      <c r="Q571" s="452"/>
      <c r="R571" s="452"/>
      <c r="S571" s="452"/>
      <c r="T571" s="452"/>
      <c r="U571" s="452"/>
      <c r="V571" s="452"/>
      <c r="W571" s="452"/>
      <c r="X571" s="452"/>
      <c r="Y571" s="452"/>
    </row>
    <row r="572" spans="1:25" ht="15.6">
      <c r="A572" s="452"/>
      <c r="B572" s="452"/>
      <c r="C572" s="452"/>
      <c r="D572" s="452"/>
      <c r="E572" s="452"/>
      <c r="F572" s="452"/>
      <c r="G572" s="452"/>
      <c r="H572" s="452"/>
      <c r="I572" s="452"/>
      <c r="J572" s="452"/>
      <c r="K572" s="452"/>
      <c r="L572" s="452"/>
      <c r="M572" s="452"/>
      <c r="N572" s="452"/>
      <c r="O572" s="452"/>
      <c r="P572" s="452"/>
      <c r="Q572" s="452"/>
      <c r="R572" s="452"/>
      <c r="S572" s="452"/>
      <c r="T572" s="452"/>
      <c r="U572" s="452"/>
      <c r="V572" s="452"/>
      <c r="W572" s="452"/>
      <c r="X572" s="452"/>
      <c r="Y572" s="452"/>
    </row>
    <row r="573" spans="1:25" ht="15.6">
      <c r="A573" s="452"/>
      <c r="B573" s="452"/>
      <c r="C573" s="452"/>
      <c r="D573" s="452"/>
      <c r="E573" s="452"/>
      <c r="F573" s="452"/>
      <c r="G573" s="452"/>
      <c r="H573" s="452"/>
      <c r="I573" s="452"/>
      <c r="J573" s="452"/>
      <c r="K573" s="452"/>
      <c r="L573" s="452"/>
      <c r="M573" s="452"/>
      <c r="N573" s="452"/>
      <c r="O573" s="452"/>
      <c r="P573" s="452"/>
      <c r="Q573" s="452"/>
      <c r="R573" s="452"/>
      <c r="S573" s="452"/>
      <c r="T573" s="452"/>
      <c r="U573" s="452"/>
      <c r="V573" s="452"/>
      <c r="W573" s="452"/>
      <c r="X573" s="452"/>
      <c r="Y573" s="452"/>
    </row>
    <row r="574" spans="1:25" ht="15.6">
      <c r="A574" s="452"/>
      <c r="B574" s="452"/>
      <c r="C574" s="452"/>
      <c r="D574" s="452"/>
      <c r="E574" s="452"/>
      <c r="F574" s="452"/>
      <c r="G574" s="452"/>
      <c r="H574" s="452"/>
      <c r="I574" s="452"/>
      <c r="J574" s="452"/>
      <c r="K574" s="452"/>
      <c r="L574" s="452"/>
      <c r="M574" s="452"/>
      <c r="N574" s="452"/>
      <c r="O574" s="452"/>
      <c r="P574" s="452"/>
      <c r="Q574" s="452"/>
      <c r="R574" s="452"/>
      <c r="S574" s="452"/>
      <c r="T574" s="452"/>
      <c r="U574" s="452"/>
      <c r="V574" s="452"/>
      <c r="W574" s="452"/>
      <c r="X574" s="452"/>
      <c r="Y574" s="452"/>
    </row>
    <row r="575" spans="1:25" ht="15.6">
      <c r="A575" s="452"/>
      <c r="B575" s="452"/>
      <c r="C575" s="452"/>
      <c r="D575" s="452"/>
      <c r="E575" s="452"/>
      <c r="F575" s="452"/>
      <c r="G575" s="452"/>
      <c r="H575" s="452"/>
      <c r="I575" s="452"/>
      <c r="J575" s="452"/>
      <c r="K575" s="452"/>
      <c r="L575" s="452"/>
      <c r="M575" s="452"/>
      <c r="N575" s="452"/>
      <c r="O575" s="452"/>
      <c r="P575" s="452"/>
      <c r="Q575" s="452"/>
      <c r="R575" s="452"/>
      <c r="S575" s="452"/>
      <c r="T575" s="452"/>
      <c r="U575" s="452"/>
      <c r="V575" s="452"/>
      <c r="W575" s="452"/>
      <c r="X575" s="452"/>
      <c r="Y575" s="452"/>
    </row>
    <row r="576" spans="1:25" ht="15.6">
      <c r="A576" s="452"/>
      <c r="B576" s="452"/>
      <c r="C576" s="452"/>
      <c r="D576" s="452"/>
      <c r="E576" s="452"/>
      <c r="F576" s="452"/>
      <c r="G576" s="452"/>
      <c r="H576" s="452"/>
      <c r="I576" s="452"/>
      <c r="J576" s="452"/>
      <c r="K576" s="452"/>
      <c r="L576" s="452"/>
      <c r="M576" s="452"/>
      <c r="N576" s="452"/>
      <c r="O576" s="452"/>
      <c r="P576" s="452"/>
      <c r="Q576" s="452"/>
      <c r="R576" s="452"/>
      <c r="S576" s="452"/>
      <c r="T576" s="452"/>
      <c r="U576" s="452"/>
      <c r="V576" s="452"/>
      <c r="W576" s="452"/>
      <c r="X576" s="452"/>
      <c r="Y576" s="452"/>
    </row>
    <row r="577" spans="1:25" ht="15.6">
      <c r="A577" s="452"/>
      <c r="B577" s="452"/>
      <c r="C577" s="452"/>
      <c r="D577" s="452"/>
      <c r="E577" s="452"/>
      <c r="F577" s="452"/>
      <c r="G577" s="452"/>
      <c r="H577" s="452"/>
      <c r="I577" s="452"/>
      <c r="J577" s="452"/>
      <c r="K577" s="452"/>
      <c r="L577" s="452"/>
      <c r="M577" s="452"/>
      <c r="N577" s="452"/>
      <c r="O577" s="452"/>
      <c r="P577" s="452"/>
      <c r="Q577" s="452"/>
      <c r="R577" s="452"/>
      <c r="S577" s="452"/>
      <c r="T577" s="452"/>
      <c r="U577" s="452"/>
      <c r="V577" s="452"/>
      <c r="W577" s="452"/>
      <c r="X577" s="452"/>
      <c r="Y577" s="452"/>
    </row>
    <row r="578" spans="1:25" ht="15.6">
      <c r="A578" s="452"/>
      <c r="B578" s="452"/>
      <c r="C578" s="452"/>
      <c r="D578" s="452"/>
      <c r="E578" s="452"/>
      <c r="F578" s="452"/>
      <c r="G578" s="452"/>
      <c r="H578" s="452"/>
      <c r="I578" s="452"/>
      <c r="J578" s="452"/>
      <c r="K578" s="452"/>
      <c r="L578" s="452"/>
      <c r="M578" s="452"/>
      <c r="N578" s="452"/>
      <c r="O578" s="452"/>
      <c r="P578" s="452"/>
      <c r="Q578" s="452"/>
      <c r="R578" s="452"/>
      <c r="S578" s="452"/>
      <c r="T578" s="452"/>
      <c r="U578" s="452"/>
      <c r="V578" s="452"/>
      <c r="W578" s="452"/>
      <c r="X578" s="452"/>
      <c r="Y578" s="452"/>
    </row>
    <row r="579" spans="1:25" ht="15.6">
      <c r="A579" s="452"/>
      <c r="B579" s="452"/>
      <c r="C579" s="452"/>
      <c r="D579" s="452"/>
      <c r="E579" s="452"/>
      <c r="F579" s="452"/>
      <c r="G579" s="452"/>
      <c r="H579" s="452"/>
      <c r="I579" s="452"/>
      <c r="J579" s="452"/>
      <c r="K579" s="452"/>
      <c r="L579" s="452"/>
      <c r="M579" s="452"/>
      <c r="N579" s="452"/>
      <c r="O579" s="452"/>
      <c r="P579" s="452"/>
      <c r="Q579" s="452"/>
      <c r="R579" s="452"/>
      <c r="S579" s="452"/>
      <c r="T579" s="452"/>
      <c r="U579" s="452"/>
      <c r="V579" s="452"/>
      <c r="W579" s="452"/>
      <c r="X579" s="452"/>
      <c r="Y579" s="452"/>
    </row>
    <row r="580" spans="1:25" ht="15.6">
      <c r="A580" s="452"/>
      <c r="B580" s="452"/>
      <c r="C580" s="452"/>
      <c r="D580" s="452"/>
      <c r="E580" s="452"/>
      <c r="F580" s="452"/>
      <c r="G580" s="452"/>
      <c r="H580" s="452"/>
      <c r="I580" s="452"/>
      <c r="J580" s="452"/>
      <c r="K580" s="452"/>
      <c r="L580" s="452"/>
      <c r="M580" s="452"/>
      <c r="N580" s="452"/>
      <c r="O580" s="452"/>
      <c r="P580" s="452"/>
      <c r="Q580" s="452"/>
      <c r="R580" s="452"/>
      <c r="S580" s="452"/>
      <c r="T580" s="452"/>
      <c r="U580" s="452"/>
      <c r="V580" s="452"/>
      <c r="W580" s="452"/>
      <c r="X580" s="452"/>
      <c r="Y580" s="452"/>
    </row>
    <row r="581" spans="1:25" ht="15.6">
      <c r="A581" s="452"/>
      <c r="B581" s="452"/>
      <c r="C581" s="452"/>
      <c r="D581" s="452"/>
      <c r="E581" s="452"/>
      <c r="F581" s="452"/>
      <c r="G581" s="452"/>
      <c r="H581" s="452"/>
      <c r="I581" s="452"/>
      <c r="J581" s="452"/>
      <c r="K581" s="452"/>
      <c r="L581" s="452"/>
      <c r="M581" s="452"/>
      <c r="N581" s="452"/>
      <c r="O581" s="452"/>
      <c r="P581" s="452"/>
      <c r="Q581" s="452"/>
      <c r="R581" s="452"/>
      <c r="S581" s="452"/>
      <c r="T581" s="452"/>
      <c r="U581" s="452"/>
      <c r="V581" s="452"/>
      <c r="W581" s="452"/>
      <c r="X581" s="452"/>
      <c r="Y581" s="452"/>
    </row>
    <row r="582" spans="1:25" ht="15.6">
      <c r="A582" s="452"/>
      <c r="B582" s="452"/>
      <c r="C582" s="452"/>
      <c r="D582" s="452"/>
      <c r="E582" s="452"/>
      <c r="F582" s="452"/>
      <c r="G582" s="452"/>
      <c r="H582" s="452"/>
      <c r="I582" s="452"/>
      <c r="J582" s="452"/>
      <c r="K582" s="452"/>
      <c r="L582" s="452"/>
      <c r="M582" s="452"/>
      <c r="N582" s="452"/>
      <c r="O582" s="452"/>
      <c r="P582" s="452"/>
      <c r="Q582" s="452"/>
      <c r="R582" s="452"/>
      <c r="S582" s="452"/>
      <c r="T582" s="452"/>
      <c r="U582" s="452"/>
      <c r="V582" s="452"/>
      <c r="W582" s="452"/>
      <c r="X582" s="452"/>
      <c r="Y582" s="452"/>
    </row>
    <row r="583" spans="1:25" ht="15.6">
      <c r="A583" s="452"/>
      <c r="B583" s="452"/>
      <c r="C583" s="452"/>
      <c r="D583" s="452"/>
      <c r="E583" s="452"/>
      <c r="F583" s="452"/>
      <c r="G583" s="452"/>
      <c r="H583" s="452"/>
      <c r="I583" s="452"/>
      <c r="J583" s="452"/>
      <c r="K583" s="452"/>
      <c r="L583" s="452"/>
      <c r="M583" s="452"/>
      <c r="N583" s="452"/>
      <c r="O583" s="452"/>
      <c r="P583" s="452"/>
      <c r="Q583" s="452"/>
      <c r="R583" s="452"/>
      <c r="S583" s="452"/>
      <c r="T583" s="452"/>
      <c r="U583" s="452"/>
      <c r="V583" s="452"/>
      <c r="W583" s="452"/>
      <c r="X583" s="452"/>
      <c r="Y583" s="452"/>
    </row>
    <row r="584" spans="1:25" ht="15.6">
      <c r="A584" s="452"/>
      <c r="B584" s="452"/>
      <c r="C584" s="452"/>
      <c r="D584" s="452"/>
      <c r="E584" s="452"/>
      <c r="F584" s="452"/>
      <c r="G584" s="452"/>
      <c r="H584" s="452"/>
      <c r="I584" s="452"/>
      <c r="J584" s="452"/>
      <c r="K584" s="452"/>
      <c r="L584" s="452"/>
      <c r="M584" s="452"/>
      <c r="N584" s="452"/>
      <c r="O584" s="452"/>
      <c r="P584" s="452"/>
      <c r="Q584" s="452"/>
      <c r="R584" s="452"/>
      <c r="S584" s="452"/>
      <c r="T584" s="452"/>
      <c r="U584" s="452"/>
      <c r="V584" s="452"/>
      <c r="W584" s="452"/>
      <c r="X584" s="452"/>
      <c r="Y584" s="452"/>
    </row>
    <row r="585" spans="1:25" ht="15.6">
      <c r="A585" s="452"/>
      <c r="B585" s="452"/>
      <c r="C585" s="452"/>
      <c r="D585" s="452"/>
      <c r="E585" s="452"/>
      <c r="F585" s="452"/>
      <c r="G585" s="452"/>
      <c r="H585" s="452"/>
      <c r="I585" s="452"/>
      <c r="J585" s="452"/>
      <c r="K585" s="452"/>
      <c r="L585" s="452"/>
      <c r="M585" s="452"/>
      <c r="N585" s="452"/>
      <c r="O585" s="452"/>
      <c r="P585" s="452"/>
      <c r="Q585" s="452"/>
      <c r="R585" s="452"/>
      <c r="S585" s="452"/>
      <c r="T585" s="452"/>
      <c r="U585" s="452"/>
      <c r="V585" s="452"/>
      <c r="W585" s="452"/>
      <c r="X585" s="452"/>
      <c r="Y585" s="452"/>
    </row>
    <row r="586" spans="1:25" ht="15.6">
      <c r="A586" s="452"/>
      <c r="B586" s="452"/>
      <c r="C586" s="452"/>
      <c r="D586" s="452"/>
      <c r="E586" s="452"/>
      <c r="F586" s="452"/>
      <c r="G586" s="452"/>
      <c r="H586" s="452"/>
      <c r="I586" s="452"/>
      <c r="J586" s="452"/>
      <c r="K586" s="452"/>
      <c r="L586" s="452"/>
      <c r="M586" s="452"/>
      <c r="N586" s="452"/>
      <c r="O586" s="452"/>
      <c r="P586" s="452"/>
      <c r="Q586" s="452"/>
      <c r="R586" s="452"/>
      <c r="S586" s="452"/>
      <c r="T586" s="452"/>
      <c r="U586" s="452"/>
      <c r="V586" s="452"/>
      <c r="W586" s="452"/>
      <c r="X586" s="452"/>
      <c r="Y586" s="452"/>
    </row>
    <row r="587" spans="1:25" ht="15.6">
      <c r="A587" s="452"/>
      <c r="B587" s="452"/>
      <c r="C587" s="452"/>
      <c r="D587" s="452"/>
      <c r="E587" s="452"/>
      <c r="F587" s="452"/>
      <c r="G587" s="452"/>
      <c r="H587" s="452"/>
      <c r="I587" s="452"/>
      <c r="J587" s="452"/>
      <c r="K587" s="452"/>
      <c r="L587" s="452"/>
      <c r="M587" s="452"/>
      <c r="N587" s="452"/>
      <c r="O587" s="452"/>
      <c r="P587" s="452"/>
      <c r="Q587" s="452"/>
      <c r="R587" s="452"/>
      <c r="S587" s="452"/>
      <c r="T587" s="452"/>
      <c r="U587" s="452"/>
      <c r="V587" s="452"/>
      <c r="W587" s="452"/>
      <c r="X587" s="452"/>
      <c r="Y587" s="452"/>
    </row>
    <row r="588" spans="1:25" ht="15.6">
      <c r="A588" s="452"/>
      <c r="B588" s="452"/>
      <c r="C588" s="452"/>
      <c r="D588" s="452"/>
      <c r="E588" s="452"/>
      <c r="F588" s="452"/>
      <c r="G588" s="452"/>
      <c r="H588" s="452"/>
      <c r="I588" s="452"/>
      <c r="J588" s="452"/>
      <c r="K588" s="452"/>
      <c r="L588" s="452"/>
      <c r="M588" s="452"/>
      <c r="N588" s="452"/>
      <c r="O588" s="452"/>
      <c r="P588" s="452"/>
      <c r="Q588" s="452"/>
      <c r="R588" s="452"/>
      <c r="S588" s="452"/>
      <c r="T588" s="452"/>
      <c r="U588" s="452"/>
      <c r="V588" s="452"/>
      <c r="W588" s="452"/>
      <c r="X588" s="452"/>
      <c r="Y588" s="452"/>
    </row>
    <row r="589" spans="1:25" ht="15.6">
      <c r="A589" s="452"/>
      <c r="B589" s="452"/>
      <c r="C589" s="452"/>
      <c r="D589" s="452"/>
      <c r="E589" s="452"/>
      <c r="F589" s="452"/>
      <c r="G589" s="452"/>
      <c r="H589" s="452"/>
      <c r="I589" s="452"/>
      <c r="J589" s="452"/>
      <c r="K589" s="452"/>
      <c r="L589" s="452"/>
      <c r="M589" s="452"/>
      <c r="N589" s="452"/>
      <c r="O589" s="452"/>
      <c r="P589" s="452"/>
      <c r="Q589" s="452"/>
      <c r="R589" s="452"/>
      <c r="S589" s="452"/>
      <c r="T589" s="452"/>
      <c r="U589" s="452"/>
      <c r="V589" s="452"/>
      <c r="W589" s="452"/>
      <c r="X589" s="452"/>
      <c r="Y589" s="452"/>
    </row>
    <row r="590" spans="1:25" ht="15.6">
      <c r="A590" s="452"/>
      <c r="B590" s="452"/>
      <c r="C590" s="452"/>
      <c r="D590" s="452"/>
      <c r="E590" s="452"/>
      <c r="F590" s="452"/>
      <c r="G590" s="452"/>
      <c r="H590" s="452"/>
      <c r="I590" s="452"/>
      <c r="J590" s="452"/>
      <c r="K590" s="452"/>
      <c r="L590" s="452"/>
      <c r="M590" s="452"/>
      <c r="N590" s="452"/>
      <c r="O590" s="452"/>
      <c r="P590" s="452"/>
      <c r="Q590" s="452"/>
      <c r="R590" s="452"/>
      <c r="S590" s="452"/>
      <c r="T590" s="452"/>
      <c r="U590" s="452"/>
      <c r="V590" s="452"/>
      <c r="W590" s="452"/>
      <c r="X590" s="452"/>
      <c r="Y590" s="452"/>
    </row>
    <row r="591" spans="1:25" ht="15.6">
      <c r="A591" s="452"/>
      <c r="B591" s="452"/>
      <c r="C591" s="452"/>
      <c r="D591" s="452"/>
      <c r="E591" s="452"/>
      <c r="F591" s="452"/>
      <c r="G591" s="452"/>
      <c r="H591" s="452"/>
      <c r="I591" s="452"/>
      <c r="J591" s="452"/>
      <c r="K591" s="452"/>
      <c r="L591" s="452"/>
      <c r="M591" s="452"/>
      <c r="N591" s="452"/>
      <c r="O591" s="452"/>
      <c r="P591" s="452"/>
      <c r="Q591" s="452"/>
      <c r="R591" s="452"/>
      <c r="S591" s="452"/>
      <c r="T591" s="452"/>
      <c r="U591" s="452"/>
      <c r="V591" s="452"/>
      <c r="W591" s="452"/>
      <c r="X591" s="452"/>
      <c r="Y591" s="452"/>
    </row>
    <row r="592" spans="1:25" ht="15.6">
      <c r="A592" s="452"/>
      <c r="B592" s="452"/>
      <c r="C592" s="452"/>
      <c r="D592" s="452"/>
      <c r="E592" s="452"/>
      <c r="F592" s="452"/>
      <c r="G592" s="452"/>
      <c r="H592" s="452"/>
      <c r="I592" s="452"/>
      <c r="J592" s="452"/>
      <c r="K592" s="452"/>
      <c r="L592" s="452"/>
      <c r="M592" s="452"/>
      <c r="N592" s="452"/>
      <c r="O592" s="452"/>
      <c r="P592" s="452"/>
      <c r="Q592" s="452"/>
      <c r="R592" s="452"/>
      <c r="S592" s="452"/>
      <c r="T592" s="452"/>
      <c r="U592" s="452"/>
      <c r="V592" s="452"/>
      <c r="W592" s="452"/>
      <c r="X592" s="452"/>
      <c r="Y592" s="452"/>
    </row>
    <row r="593" spans="1:25" ht="15.6">
      <c r="A593" s="452"/>
      <c r="B593" s="452"/>
      <c r="C593" s="452"/>
      <c r="D593" s="452"/>
      <c r="E593" s="452"/>
      <c r="F593" s="452"/>
      <c r="G593" s="452"/>
      <c r="H593" s="452"/>
      <c r="I593" s="452"/>
      <c r="J593" s="452"/>
      <c r="K593" s="452"/>
      <c r="L593" s="452"/>
      <c r="M593" s="452"/>
      <c r="N593" s="452"/>
      <c r="O593" s="452"/>
      <c r="P593" s="452"/>
      <c r="Q593" s="452"/>
      <c r="R593" s="452"/>
      <c r="S593" s="452"/>
      <c r="T593" s="452"/>
      <c r="U593" s="452"/>
      <c r="V593" s="452"/>
      <c r="W593" s="452"/>
      <c r="X593" s="452"/>
      <c r="Y593" s="452"/>
    </row>
    <row r="594" spans="1:25" ht="15.6">
      <c r="A594" s="452"/>
      <c r="B594" s="452"/>
      <c r="C594" s="452"/>
      <c r="D594" s="452"/>
      <c r="E594" s="452"/>
      <c r="F594" s="452"/>
      <c r="G594" s="452"/>
      <c r="H594" s="452"/>
      <c r="I594" s="452"/>
      <c r="J594" s="452"/>
      <c r="K594" s="452"/>
      <c r="L594" s="452"/>
      <c r="M594" s="452"/>
      <c r="N594" s="452"/>
      <c r="O594" s="452"/>
      <c r="P594" s="452"/>
      <c r="Q594" s="452"/>
      <c r="R594" s="452"/>
      <c r="S594" s="452"/>
      <c r="T594" s="452"/>
      <c r="U594" s="452"/>
      <c r="V594" s="452"/>
      <c r="W594" s="452"/>
      <c r="X594" s="452"/>
      <c r="Y594" s="452"/>
    </row>
    <row r="595" spans="1:25" ht="15.6">
      <c r="A595" s="452"/>
      <c r="B595" s="452"/>
      <c r="C595" s="452"/>
      <c r="D595" s="452"/>
      <c r="E595" s="452"/>
      <c r="F595" s="452"/>
      <c r="G595" s="452"/>
      <c r="H595" s="452"/>
      <c r="I595" s="452"/>
      <c r="J595" s="452"/>
      <c r="K595" s="452"/>
      <c r="L595" s="452"/>
      <c r="M595" s="452"/>
      <c r="N595" s="452"/>
      <c r="O595" s="452"/>
      <c r="P595" s="452"/>
      <c r="Q595" s="452"/>
      <c r="R595" s="452"/>
      <c r="S595" s="452"/>
      <c r="T595" s="452"/>
      <c r="U595" s="452"/>
      <c r="V595" s="452"/>
      <c r="W595" s="452"/>
      <c r="X595" s="452"/>
      <c r="Y595" s="452"/>
    </row>
    <row r="596" spans="1:25" ht="15.6">
      <c r="A596" s="452"/>
      <c r="B596" s="452"/>
      <c r="C596" s="452"/>
      <c r="D596" s="452"/>
      <c r="E596" s="452"/>
      <c r="F596" s="452"/>
      <c r="G596" s="452"/>
      <c r="H596" s="452"/>
      <c r="I596" s="452"/>
      <c r="J596" s="452"/>
      <c r="K596" s="452"/>
      <c r="L596" s="452"/>
      <c r="M596" s="452"/>
      <c r="N596" s="452"/>
      <c r="O596" s="452"/>
      <c r="P596" s="452"/>
      <c r="Q596" s="452"/>
      <c r="R596" s="452"/>
      <c r="S596" s="452"/>
      <c r="T596" s="452"/>
      <c r="U596" s="452"/>
      <c r="V596" s="452"/>
      <c r="W596" s="452"/>
      <c r="X596" s="452"/>
      <c r="Y596" s="452"/>
    </row>
    <row r="597" spans="1:25" ht="15.6">
      <c r="A597" s="452"/>
      <c r="B597" s="452"/>
      <c r="C597" s="452"/>
      <c r="D597" s="452"/>
      <c r="E597" s="452"/>
      <c r="F597" s="452"/>
      <c r="G597" s="452"/>
      <c r="H597" s="452"/>
      <c r="I597" s="452"/>
      <c r="J597" s="452"/>
      <c r="K597" s="452"/>
      <c r="L597" s="452"/>
      <c r="M597" s="452"/>
      <c r="N597" s="452"/>
      <c r="O597" s="452"/>
      <c r="P597" s="452"/>
      <c r="Q597" s="452"/>
      <c r="R597" s="452"/>
      <c r="S597" s="452"/>
      <c r="T597" s="452"/>
      <c r="U597" s="452"/>
      <c r="V597" s="452"/>
      <c r="W597" s="452"/>
      <c r="X597" s="452"/>
      <c r="Y597" s="452"/>
    </row>
    <row r="598" spans="1:25" ht="15.6">
      <c r="A598" s="452"/>
      <c r="B598" s="452"/>
      <c r="C598" s="452"/>
      <c r="D598" s="452"/>
      <c r="E598" s="452"/>
      <c r="F598" s="452"/>
      <c r="G598" s="452"/>
      <c r="H598" s="452"/>
      <c r="I598" s="452"/>
      <c r="J598" s="452"/>
      <c r="K598" s="452"/>
      <c r="L598" s="452"/>
      <c r="M598" s="452"/>
      <c r="N598" s="452"/>
      <c r="O598" s="452"/>
      <c r="P598" s="452"/>
      <c r="Q598" s="452"/>
      <c r="R598" s="452"/>
      <c r="S598" s="452"/>
      <c r="T598" s="452"/>
      <c r="U598" s="452"/>
      <c r="V598" s="452"/>
      <c r="W598" s="452"/>
      <c r="X598" s="452"/>
      <c r="Y598" s="452"/>
    </row>
    <row r="599" spans="1:25" ht="15.6">
      <c r="A599" s="452"/>
      <c r="B599" s="452"/>
      <c r="C599" s="452"/>
      <c r="D599" s="452"/>
      <c r="E599" s="452"/>
      <c r="F599" s="452"/>
      <c r="G599" s="452"/>
      <c r="H599" s="452"/>
      <c r="I599" s="452"/>
      <c r="J599" s="452"/>
      <c r="K599" s="452"/>
      <c r="L599" s="452"/>
      <c r="M599" s="452"/>
      <c r="N599" s="452"/>
      <c r="O599" s="452"/>
      <c r="P599" s="452"/>
      <c r="Q599" s="452"/>
      <c r="R599" s="452"/>
      <c r="S599" s="452"/>
      <c r="T599" s="452"/>
      <c r="U599" s="452"/>
      <c r="V599" s="452"/>
      <c r="W599" s="452"/>
      <c r="X599" s="452"/>
      <c r="Y599" s="452"/>
    </row>
    <row r="600" spans="1:25" ht="15.6">
      <c r="A600" s="452"/>
      <c r="B600" s="452"/>
      <c r="C600" s="452"/>
      <c r="D600" s="452"/>
      <c r="E600" s="452"/>
      <c r="F600" s="452"/>
      <c r="G600" s="452"/>
      <c r="H600" s="452"/>
      <c r="I600" s="452"/>
      <c r="J600" s="452"/>
      <c r="K600" s="452"/>
      <c r="L600" s="452"/>
      <c r="M600" s="452"/>
      <c r="N600" s="452"/>
      <c r="O600" s="452"/>
      <c r="P600" s="452"/>
      <c r="Q600" s="452"/>
      <c r="R600" s="452"/>
      <c r="S600" s="452"/>
      <c r="T600" s="452"/>
      <c r="U600" s="452"/>
      <c r="V600" s="452"/>
      <c r="W600" s="452"/>
      <c r="X600" s="452"/>
      <c r="Y600" s="452"/>
    </row>
    <row r="601" spans="1:25" ht="15.6">
      <c r="A601" s="452"/>
      <c r="B601" s="452"/>
      <c r="C601" s="452"/>
      <c r="D601" s="452"/>
      <c r="E601" s="452"/>
      <c r="F601" s="452"/>
      <c r="G601" s="452"/>
      <c r="H601" s="452"/>
      <c r="I601" s="452"/>
      <c r="J601" s="452"/>
      <c r="K601" s="452"/>
      <c r="L601" s="452"/>
      <c r="M601" s="452"/>
      <c r="N601" s="452"/>
      <c r="O601" s="452"/>
      <c r="P601" s="452"/>
      <c r="Q601" s="452"/>
      <c r="R601" s="452"/>
      <c r="S601" s="452"/>
      <c r="T601" s="452"/>
      <c r="U601" s="452"/>
      <c r="V601" s="452"/>
      <c r="W601" s="452"/>
      <c r="X601" s="452"/>
      <c r="Y601" s="452"/>
    </row>
    <row r="602" spans="1:25" ht="15.6">
      <c r="A602" s="452"/>
      <c r="B602" s="452"/>
      <c r="C602" s="452"/>
      <c r="D602" s="452"/>
      <c r="E602" s="452"/>
      <c r="F602" s="452"/>
      <c r="G602" s="452"/>
      <c r="H602" s="452"/>
      <c r="I602" s="452"/>
      <c r="J602" s="452"/>
      <c r="K602" s="452"/>
      <c r="L602" s="452"/>
      <c r="M602" s="452"/>
      <c r="N602" s="452"/>
      <c r="O602" s="452"/>
      <c r="P602" s="452"/>
      <c r="Q602" s="452"/>
      <c r="R602" s="452"/>
      <c r="S602" s="452"/>
      <c r="T602" s="452"/>
      <c r="U602" s="452"/>
      <c r="V602" s="452"/>
      <c r="W602" s="452"/>
      <c r="X602" s="452"/>
      <c r="Y602" s="452"/>
    </row>
    <row r="603" spans="1:25" ht="15.6">
      <c r="A603" s="452"/>
      <c r="B603" s="452"/>
      <c r="C603" s="452"/>
      <c r="D603" s="452"/>
      <c r="E603" s="452"/>
      <c r="F603" s="452"/>
      <c r="G603" s="452"/>
      <c r="H603" s="452"/>
      <c r="I603" s="452"/>
      <c r="J603" s="452"/>
      <c r="K603" s="452"/>
      <c r="L603" s="452"/>
      <c r="M603" s="452"/>
      <c r="N603" s="452"/>
      <c r="O603" s="452"/>
      <c r="P603" s="452"/>
      <c r="Q603" s="452"/>
      <c r="R603" s="452"/>
      <c r="S603" s="452"/>
      <c r="T603" s="452"/>
      <c r="U603" s="452"/>
      <c r="V603" s="452"/>
      <c r="W603" s="452"/>
      <c r="X603" s="452"/>
      <c r="Y603" s="452"/>
    </row>
    <row r="604" spans="1:25" ht="15.6">
      <c r="A604" s="452"/>
      <c r="B604" s="452"/>
      <c r="C604" s="452"/>
      <c r="D604" s="452"/>
      <c r="E604" s="452"/>
      <c r="F604" s="452"/>
      <c r="G604" s="452"/>
      <c r="H604" s="452"/>
      <c r="I604" s="452"/>
      <c r="J604" s="452"/>
      <c r="K604" s="452"/>
      <c r="L604" s="452"/>
      <c r="M604" s="452"/>
      <c r="N604" s="452"/>
      <c r="O604" s="452"/>
      <c r="P604" s="452"/>
      <c r="Q604" s="452"/>
      <c r="R604" s="452"/>
      <c r="S604" s="452"/>
      <c r="T604" s="452"/>
      <c r="U604" s="452"/>
      <c r="V604" s="452"/>
      <c r="W604" s="452"/>
      <c r="X604" s="452"/>
      <c r="Y604" s="452"/>
    </row>
    <row r="605" spans="1:25" ht="15.6">
      <c r="A605" s="452"/>
      <c r="B605" s="452"/>
      <c r="C605" s="452"/>
      <c r="D605" s="452"/>
      <c r="E605" s="452"/>
      <c r="F605" s="452"/>
      <c r="G605" s="452"/>
      <c r="H605" s="452"/>
      <c r="I605" s="452"/>
      <c r="J605" s="452"/>
      <c r="K605" s="452"/>
      <c r="L605" s="452"/>
      <c r="M605" s="452"/>
      <c r="N605" s="452"/>
      <c r="O605" s="452"/>
      <c r="P605" s="452"/>
      <c r="Q605" s="452"/>
      <c r="R605" s="452"/>
      <c r="S605" s="452"/>
      <c r="T605" s="452"/>
      <c r="U605" s="452"/>
      <c r="V605" s="452"/>
      <c r="W605" s="452"/>
      <c r="X605" s="452"/>
      <c r="Y605" s="452"/>
    </row>
    <row r="606" spans="1:25" ht="15.6">
      <c r="A606" s="452"/>
      <c r="B606" s="452"/>
      <c r="C606" s="452"/>
      <c r="D606" s="452"/>
      <c r="E606" s="452"/>
      <c r="F606" s="452"/>
      <c r="G606" s="452"/>
      <c r="H606" s="452"/>
      <c r="I606" s="452"/>
      <c r="J606" s="452"/>
      <c r="K606" s="452"/>
      <c r="L606" s="452"/>
      <c r="M606" s="452"/>
      <c r="N606" s="452"/>
      <c r="O606" s="452"/>
      <c r="P606" s="452"/>
      <c r="Q606" s="452"/>
      <c r="R606" s="452"/>
      <c r="S606" s="452"/>
      <c r="T606" s="452"/>
      <c r="U606" s="452"/>
      <c r="V606" s="452"/>
      <c r="W606" s="452"/>
      <c r="X606" s="452"/>
      <c r="Y606" s="452"/>
    </row>
    <row r="607" spans="1:25" ht="15.6">
      <c r="A607" s="452"/>
      <c r="B607" s="452"/>
      <c r="C607" s="452"/>
      <c r="D607" s="452"/>
      <c r="E607" s="452"/>
      <c r="F607" s="452"/>
      <c r="G607" s="452"/>
      <c r="H607" s="452"/>
      <c r="I607" s="452"/>
      <c r="J607" s="452"/>
      <c r="K607" s="452"/>
      <c r="L607" s="452"/>
      <c r="M607" s="452"/>
      <c r="N607" s="452"/>
      <c r="O607" s="452"/>
      <c r="P607" s="452"/>
      <c r="Q607" s="452"/>
      <c r="R607" s="452"/>
      <c r="S607" s="452"/>
      <c r="T607" s="452"/>
      <c r="U607" s="452"/>
      <c r="V607" s="452"/>
      <c r="W607" s="452"/>
      <c r="X607" s="452"/>
      <c r="Y607" s="452"/>
    </row>
    <row r="608" spans="1:25" ht="15.6">
      <c r="A608" s="452"/>
      <c r="B608" s="452"/>
      <c r="C608" s="452"/>
      <c r="D608" s="452"/>
      <c r="E608" s="452"/>
      <c r="F608" s="452"/>
      <c r="G608" s="452"/>
      <c r="H608" s="452"/>
      <c r="I608" s="452"/>
      <c r="J608" s="452"/>
      <c r="K608" s="452"/>
      <c r="L608" s="452"/>
      <c r="M608" s="452"/>
      <c r="N608" s="452"/>
      <c r="O608" s="452"/>
      <c r="P608" s="452"/>
      <c r="Q608" s="452"/>
      <c r="R608" s="452"/>
      <c r="S608" s="452"/>
      <c r="T608" s="452"/>
      <c r="U608" s="452"/>
      <c r="V608" s="452"/>
      <c r="W608" s="452"/>
      <c r="X608" s="452"/>
      <c r="Y608" s="452"/>
    </row>
    <row r="609" spans="1:25" ht="15.6">
      <c r="A609" s="452"/>
      <c r="B609" s="452"/>
      <c r="C609" s="452"/>
      <c r="D609" s="452"/>
      <c r="E609" s="452"/>
      <c r="F609" s="452"/>
      <c r="G609" s="452"/>
      <c r="H609" s="452"/>
      <c r="I609" s="452"/>
      <c r="J609" s="452"/>
      <c r="K609" s="452"/>
      <c r="L609" s="452"/>
      <c r="M609" s="452"/>
      <c r="N609" s="452"/>
      <c r="O609" s="452"/>
      <c r="P609" s="452"/>
      <c r="Q609" s="452"/>
      <c r="R609" s="452"/>
      <c r="S609" s="452"/>
      <c r="T609" s="452"/>
      <c r="U609" s="452"/>
      <c r="V609" s="452"/>
      <c r="W609" s="452"/>
      <c r="X609" s="452"/>
      <c r="Y609" s="452"/>
    </row>
    <row r="610" spans="1:25" ht="15.6">
      <c r="A610" s="452"/>
      <c r="B610" s="452"/>
      <c r="C610" s="452"/>
      <c r="D610" s="452"/>
      <c r="E610" s="452"/>
      <c r="F610" s="452"/>
      <c r="G610" s="452"/>
      <c r="H610" s="452"/>
      <c r="I610" s="452"/>
      <c r="J610" s="452"/>
      <c r="K610" s="452"/>
      <c r="L610" s="452"/>
      <c r="M610" s="452"/>
      <c r="N610" s="452"/>
      <c r="O610" s="452"/>
      <c r="P610" s="452"/>
      <c r="Q610" s="452"/>
      <c r="R610" s="452"/>
      <c r="S610" s="452"/>
      <c r="T610" s="452"/>
      <c r="U610" s="452"/>
      <c r="V610" s="452"/>
      <c r="W610" s="452"/>
      <c r="X610" s="452"/>
      <c r="Y610" s="452"/>
    </row>
    <row r="611" spans="1:25" ht="15.6">
      <c r="A611" s="452"/>
      <c r="B611" s="452"/>
      <c r="C611" s="452"/>
      <c r="D611" s="452"/>
      <c r="E611" s="452"/>
      <c r="F611" s="452"/>
      <c r="G611" s="452"/>
      <c r="H611" s="452"/>
      <c r="I611" s="452"/>
      <c r="J611" s="452"/>
      <c r="K611" s="452"/>
      <c r="L611" s="452"/>
      <c r="M611" s="452"/>
      <c r="N611" s="452"/>
      <c r="O611" s="452"/>
      <c r="P611" s="452"/>
      <c r="Q611" s="452"/>
      <c r="R611" s="452"/>
      <c r="S611" s="452"/>
      <c r="T611" s="452"/>
      <c r="U611" s="452"/>
      <c r="V611" s="452"/>
      <c r="W611" s="452"/>
      <c r="X611" s="452"/>
      <c r="Y611" s="452"/>
    </row>
    <row r="612" spans="1:25" ht="15.6">
      <c r="A612" s="452"/>
      <c r="B612" s="452"/>
      <c r="C612" s="452"/>
      <c r="D612" s="452"/>
      <c r="E612" s="452"/>
      <c r="F612" s="452"/>
      <c r="G612" s="452"/>
      <c r="H612" s="452"/>
      <c r="I612" s="452"/>
      <c r="J612" s="452"/>
      <c r="K612" s="452"/>
      <c r="L612" s="452"/>
      <c r="M612" s="452"/>
      <c r="N612" s="452"/>
      <c r="O612" s="452"/>
      <c r="P612" s="452"/>
      <c r="Q612" s="452"/>
      <c r="R612" s="452"/>
      <c r="S612" s="452"/>
      <c r="T612" s="452"/>
      <c r="U612" s="452"/>
      <c r="V612" s="452"/>
      <c r="W612" s="452"/>
      <c r="X612" s="452"/>
      <c r="Y612" s="452"/>
    </row>
    <row r="613" spans="1:25" ht="15.6">
      <c r="A613" s="452"/>
      <c r="B613" s="452"/>
      <c r="C613" s="452"/>
      <c r="D613" s="452"/>
      <c r="E613" s="452"/>
      <c r="F613" s="452"/>
      <c r="G613" s="452"/>
      <c r="H613" s="452"/>
      <c r="I613" s="452"/>
      <c r="J613" s="452"/>
      <c r="K613" s="452"/>
      <c r="L613" s="452"/>
      <c r="M613" s="452"/>
      <c r="N613" s="452"/>
      <c r="O613" s="452"/>
      <c r="P613" s="452"/>
      <c r="Q613" s="452"/>
      <c r="R613" s="452"/>
      <c r="S613" s="452"/>
      <c r="T613" s="452"/>
      <c r="U613" s="452"/>
      <c r="V613" s="452"/>
      <c r="W613" s="452"/>
      <c r="X613" s="452"/>
      <c r="Y613" s="452"/>
    </row>
    <row r="614" spans="1:25" ht="15.6">
      <c r="A614" s="452"/>
      <c r="B614" s="452"/>
      <c r="C614" s="452"/>
      <c r="D614" s="452"/>
      <c r="E614" s="452"/>
      <c r="F614" s="452"/>
      <c r="G614" s="452"/>
      <c r="H614" s="452"/>
      <c r="I614" s="452"/>
      <c r="J614" s="452"/>
      <c r="K614" s="452"/>
      <c r="L614" s="452"/>
      <c r="M614" s="452"/>
      <c r="N614" s="452"/>
      <c r="O614" s="452"/>
      <c r="P614" s="452"/>
      <c r="Q614" s="452"/>
      <c r="R614" s="452"/>
      <c r="S614" s="452"/>
      <c r="T614" s="452"/>
      <c r="U614" s="452"/>
      <c r="V614" s="452"/>
      <c r="W614" s="452"/>
      <c r="X614" s="452"/>
      <c r="Y614" s="452"/>
    </row>
    <row r="615" spans="1:25" ht="15.6">
      <c r="A615" s="452"/>
      <c r="B615" s="452"/>
      <c r="C615" s="452"/>
      <c r="D615" s="452"/>
      <c r="E615" s="452"/>
      <c r="F615" s="452"/>
      <c r="G615" s="452"/>
      <c r="H615" s="452"/>
      <c r="I615" s="452"/>
      <c r="J615" s="452"/>
      <c r="K615" s="452"/>
      <c r="L615" s="452"/>
      <c r="M615" s="452"/>
      <c r="N615" s="452"/>
      <c r="O615" s="452"/>
      <c r="P615" s="452"/>
      <c r="Q615" s="452"/>
      <c r="R615" s="452"/>
      <c r="S615" s="452"/>
      <c r="T615" s="452"/>
      <c r="U615" s="452"/>
      <c r="V615" s="452"/>
      <c r="W615" s="452"/>
      <c r="X615" s="452"/>
      <c r="Y615" s="452"/>
    </row>
    <row r="616" spans="1:25" ht="15.6">
      <c r="A616" s="452"/>
      <c r="B616" s="452"/>
      <c r="C616" s="452"/>
      <c r="D616" s="452"/>
      <c r="E616" s="452"/>
      <c r="F616" s="452"/>
      <c r="G616" s="452"/>
      <c r="H616" s="452"/>
      <c r="I616" s="452"/>
      <c r="J616" s="452"/>
      <c r="K616" s="452"/>
      <c r="L616" s="452"/>
      <c r="M616" s="452"/>
      <c r="N616" s="452"/>
      <c r="O616" s="452"/>
      <c r="P616" s="452"/>
      <c r="Q616" s="452"/>
      <c r="R616" s="452"/>
      <c r="S616" s="452"/>
      <c r="T616" s="452"/>
      <c r="U616" s="452"/>
      <c r="V616" s="452"/>
      <c r="W616" s="452"/>
      <c r="X616" s="452"/>
      <c r="Y616" s="452"/>
    </row>
    <row r="617" spans="1:25" ht="15.6">
      <c r="A617" s="452"/>
      <c r="B617" s="452"/>
      <c r="C617" s="452"/>
      <c r="D617" s="452"/>
      <c r="E617" s="452"/>
      <c r="F617" s="452"/>
      <c r="G617" s="452"/>
      <c r="H617" s="452"/>
      <c r="I617" s="452"/>
      <c r="J617" s="452"/>
      <c r="K617" s="452"/>
      <c r="L617" s="452"/>
      <c r="M617" s="452"/>
      <c r="N617" s="452"/>
      <c r="O617" s="452"/>
      <c r="P617" s="452"/>
      <c r="Q617" s="452"/>
      <c r="R617" s="452"/>
      <c r="S617" s="452"/>
      <c r="T617" s="452"/>
      <c r="U617" s="452"/>
      <c r="V617" s="452"/>
      <c r="W617" s="452"/>
      <c r="X617" s="452"/>
      <c r="Y617" s="452"/>
    </row>
    <row r="618" spans="1:25" ht="15.6">
      <c r="A618" s="452"/>
      <c r="B618" s="452"/>
      <c r="C618" s="452"/>
      <c r="D618" s="452"/>
      <c r="E618" s="452"/>
      <c r="F618" s="452"/>
      <c r="G618" s="452"/>
      <c r="H618" s="452"/>
      <c r="I618" s="452"/>
      <c r="J618" s="452"/>
      <c r="K618" s="452"/>
      <c r="L618" s="452"/>
      <c r="M618" s="452"/>
      <c r="N618" s="452"/>
      <c r="O618" s="452"/>
      <c r="P618" s="452"/>
      <c r="Q618" s="452"/>
      <c r="R618" s="452"/>
      <c r="S618" s="452"/>
      <c r="T618" s="452"/>
      <c r="U618" s="452"/>
      <c r="V618" s="452"/>
      <c r="W618" s="452"/>
      <c r="X618" s="452"/>
      <c r="Y618" s="452"/>
    </row>
    <row r="619" spans="1:25" ht="15.6">
      <c r="A619" s="452"/>
      <c r="B619" s="452"/>
      <c r="C619" s="452"/>
      <c r="D619" s="452"/>
      <c r="E619" s="452"/>
      <c r="F619" s="452"/>
      <c r="G619" s="452"/>
      <c r="H619" s="452"/>
      <c r="I619" s="452"/>
      <c r="J619" s="452"/>
      <c r="K619" s="452"/>
      <c r="L619" s="452"/>
      <c r="M619" s="452"/>
      <c r="N619" s="452"/>
      <c r="O619" s="452"/>
      <c r="P619" s="452"/>
      <c r="Q619" s="452"/>
      <c r="R619" s="452"/>
      <c r="S619" s="452"/>
      <c r="T619" s="452"/>
      <c r="U619" s="452"/>
      <c r="V619" s="452"/>
      <c r="W619" s="452"/>
      <c r="X619" s="452"/>
      <c r="Y619" s="452"/>
    </row>
    <row r="620" spans="1:25" ht="15.6">
      <c r="A620" s="452"/>
      <c r="B620" s="452"/>
      <c r="C620" s="452"/>
      <c r="D620" s="452"/>
      <c r="E620" s="452"/>
      <c r="F620" s="452"/>
      <c r="G620" s="452"/>
      <c r="H620" s="452"/>
      <c r="I620" s="452"/>
      <c r="J620" s="452"/>
      <c r="K620" s="452"/>
      <c r="L620" s="452"/>
      <c r="M620" s="452"/>
      <c r="N620" s="452"/>
      <c r="O620" s="452"/>
      <c r="P620" s="452"/>
      <c r="Q620" s="452"/>
      <c r="R620" s="452"/>
      <c r="S620" s="452"/>
      <c r="T620" s="452"/>
      <c r="U620" s="452"/>
      <c r="V620" s="452"/>
      <c r="W620" s="452"/>
      <c r="X620" s="452"/>
      <c r="Y620" s="452"/>
    </row>
    <row r="621" spans="1:25" ht="15.6">
      <c r="A621" s="452"/>
      <c r="B621" s="452"/>
      <c r="C621" s="452"/>
      <c r="D621" s="452"/>
      <c r="E621" s="452"/>
      <c r="F621" s="452"/>
      <c r="G621" s="452"/>
      <c r="H621" s="452"/>
      <c r="I621" s="452"/>
      <c r="J621" s="452"/>
      <c r="K621" s="452"/>
      <c r="L621" s="452"/>
      <c r="M621" s="452"/>
      <c r="N621" s="452"/>
      <c r="O621" s="452"/>
      <c r="P621" s="452"/>
      <c r="Q621" s="452"/>
      <c r="R621" s="452"/>
      <c r="S621" s="452"/>
      <c r="T621" s="452"/>
      <c r="U621" s="452"/>
      <c r="V621" s="452"/>
      <c r="W621" s="452"/>
      <c r="X621" s="452"/>
      <c r="Y621" s="452"/>
    </row>
    <row r="622" spans="1:25" ht="15.6">
      <c r="A622" s="452"/>
      <c r="B622" s="452"/>
      <c r="C622" s="452"/>
      <c r="D622" s="452"/>
      <c r="E622" s="452"/>
      <c r="F622" s="452"/>
      <c r="G622" s="452"/>
      <c r="H622" s="452"/>
      <c r="I622" s="452"/>
      <c r="J622" s="452"/>
      <c r="K622" s="452"/>
      <c r="L622" s="452"/>
      <c r="M622" s="452"/>
      <c r="N622" s="452"/>
      <c r="O622" s="452"/>
      <c r="P622" s="452"/>
      <c r="Q622" s="452"/>
      <c r="R622" s="452"/>
      <c r="S622" s="452"/>
      <c r="T622" s="452"/>
      <c r="U622" s="452"/>
      <c r="V622" s="452"/>
      <c r="W622" s="452"/>
      <c r="X622" s="452"/>
      <c r="Y622" s="452"/>
    </row>
    <row r="623" spans="1:25" ht="15.6">
      <c r="A623" s="452"/>
      <c r="B623" s="452"/>
      <c r="C623" s="452"/>
      <c r="D623" s="452"/>
      <c r="E623" s="452"/>
      <c r="F623" s="452"/>
      <c r="G623" s="452"/>
      <c r="H623" s="452"/>
      <c r="I623" s="452"/>
      <c r="J623" s="452"/>
      <c r="K623" s="452"/>
      <c r="L623" s="452"/>
      <c r="M623" s="452"/>
      <c r="N623" s="452"/>
      <c r="O623" s="452"/>
      <c r="P623" s="452"/>
      <c r="Q623" s="452"/>
      <c r="R623" s="452"/>
      <c r="S623" s="452"/>
      <c r="T623" s="452"/>
      <c r="U623" s="452"/>
      <c r="V623" s="452"/>
      <c r="W623" s="452"/>
      <c r="X623" s="452"/>
      <c r="Y623" s="452"/>
    </row>
    <row r="624" spans="1:25" ht="15.6">
      <c r="A624" s="452"/>
      <c r="B624" s="452"/>
      <c r="C624" s="452"/>
      <c r="D624" s="452"/>
      <c r="E624" s="452"/>
      <c r="F624" s="452"/>
      <c r="G624" s="452"/>
      <c r="H624" s="452"/>
      <c r="I624" s="452"/>
      <c r="J624" s="452"/>
      <c r="K624" s="452"/>
      <c r="L624" s="452"/>
      <c r="M624" s="452"/>
      <c r="N624" s="452"/>
      <c r="O624" s="452"/>
      <c r="P624" s="452"/>
      <c r="Q624" s="452"/>
      <c r="R624" s="452"/>
      <c r="S624" s="452"/>
      <c r="T624" s="452"/>
      <c r="U624" s="452"/>
      <c r="V624" s="452"/>
      <c r="W624" s="452"/>
      <c r="X624" s="452"/>
      <c r="Y624" s="452"/>
    </row>
    <row r="625" spans="1:25" ht="15.6">
      <c r="A625" s="452"/>
      <c r="B625" s="452"/>
      <c r="C625" s="452"/>
      <c r="D625" s="452"/>
      <c r="E625" s="452"/>
      <c r="F625" s="452"/>
      <c r="G625" s="452"/>
      <c r="H625" s="452"/>
      <c r="I625" s="452"/>
      <c r="J625" s="452"/>
      <c r="K625" s="452"/>
      <c r="L625" s="452"/>
      <c r="M625" s="452"/>
      <c r="N625" s="452"/>
      <c r="O625" s="452"/>
      <c r="P625" s="452"/>
      <c r="Q625" s="452"/>
      <c r="R625" s="452"/>
      <c r="S625" s="452"/>
      <c r="T625" s="452"/>
      <c r="U625" s="452"/>
      <c r="V625" s="452"/>
      <c r="W625" s="452"/>
      <c r="X625" s="452"/>
      <c r="Y625" s="452"/>
    </row>
    <row r="626" spans="1:25" ht="15.6">
      <c r="A626" s="452"/>
      <c r="B626" s="452"/>
      <c r="C626" s="452"/>
      <c r="D626" s="452"/>
      <c r="E626" s="452"/>
      <c r="F626" s="452"/>
      <c r="G626" s="452"/>
      <c r="H626" s="452"/>
      <c r="I626" s="452"/>
      <c r="J626" s="452"/>
      <c r="K626" s="452"/>
      <c r="L626" s="452"/>
      <c r="M626" s="452"/>
      <c r="N626" s="452"/>
      <c r="O626" s="452"/>
      <c r="P626" s="452"/>
      <c r="Q626" s="452"/>
      <c r="R626" s="452"/>
      <c r="S626" s="452"/>
      <c r="T626" s="452"/>
      <c r="U626" s="452"/>
      <c r="V626" s="452"/>
      <c r="W626" s="452"/>
      <c r="X626" s="452"/>
      <c r="Y626" s="452"/>
    </row>
    <row r="627" spans="1:25" ht="15.6">
      <c r="A627" s="452"/>
      <c r="B627" s="452"/>
      <c r="C627" s="452"/>
      <c r="D627" s="452"/>
      <c r="E627" s="452"/>
      <c r="F627" s="452"/>
      <c r="G627" s="452"/>
      <c r="H627" s="452"/>
      <c r="I627" s="452"/>
      <c r="J627" s="452"/>
      <c r="K627" s="452"/>
      <c r="L627" s="452"/>
      <c r="M627" s="452"/>
      <c r="N627" s="452"/>
      <c r="O627" s="452"/>
      <c r="P627" s="452"/>
      <c r="Q627" s="452"/>
      <c r="R627" s="452"/>
      <c r="S627" s="452"/>
      <c r="T627" s="452"/>
      <c r="U627" s="452"/>
      <c r="V627" s="452"/>
      <c r="W627" s="452"/>
      <c r="X627" s="452"/>
      <c r="Y627" s="452"/>
    </row>
    <row r="628" spans="1:25" ht="15.6">
      <c r="A628" s="452"/>
      <c r="B628" s="452"/>
      <c r="C628" s="452"/>
      <c r="D628" s="452"/>
      <c r="E628" s="452"/>
      <c r="F628" s="452"/>
      <c r="G628" s="452"/>
      <c r="H628" s="452"/>
      <c r="I628" s="452"/>
      <c r="J628" s="452"/>
      <c r="K628" s="452"/>
      <c r="L628" s="452"/>
      <c r="M628" s="452"/>
      <c r="N628" s="452"/>
      <c r="O628" s="452"/>
      <c r="P628" s="452"/>
      <c r="Q628" s="452"/>
      <c r="R628" s="452"/>
      <c r="S628" s="452"/>
      <c r="T628" s="452"/>
      <c r="U628" s="452"/>
      <c r="V628" s="452"/>
      <c r="W628" s="452"/>
      <c r="X628" s="452"/>
      <c r="Y628" s="452"/>
    </row>
    <row r="629" spans="1:25" ht="15.6">
      <c r="A629" s="452"/>
      <c r="B629" s="452"/>
      <c r="C629" s="452"/>
      <c r="D629" s="452"/>
      <c r="E629" s="452"/>
      <c r="F629" s="452"/>
      <c r="G629" s="452"/>
      <c r="H629" s="452"/>
      <c r="I629" s="452"/>
      <c r="J629" s="452"/>
      <c r="K629" s="452"/>
      <c r="L629" s="452"/>
      <c r="M629" s="452"/>
      <c r="N629" s="452"/>
      <c r="O629" s="452"/>
      <c r="P629" s="452"/>
      <c r="Q629" s="452"/>
      <c r="R629" s="452"/>
      <c r="S629" s="452"/>
      <c r="T629" s="452"/>
      <c r="U629" s="452"/>
      <c r="V629" s="452"/>
      <c r="W629" s="452"/>
      <c r="X629" s="452"/>
      <c r="Y629" s="452"/>
    </row>
    <row r="630" spans="1:25" ht="15.6">
      <c r="A630" s="452"/>
      <c r="B630" s="452"/>
      <c r="C630" s="452"/>
      <c r="D630" s="452"/>
      <c r="E630" s="452"/>
      <c r="F630" s="452"/>
      <c r="G630" s="452"/>
      <c r="H630" s="452"/>
      <c r="I630" s="452"/>
      <c r="J630" s="452"/>
      <c r="K630" s="452"/>
      <c r="L630" s="452"/>
      <c r="M630" s="452"/>
      <c r="N630" s="452"/>
      <c r="O630" s="452"/>
      <c r="P630" s="452"/>
      <c r="Q630" s="452"/>
      <c r="R630" s="452"/>
      <c r="S630" s="452"/>
      <c r="T630" s="452"/>
      <c r="U630" s="452"/>
      <c r="V630" s="452"/>
      <c r="W630" s="452"/>
      <c r="X630" s="452"/>
      <c r="Y630" s="452"/>
    </row>
    <row r="631" spans="1:25" ht="15.6">
      <c r="A631" s="452"/>
      <c r="B631" s="452"/>
      <c r="C631" s="452"/>
      <c r="D631" s="452"/>
      <c r="E631" s="452"/>
      <c r="F631" s="452"/>
      <c r="G631" s="452"/>
      <c r="H631" s="452"/>
      <c r="I631" s="452"/>
      <c r="J631" s="452"/>
      <c r="K631" s="452"/>
      <c r="L631" s="452"/>
      <c r="M631" s="452"/>
      <c r="N631" s="452"/>
      <c r="O631" s="452"/>
      <c r="P631" s="452"/>
      <c r="Q631" s="452"/>
      <c r="R631" s="452"/>
      <c r="S631" s="452"/>
      <c r="T631" s="452"/>
      <c r="U631" s="452"/>
      <c r="V631" s="452"/>
      <c r="W631" s="452"/>
      <c r="X631" s="452"/>
      <c r="Y631" s="452"/>
    </row>
    <row r="632" spans="1:25" ht="15.6">
      <c r="A632" s="452"/>
      <c r="B632" s="452"/>
      <c r="C632" s="452"/>
      <c r="D632" s="452"/>
      <c r="E632" s="452"/>
      <c r="F632" s="452"/>
      <c r="G632" s="452"/>
      <c r="H632" s="452"/>
      <c r="I632" s="452"/>
      <c r="J632" s="452"/>
      <c r="K632" s="452"/>
      <c r="L632" s="452"/>
      <c r="M632" s="452"/>
      <c r="N632" s="452"/>
      <c r="O632" s="452"/>
      <c r="P632" s="452"/>
      <c r="Q632" s="452"/>
      <c r="R632" s="452"/>
      <c r="S632" s="452"/>
      <c r="T632" s="452"/>
      <c r="U632" s="452"/>
      <c r="V632" s="452"/>
      <c r="W632" s="452"/>
      <c r="X632" s="452"/>
      <c r="Y632" s="452"/>
    </row>
    <row r="633" spans="1:25" ht="15.6">
      <c r="A633" s="452"/>
      <c r="B633" s="452"/>
      <c r="C633" s="452"/>
      <c r="D633" s="452"/>
      <c r="E633" s="452"/>
      <c r="F633" s="452"/>
      <c r="G633" s="452"/>
      <c r="H633" s="452"/>
      <c r="I633" s="452"/>
      <c r="J633" s="452"/>
      <c r="K633" s="452"/>
      <c r="L633" s="452"/>
      <c r="M633" s="452"/>
      <c r="N633" s="452"/>
      <c r="O633" s="452"/>
      <c r="P633" s="452"/>
      <c r="Q633" s="452"/>
      <c r="R633" s="452"/>
      <c r="S633" s="452"/>
      <c r="T633" s="452"/>
      <c r="U633" s="452"/>
      <c r="V633" s="452"/>
      <c r="W633" s="452"/>
      <c r="X633" s="452"/>
      <c r="Y633" s="452"/>
    </row>
    <row r="634" spans="1:25" ht="15.6">
      <c r="A634" s="452"/>
      <c r="B634" s="452"/>
      <c r="C634" s="452"/>
      <c r="D634" s="452"/>
      <c r="E634" s="452"/>
      <c r="F634" s="452"/>
      <c r="G634" s="452"/>
      <c r="H634" s="452"/>
      <c r="I634" s="452"/>
      <c r="J634" s="452"/>
      <c r="K634" s="452"/>
      <c r="L634" s="452"/>
      <c r="M634" s="452"/>
      <c r="N634" s="452"/>
      <c r="O634" s="452"/>
      <c r="P634" s="452"/>
      <c r="Q634" s="452"/>
      <c r="R634" s="452"/>
      <c r="S634" s="452"/>
      <c r="T634" s="452"/>
      <c r="U634" s="452"/>
      <c r="V634" s="452"/>
      <c r="W634" s="452"/>
      <c r="X634" s="452"/>
      <c r="Y634" s="452"/>
    </row>
    <row r="635" spans="1:25" ht="15.6">
      <c r="A635" s="452"/>
      <c r="B635" s="452"/>
      <c r="C635" s="452"/>
      <c r="D635" s="452"/>
      <c r="E635" s="452"/>
      <c r="F635" s="452"/>
      <c r="G635" s="452"/>
      <c r="H635" s="452"/>
      <c r="I635" s="452"/>
      <c r="J635" s="452"/>
      <c r="K635" s="452"/>
      <c r="L635" s="452"/>
      <c r="M635" s="452"/>
      <c r="N635" s="452"/>
      <c r="O635" s="452"/>
      <c r="P635" s="452"/>
      <c r="Q635" s="452"/>
      <c r="R635" s="452"/>
      <c r="S635" s="452"/>
      <c r="T635" s="452"/>
      <c r="U635" s="452"/>
      <c r="V635" s="452"/>
      <c r="W635" s="452"/>
      <c r="X635" s="452"/>
      <c r="Y635" s="452"/>
    </row>
    <row r="636" spans="1:25" ht="15.6">
      <c r="A636" s="452"/>
      <c r="B636" s="452"/>
      <c r="C636" s="452"/>
      <c r="D636" s="452"/>
      <c r="E636" s="452"/>
      <c r="F636" s="452"/>
      <c r="G636" s="452"/>
      <c r="H636" s="452"/>
      <c r="I636" s="452"/>
      <c r="J636" s="452"/>
      <c r="K636" s="452"/>
      <c r="L636" s="452"/>
      <c r="M636" s="452"/>
      <c r="N636" s="452"/>
      <c r="O636" s="452"/>
      <c r="P636" s="452"/>
      <c r="Q636" s="452"/>
      <c r="R636" s="452"/>
      <c r="S636" s="452"/>
      <c r="T636" s="452"/>
      <c r="U636" s="452"/>
      <c r="V636" s="452"/>
      <c r="W636" s="452"/>
      <c r="X636" s="452"/>
      <c r="Y636" s="452"/>
    </row>
    <row r="637" spans="1:25" ht="15.6">
      <c r="A637" s="452"/>
      <c r="B637" s="452"/>
      <c r="C637" s="452"/>
      <c r="D637" s="452"/>
      <c r="E637" s="452"/>
      <c r="F637" s="452"/>
      <c r="G637" s="452"/>
      <c r="H637" s="452"/>
      <c r="I637" s="452"/>
      <c r="J637" s="452"/>
      <c r="K637" s="452"/>
      <c r="L637" s="452"/>
      <c r="M637" s="452"/>
      <c r="N637" s="452"/>
      <c r="O637" s="452"/>
      <c r="P637" s="452"/>
      <c r="Q637" s="452"/>
      <c r="R637" s="452"/>
      <c r="S637" s="452"/>
      <c r="T637" s="452"/>
      <c r="U637" s="452"/>
      <c r="V637" s="452"/>
      <c r="W637" s="452"/>
      <c r="X637" s="452"/>
      <c r="Y637" s="452"/>
    </row>
    <row r="638" spans="1:25" ht="15.6">
      <c r="A638" s="452"/>
      <c r="B638" s="452"/>
      <c r="C638" s="452"/>
      <c r="D638" s="452"/>
      <c r="E638" s="452"/>
      <c r="F638" s="452"/>
      <c r="G638" s="452"/>
      <c r="H638" s="452"/>
      <c r="I638" s="452"/>
      <c r="J638" s="452"/>
      <c r="K638" s="452"/>
      <c r="L638" s="452"/>
      <c r="M638" s="452"/>
      <c r="N638" s="452"/>
      <c r="O638" s="452"/>
      <c r="P638" s="452"/>
      <c r="Q638" s="452"/>
      <c r="R638" s="452"/>
      <c r="S638" s="452"/>
      <c r="T638" s="452"/>
      <c r="U638" s="452"/>
      <c r="V638" s="452"/>
      <c r="W638" s="452"/>
      <c r="X638" s="452"/>
      <c r="Y638" s="452"/>
    </row>
    <row r="639" spans="1:25" ht="15.6">
      <c r="A639" s="452"/>
      <c r="B639" s="452"/>
      <c r="C639" s="452"/>
      <c r="D639" s="452"/>
      <c r="E639" s="452"/>
      <c r="F639" s="452"/>
      <c r="G639" s="452"/>
      <c r="H639" s="452"/>
      <c r="I639" s="452"/>
      <c r="J639" s="452"/>
      <c r="K639" s="452"/>
      <c r="L639" s="452"/>
      <c r="M639" s="452"/>
      <c r="N639" s="452"/>
      <c r="O639" s="452"/>
      <c r="P639" s="452"/>
      <c r="Q639" s="452"/>
      <c r="R639" s="452"/>
      <c r="S639" s="452"/>
      <c r="T639" s="452"/>
      <c r="U639" s="452"/>
      <c r="V639" s="452"/>
      <c r="W639" s="452"/>
      <c r="X639" s="452"/>
      <c r="Y639" s="452"/>
    </row>
    <row r="640" spans="1:25" ht="15.6">
      <c r="A640" s="452"/>
      <c r="B640" s="452"/>
      <c r="C640" s="452"/>
      <c r="D640" s="452"/>
      <c r="E640" s="452"/>
      <c r="F640" s="452"/>
      <c r="G640" s="452"/>
      <c r="H640" s="452"/>
      <c r="I640" s="452"/>
      <c r="J640" s="452"/>
      <c r="K640" s="452"/>
      <c r="L640" s="452"/>
      <c r="M640" s="452"/>
      <c r="N640" s="452"/>
      <c r="O640" s="452"/>
      <c r="P640" s="452"/>
      <c r="Q640" s="452"/>
      <c r="R640" s="452"/>
      <c r="S640" s="452"/>
      <c r="T640" s="452"/>
      <c r="U640" s="452"/>
      <c r="V640" s="452"/>
      <c r="W640" s="452"/>
      <c r="X640" s="452"/>
      <c r="Y640" s="452"/>
    </row>
    <row r="641" spans="1:25" ht="15.6">
      <c r="A641" s="452"/>
      <c r="B641" s="452"/>
      <c r="C641" s="452"/>
      <c r="D641" s="452"/>
      <c r="E641" s="452"/>
      <c r="F641" s="452"/>
      <c r="G641" s="452"/>
      <c r="H641" s="452"/>
      <c r="I641" s="452"/>
      <c r="J641" s="452"/>
      <c r="K641" s="452"/>
      <c r="L641" s="452"/>
      <c r="M641" s="452"/>
      <c r="N641" s="452"/>
      <c r="O641" s="452"/>
      <c r="P641" s="452"/>
      <c r="Q641" s="452"/>
      <c r="R641" s="452"/>
      <c r="S641" s="452"/>
      <c r="T641" s="452"/>
      <c r="U641" s="452"/>
      <c r="V641" s="452"/>
      <c r="W641" s="452"/>
      <c r="X641" s="452"/>
      <c r="Y641" s="452"/>
    </row>
    <row r="642" spans="1:25" ht="15.6">
      <c r="A642" s="452"/>
      <c r="B642" s="452"/>
      <c r="C642" s="452"/>
      <c r="D642" s="452"/>
      <c r="E642" s="452"/>
      <c r="F642" s="452"/>
      <c r="G642" s="452"/>
      <c r="H642" s="452"/>
      <c r="I642" s="452"/>
      <c r="J642" s="452"/>
      <c r="K642" s="452"/>
      <c r="L642" s="452"/>
      <c r="M642" s="452"/>
      <c r="N642" s="452"/>
      <c r="O642" s="452"/>
      <c r="P642" s="452"/>
      <c r="Q642" s="452"/>
      <c r="R642" s="452"/>
      <c r="S642" s="452"/>
      <c r="T642" s="452"/>
      <c r="U642" s="452"/>
      <c r="V642" s="452"/>
      <c r="W642" s="452"/>
      <c r="X642" s="452"/>
      <c r="Y642" s="452"/>
    </row>
    <row r="643" spans="1:25" ht="15.6">
      <c r="A643" s="452"/>
      <c r="B643" s="452"/>
      <c r="C643" s="452"/>
      <c r="D643" s="452"/>
      <c r="E643" s="452"/>
      <c r="F643" s="452"/>
      <c r="G643" s="452"/>
      <c r="H643" s="452"/>
      <c r="I643" s="452"/>
      <c r="J643" s="452"/>
      <c r="K643" s="452"/>
      <c r="L643" s="452"/>
      <c r="M643" s="452"/>
      <c r="N643" s="452"/>
      <c r="O643" s="452"/>
      <c r="P643" s="452"/>
      <c r="Q643" s="452"/>
      <c r="R643" s="452"/>
      <c r="S643" s="452"/>
      <c r="T643" s="452"/>
      <c r="U643" s="452"/>
      <c r="V643" s="452"/>
      <c r="W643" s="452"/>
      <c r="X643" s="452"/>
      <c r="Y643" s="452"/>
    </row>
    <row r="644" spans="1:25" ht="15.6">
      <c r="A644" s="452"/>
      <c r="B644" s="452"/>
      <c r="C644" s="452"/>
      <c r="D644" s="452"/>
      <c r="E644" s="452"/>
      <c r="F644" s="452"/>
      <c r="G644" s="452"/>
      <c r="H644" s="452"/>
      <c r="I644" s="452"/>
      <c r="J644" s="452"/>
      <c r="K644" s="452"/>
      <c r="L644" s="452"/>
      <c r="M644" s="452"/>
      <c r="N644" s="452"/>
      <c r="O644" s="452"/>
      <c r="P644" s="452"/>
      <c r="Q644" s="452"/>
      <c r="R644" s="452"/>
      <c r="S644" s="452"/>
      <c r="T644" s="452"/>
      <c r="U644" s="452"/>
      <c r="V644" s="452"/>
      <c r="W644" s="452"/>
      <c r="X644" s="452"/>
      <c r="Y644" s="452"/>
    </row>
    <row r="645" spans="1:25" ht="15.6">
      <c r="A645" s="452"/>
      <c r="B645" s="452"/>
      <c r="C645" s="452"/>
      <c r="D645" s="452"/>
      <c r="E645" s="452"/>
      <c r="F645" s="452"/>
      <c r="G645" s="452"/>
      <c r="H645" s="452"/>
      <c r="I645" s="452"/>
      <c r="J645" s="452"/>
      <c r="K645" s="452"/>
      <c r="L645" s="452"/>
      <c r="M645" s="452"/>
      <c r="N645" s="452"/>
      <c r="O645" s="452"/>
      <c r="P645" s="452"/>
      <c r="Q645" s="452"/>
      <c r="R645" s="452"/>
      <c r="S645" s="452"/>
      <c r="T645" s="452"/>
      <c r="U645" s="452"/>
      <c r="V645" s="452"/>
      <c r="W645" s="452"/>
      <c r="X645" s="452"/>
      <c r="Y645" s="452"/>
    </row>
    <row r="646" spans="1:25" ht="15.6">
      <c r="A646" s="452"/>
      <c r="B646" s="452"/>
      <c r="C646" s="452"/>
      <c r="D646" s="452"/>
      <c r="E646" s="452"/>
      <c r="F646" s="452"/>
      <c r="G646" s="452"/>
      <c r="H646" s="452"/>
      <c r="I646" s="452"/>
      <c r="J646" s="452"/>
      <c r="K646" s="452"/>
      <c r="L646" s="452"/>
      <c r="M646" s="452"/>
      <c r="N646" s="452"/>
      <c r="O646" s="452"/>
      <c r="P646" s="452"/>
      <c r="Q646" s="452"/>
      <c r="R646" s="452"/>
      <c r="S646" s="452"/>
      <c r="T646" s="452"/>
      <c r="U646" s="452"/>
      <c r="V646" s="452"/>
      <c r="W646" s="452"/>
      <c r="X646" s="452"/>
      <c r="Y646" s="452"/>
    </row>
    <row r="647" spans="1:25" ht="15.6">
      <c r="A647" s="452"/>
      <c r="B647" s="452"/>
      <c r="C647" s="452"/>
      <c r="D647" s="452"/>
      <c r="E647" s="452"/>
      <c r="F647" s="452"/>
      <c r="G647" s="452"/>
      <c r="H647" s="452"/>
      <c r="I647" s="452"/>
      <c r="J647" s="452"/>
      <c r="K647" s="452"/>
      <c r="L647" s="452"/>
      <c r="M647" s="452"/>
      <c r="N647" s="452"/>
      <c r="O647" s="452"/>
      <c r="P647" s="452"/>
      <c r="Q647" s="452"/>
      <c r="R647" s="452"/>
      <c r="S647" s="452"/>
      <c r="T647" s="452"/>
      <c r="U647" s="452"/>
      <c r="V647" s="452"/>
      <c r="W647" s="452"/>
      <c r="X647" s="452"/>
      <c r="Y647" s="452"/>
    </row>
    <row r="648" spans="1:25" ht="15.6">
      <c r="A648" s="452"/>
      <c r="B648" s="452"/>
      <c r="C648" s="452"/>
      <c r="D648" s="452"/>
      <c r="E648" s="452"/>
      <c r="F648" s="452"/>
      <c r="G648" s="452"/>
      <c r="H648" s="452"/>
      <c r="I648" s="452"/>
      <c r="J648" s="452"/>
      <c r="K648" s="452"/>
      <c r="L648" s="452"/>
      <c r="M648" s="452"/>
      <c r="N648" s="452"/>
      <c r="O648" s="452"/>
      <c r="P648" s="452"/>
      <c r="Q648" s="452"/>
      <c r="R648" s="452"/>
      <c r="S648" s="452"/>
      <c r="T648" s="452"/>
      <c r="U648" s="452"/>
      <c r="V648" s="452"/>
      <c r="W648" s="452"/>
      <c r="X648" s="452"/>
      <c r="Y648" s="452"/>
    </row>
    <row r="649" spans="1:25" ht="15.6">
      <c r="A649" s="452"/>
      <c r="B649" s="452"/>
      <c r="C649" s="452"/>
      <c r="D649" s="452"/>
      <c r="E649" s="452"/>
      <c r="F649" s="452"/>
      <c r="G649" s="452"/>
      <c r="H649" s="452"/>
      <c r="I649" s="452"/>
      <c r="J649" s="452"/>
      <c r="K649" s="452"/>
      <c r="L649" s="452"/>
      <c r="M649" s="452"/>
      <c r="N649" s="452"/>
      <c r="O649" s="452"/>
      <c r="P649" s="452"/>
      <c r="Q649" s="452"/>
      <c r="R649" s="452"/>
      <c r="S649" s="452"/>
      <c r="T649" s="452"/>
      <c r="U649" s="452"/>
      <c r="V649" s="452"/>
      <c r="W649" s="452"/>
      <c r="X649" s="452"/>
      <c r="Y649" s="452"/>
    </row>
    <row r="650" spans="1:25" ht="15.6">
      <c r="A650" s="452"/>
      <c r="B650" s="452"/>
      <c r="C650" s="452"/>
      <c r="D650" s="452"/>
      <c r="E650" s="452"/>
      <c r="F650" s="452"/>
      <c r="G650" s="452"/>
      <c r="H650" s="452"/>
      <c r="I650" s="452"/>
      <c r="J650" s="452"/>
      <c r="K650" s="452"/>
      <c r="L650" s="452"/>
      <c r="M650" s="452"/>
      <c r="N650" s="452"/>
      <c r="O650" s="452"/>
      <c r="P650" s="452"/>
      <c r="Q650" s="452"/>
      <c r="R650" s="452"/>
      <c r="S650" s="452"/>
      <c r="T650" s="452"/>
      <c r="U650" s="452"/>
      <c r="V650" s="452"/>
      <c r="W650" s="452"/>
      <c r="X650" s="452"/>
      <c r="Y650" s="452"/>
    </row>
    <row r="651" spans="1:25" ht="15.6">
      <c r="A651" s="452"/>
      <c r="B651" s="452"/>
      <c r="C651" s="452"/>
      <c r="D651" s="452"/>
      <c r="E651" s="452"/>
      <c r="F651" s="452"/>
      <c r="G651" s="452"/>
      <c r="H651" s="452"/>
      <c r="I651" s="452"/>
      <c r="J651" s="452"/>
      <c r="K651" s="452"/>
      <c r="L651" s="452"/>
      <c r="M651" s="452"/>
      <c r="N651" s="452"/>
      <c r="O651" s="452"/>
      <c r="P651" s="452"/>
      <c r="Q651" s="452"/>
      <c r="R651" s="452"/>
      <c r="S651" s="452"/>
      <c r="T651" s="452"/>
      <c r="U651" s="452"/>
      <c r="V651" s="452"/>
      <c r="W651" s="452"/>
      <c r="X651" s="452"/>
      <c r="Y651" s="452"/>
    </row>
    <row r="652" spans="1:25" ht="15.6">
      <c r="A652" s="452"/>
      <c r="B652" s="452"/>
      <c r="C652" s="452"/>
      <c r="D652" s="452"/>
      <c r="E652" s="452"/>
      <c r="F652" s="452"/>
      <c r="G652" s="452"/>
      <c r="H652" s="452"/>
      <c r="I652" s="452"/>
      <c r="J652" s="452"/>
      <c r="K652" s="452"/>
      <c r="L652" s="452"/>
      <c r="M652" s="452"/>
      <c r="N652" s="452"/>
      <c r="O652" s="452"/>
      <c r="P652" s="452"/>
      <c r="Q652" s="452"/>
      <c r="R652" s="452"/>
      <c r="S652" s="452"/>
      <c r="T652" s="452"/>
      <c r="U652" s="452"/>
      <c r="V652" s="452"/>
      <c r="W652" s="452"/>
      <c r="X652" s="452"/>
      <c r="Y652" s="452"/>
    </row>
    <row r="653" spans="1:25" ht="15.6">
      <c r="A653" s="452"/>
      <c r="B653" s="452"/>
      <c r="C653" s="452"/>
      <c r="D653" s="452"/>
      <c r="E653" s="452"/>
      <c r="F653" s="452"/>
      <c r="G653" s="452"/>
      <c r="H653" s="452"/>
      <c r="I653" s="452"/>
      <c r="J653" s="452"/>
      <c r="K653" s="452"/>
      <c r="L653" s="452"/>
      <c r="M653" s="452"/>
      <c r="N653" s="452"/>
      <c r="O653" s="452"/>
      <c r="P653" s="452"/>
      <c r="Q653" s="452"/>
      <c r="R653" s="452"/>
      <c r="S653" s="452"/>
      <c r="T653" s="452"/>
      <c r="U653" s="452"/>
      <c r="V653" s="452"/>
      <c r="W653" s="452"/>
      <c r="X653" s="452"/>
      <c r="Y653" s="452"/>
    </row>
    <row r="654" spans="1:25" ht="15.6">
      <c r="A654" s="452"/>
      <c r="B654" s="452"/>
      <c r="C654" s="452"/>
      <c r="D654" s="452"/>
      <c r="E654" s="452"/>
      <c r="F654" s="452"/>
      <c r="G654" s="452"/>
      <c r="H654" s="452"/>
      <c r="I654" s="452"/>
      <c r="J654" s="452"/>
      <c r="K654" s="452"/>
      <c r="L654" s="452"/>
      <c r="M654" s="452"/>
      <c r="N654" s="452"/>
      <c r="O654" s="452"/>
      <c r="P654" s="452"/>
      <c r="Q654" s="452"/>
      <c r="R654" s="452"/>
      <c r="S654" s="452"/>
      <c r="T654" s="452"/>
      <c r="U654" s="452"/>
      <c r="V654" s="452"/>
      <c r="W654" s="452"/>
      <c r="X654" s="452"/>
      <c r="Y654" s="452"/>
    </row>
    <row r="655" spans="1:25" ht="15.6">
      <c r="A655" s="452"/>
      <c r="B655" s="452"/>
      <c r="C655" s="452"/>
      <c r="D655" s="452"/>
      <c r="E655" s="452"/>
      <c r="F655" s="452"/>
      <c r="G655" s="452"/>
      <c r="H655" s="452"/>
      <c r="I655" s="452"/>
      <c r="J655" s="452"/>
      <c r="K655" s="452"/>
      <c r="L655" s="452"/>
      <c r="M655" s="452"/>
      <c r="N655" s="452"/>
      <c r="O655" s="452"/>
      <c r="P655" s="452"/>
      <c r="Q655" s="452"/>
      <c r="R655" s="452"/>
      <c r="S655" s="452"/>
      <c r="T655" s="452"/>
      <c r="U655" s="452"/>
      <c r="V655" s="452"/>
      <c r="W655" s="452"/>
      <c r="X655" s="452"/>
      <c r="Y655" s="452"/>
    </row>
    <row r="656" spans="1:25" ht="15.6">
      <c r="A656" s="452"/>
      <c r="B656" s="452"/>
      <c r="C656" s="452"/>
      <c r="D656" s="452"/>
      <c r="E656" s="452"/>
      <c r="F656" s="452"/>
      <c r="G656" s="452"/>
      <c r="H656" s="452"/>
      <c r="I656" s="452"/>
      <c r="J656" s="452"/>
      <c r="K656" s="452"/>
      <c r="L656" s="452"/>
      <c r="M656" s="452"/>
      <c r="N656" s="452"/>
      <c r="O656" s="452"/>
      <c r="P656" s="452"/>
      <c r="Q656" s="452"/>
      <c r="R656" s="452"/>
      <c r="S656" s="452"/>
      <c r="T656" s="452"/>
      <c r="U656" s="452"/>
      <c r="V656" s="452"/>
      <c r="W656" s="452"/>
      <c r="X656" s="452"/>
      <c r="Y656" s="452"/>
    </row>
    <row r="657" spans="1:25" ht="15.6">
      <c r="A657" s="452"/>
      <c r="B657" s="452"/>
      <c r="C657" s="452"/>
      <c r="D657" s="452"/>
      <c r="E657" s="452"/>
      <c r="F657" s="452"/>
      <c r="G657" s="452"/>
      <c r="H657" s="452"/>
      <c r="I657" s="452"/>
      <c r="J657" s="452"/>
      <c r="K657" s="452"/>
      <c r="L657" s="452"/>
      <c r="M657" s="452"/>
      <c r="N657" s="452"/>
      <c r="O657" s="452"/>
      <c r="P657" s="452"/>
      <c r="Q657" s="452"/>
      <c r="R657" s="452"/>
      <c r="S657" s="452"/>
      <c r="T657" s="452"/>
      <c r="U657" s="452"/>
      <c r="V657" s="452"/>
      <c r="W657" s="452"/>
      <c r="X657" s="452"/>
      <c r="Y657" s="452"/>
    </row>
    <row r="658" spans="1:25" ht="15.6">
      <c r="A658" s="452"/>
      <c r="B658" s="452"/>
      <c r="C658" s="452"/>
      <c r="D658" s="452"/>
      <c r="E658" s="452"/>
      <c r="F658" s="452"/>
      <c r="G658" s="452"/>
      <c r="H658" s="452"/>
      <c r="I658" s="452"/>
      <c r="J658" s="452"/>
      <c r="K658" s="452"/>
      <c r="L658" s="452"/>
      <c r="M658" s="452"/>
      <c r="N658" s="452"/>
      <c r="O658" s="452"/>
      <c r="P658" s="452"/>
      <c r="Q658" s="452"/>
      <c r="R658" s="452"/>
      <c r="S658" s="452"/>
      <c r="T658" s="452"/>
      <c r="U658" s="452"/>
      <c r="V658" s="452"/>
      <c r="W658" s="452"/>
      <c r="X658" s="452"/>
      <c r="Y658" s="452"/>
    </row>
    <row r="659" spans="1:25" ht="15.6">
      <c r="A659" s="452"/>
      <c r="B659" s="452"/>
      <c r="C659" s="452"/>
      <c r="D659" s="452"/>
      <c r="E659" s="452"/>
      <c r="F659" s="452"/>
      <c r="G659" s="452"/>
      <c r="H659" s="452"/>
      <c r="I659" s="452"/>
      <c r="J659" s="452"/>
      <c r="K659" s="452"/>
      <c r="L659" s="452"/>
      <c r="M659" s="452"/>
      <c r="N659" s="452"/>
      <c r="O659" s="452"/>
      <c r="P659" s="452"/>
      <c r="Q659" s="452"/>
      <c r="R659" s="452"/>
      <c r="S659" s="452"/>
      <c r="T659" s="452"/>
      <c r="U659" s="452"/>
      <c r="V659" s="452"/>
      <c r="W659" s="452"/>
      <c r="X659" s="452"/>
      <c r="Y659" s="452"/>
    </row>
    <row r="660" spans="1:25" ht="15.6">
      <c r="A660" s="452"/>
      <c r="B660" s="452"/>
      <c r="C660" s="452"/>
      <c r="D660" s="452"/>
      <c r="E660" s="452"/>
      <c r="F660" s="452"/>
      <c r="G660" s="452"/>
      <c r="H660" s="452"/>
      <c r="I660" s="452"/>
      <c r="J660" s="452"/>
      <c r="K660" s="452"/>
      <c r="L660" s="452"/>
      <c r="M660" s="452"/>
      <c r="N660" s="452"/>
      <c r="O660" s="452"/>
      <c r="P660" s="452"/>
      <c r="Q660" s="452"/>
      <c r="R660" s="452"/>
      <c r="S660" s="452"/>
      <c r="T660" s="452"/>
      <c r="U660" s="452"/>
      <c r="V660" s="452"/>
      <c r="W660" s="452"/>
      <c r="X660" s="452"/>
      <c r="Y660" s="452"/>
    </row>
    <row r="661" spans="1:25" ht="15.6">
      <c r="A661" s="452"/>
      <c r="B661" s="452"/>
      <c r="C661" s="452"/>
      <c r="D661" s="452"/>
      <c r="E661" s="452"/>
      <c r="F661" s="452"/>
      <c r="G661" s="452"/>
      <c r="H661" s="452"/>
      <c r="I661" s="452"/>
      <c r="J661" s="452"/>
      <c r="K661" s="452"/>
      <c r="L661" s="452"/>
      <c r="M661" s="452"/>
      <c r="N661" s="452"/>
      <c r="O661" s="452"/>
      <c r="P661" s="452"/>
      <c r="Q661" s="452"/>
      <c r="R661" s="452"/>
      <c r="S661" s="452"/>
      <c r="T661" s="452"/>
      <c r="U661" s="452"/>
      <c r="V661" s="452"/>
      <c r="W661" s="452"/>
      <c r="X661" s="452"/>
      <c r="Y661" s="452"/>
    </row>
    <row r="662" spans="1:25" ht="15.6">
      <c r="A662" s="452"/>
      <c r="B662" s="452"/>
      <c r="C662" s="452"/>
      <c r="D662" s="452"/>
      <c r="E662" s="452"/>
      <c r="F662" s="452"/>
      <c r="G662" s="452"/>
      <c r="H662" s="452"/>
      <c r="I662" s="452"/>
      <c r="J662" s="452"/>
      <c r="K662" s="452"/>
      <c r="L662" s="452"/>
      <c r="M662" s="452"/>
      <c r="N662" s="452"/>
      <c r="O662" s="452"/>
      <c r="P662" s="452"/>
      <c r="Q662" s="452"/>
      <c r="R662" s="452"/>
      <c r="S662" s="452"/>
      <c r="T662" s="452"/>
      <c r="U662" s="452"/>
      <c r="V662" s="452"/>
      <c r="W662" s="452"/>
      <c r="X662" s="452"/>
      <c r="Y662" s="452"/>
    </row>
    <row r="663" spans="1:25" ht="15.6">
      <c r="A663" s="452"/>
      <c r="B663" s="452"/>
      <c r="C663" s="452"/>
      <c r="D663" s="452"/>
      <c r="E663" s="452"/>
      <c r="F663" s="452"/>
      <c r="G663" s="452"/>
      <c r="H663" s="452"/>
      <c r="I663" s="452"/>
      <c r="J663" s="452"/>
      <c r="K663" s="452"/>
      <c r="L663" s="452"/>
      <c r="M663" s="452"/>
      <c r="N663" s="452"/>
      <c r="O663" s="452"/>
      <c r="P663" s="452"/>
      <c r="Q663" s="452"/>
      <c r="R663" s="452"/>
      <c r="S663" s="452"/>
      <c r="T663" s="452"/>
      <c r="U663" s="452"/>
      <c r="V663" s="452"/>
      <c r="W663" s="452"/>
      <c r="X663" s="452"/>
      <c r="Y663" s="452"/>
    </row>
    <row r="664" spans="1:25" ht="15.6">
      <c r="A664" s="452"/>
      <c r="B664" s="452"/>
      <c r="C664" s="452"/>
      <c r="D664" s="452"/>
      <c r="E664" s="452"/>
      <c r="F664" s="452"/>
      <c r="G664" s="452"/>
      <c r="H664" s="452"/>
      <c r="I664" s="452"/>
      <c r="J664" s="452"/>
      <c r="K664" s="452"/>
      <c r="L664" s="452"/>
      <c r="M664" s="452"/>
      <c r="N664" s="452"/>
      <c r="O664" s="452"/>
      <c r="P664" s="452"/>
      <c r="Q664" s="452"/>
      <c r="R664" s="452"/>
      <c r="S664" s="452"/>
      <c r="T664" s="452"/>
      <c r="U664" s="452"/>
      <c r="V664" s="452"/>
      <c r="W664" s="452"/>
      <c r="X664" s="452"/>
      <c r="Y664" s="452"/>
    </row>
    <row r="665" spans="1:25" ht="15.6">
      <c r="A665" s="452"/>
      <c r="B665" s="452"/>
      <c r="C665" s="452"/>
      <c r="D665" s="452"/>
      <c r="E665" s="452"/>
      <c r="F665" s="452"/>
      <c r="G665" s="452"/>
      <c r="H665" s="452"/>
      <c r="I665" s="452"/>
      <c r="J665" s="452"/>
      <c r="K665" s="452"/>
      <c r="L665" s="452"/>
      <c r="M665" s="452"/>
      <c r="N665" s="452"/>
      <c r="O665" s="452"/>
      <c r="P665" s="452"/>
      <c r="Q665" s="452"/>
      <c r="R665" s="452"/>
      <c r="S665" s="452"/>
      <c r="T665" s="452"/>
      <c r="U665" s="452"/>
      <c r="V665" s="452"/>
      <c r="W665" s="452"/>
      <c r="X665" s="452"/>
      <c r="Y665" s="452"/>
    </row>
    <row r="666" spans="1:25" ht="15.6">
      <c r="A666" s="452"/>
      <c r="B666" s="452"/>
      <c r="C666" s="452"/>
      <c r="D666" s="452"/>
      <c r="E666" s="452"/>
      <c r="F666" s="452"/>
      <c r="G666" s="452"/>
      <c r="H666" s="452"/>
      <c r="I666" s="452"/>
      <c r="J666" s="452"/>
      <c r="K666" s="452"/>
      <c r="L666" s="452"/>
      <c r="M666" s="452"/>
      <c r="N666" s="452"/>
      <c r="O666" s="452"/>
      <c r="P666" s="452"/>
      <c r="Q666" s="452"/>
      <c r="R666" s="452"/>
      <c r="S666" s="452"/>
      <c r="T666" s="452"/>
      <c r="U666" s="452"/>
      <c r="V666" s="452"/>
      <c r="W666" s="452"/>
      <c r="X666" s="452"/>
      <c r="Y666" s="452"/>
    </row>
    <row r="667" spans="1:25" ht="15.6">
      <c r="A667" s="452"/>
      <c r="B667" s="452"/>
      <c r="C667" s="452"/>
      <c r="D667" s="452"/>
      <c r="E667" s="452"/>
      <c r="F667" s="452"/>
      <c r="G667" s="452"/>
      <c r="H667" s="452"/>
      <c r="I667" s="452"/>
      <c r="J667" s="452"/>
      <c r="K667" s="452"/>
      <c r="L667" s="452"/>
      <c r="M667" s="452"/>
      <c r="N667" s="452"/>
      <c r="O667" s="452"/>
      <c r="P667" s="452"/>
      <c r="Q667" s="452"/>
      <c r="R667" s="452"/>
      <c r="S667" s="452"/>
      <c r="T667" s="452"/>
      <c r="U667" s="452"/>
      <c r="V667" s="452"/>
      <c r="W667" s="452"/>
      <c r="X667" s="452"/>
      <c r="Y667" s="452"/>
    </row>
    <row r="668" spans="1:25" ht="15.6">
      <c r="A668" s="452"/>
      <c r="B668" s="452"/>
      <c r="C668" s="452"/>
      <c r="D668" s="452"/>
      <c r="E668" s="452"/>
      <c r="F668" s="452"/>
      <c r="G668" s="452"/>
      <c r="H668" s="452"/>
      <c r="I668" s="452"/>
      <c r="J668" s="452"/>
      <c r="K668" s="452"/>
      <c r="L668" s="452"/>
      <c r="M668" s="452"/>
      <c r="N668" s="452"/>
      <c r="O668" s="452"/>
      <c r="P668" s="452"/>
      <c r="Q668" s="452"/>
      <c r="R668" s="452"/>
      <c r="S668" s="452"/>
      <c r="T668" s="452"/>
      <c r="U668" s="452"/>
      <c r="V668" s="452"/>
      <c r="W668" s="452"/>
      <c r="X668" s="452"/>
      <c r="Y668" s="452"/>
    </row>
    <row r="669" spans="1:25" ht="15.6">
      <c r="A669" s="452"/>
      <c r="B669" s="452"/>
      <c r="C669" s="452"/>
      <c r="D669" s="452"/>
      <c r="E669" s="452"/>
      <c r="F669" s="452"/>
      <c r="G669" s="452"/>
      <c r="H669" s="452"/>
      <c r="I669" s="452"/>
      <c r="J669" s="452"/>
      <c r="K669" s="452"/>
      <c r="L669" s="452"/>
      <c r="M669" s="452"/>
      <c r="N669" s="452"/>
      <c r="O669" s="452"/>
      <c r="P669" s="452"/>
      <c r="Q669" s="452"/>
      <c r="R669" s="452"/>
      <c r="S669" s="452"/>
      <c r="T669" s="452"/>
      <c r="U669" s="452"/>
      <c r="V669" s="452"/>
      <c r="W669" s="452"/>
      <c r="X669" s="452"/>
      <c r="Y669" s="452"/>
    </row>
    <row r="670" spans="1:25" ht="15.6">
      <c r="A670" s="452"/>
      <c r="B670" s="452"/>
      <c r="C670" s="452"/>
      <c r="D670" s="452"/>
      <c r="E670" s="452"/>
      <c r="F670" s="452"/>
      <c r="G670" s="452"/>
      <c r="H670" s="452"/>
      <c r="I670" s="452"/>
      <c r="J670" s="452"/>
      <c r="K670" s="452"/>
      <c r="L670" s="452"/>
      <c r="M670" s="452"/>
      <c r="N670" s="452"/>
      <c r="O670" s="452"/>
      <c r="P670" s="452"/>
      <c r="Q670" s="452"/>
      <c r="R670" s="452"/>
      <c r="S670" s="452"/>
      <c r="T670" s="452"/>
      <c r="U670" s="452"/>
      <c r="V670" s="452"/>
      <c r="W670" s="452"/>
      <c r="X670" s="452"/>
      <c r="Y670" s="452"/>
    </row>
    <row r="671" spans="1:25" ht="15.6">
      <c r="A671" s="452"/>
      <c r="B671" s="452"/>
      <c r="C671" s="452"/>
      <c r="D671" s="452"/>
      <c r="E671" s="452"/>
      <c r="F671" s="452"/>
      <c r="G671" s="452"/>
      <c r="H671" s="452"/>
      <c r="I671" s="452"/>
      <c r="J671" s="452"/>
      <c r="K671" s="452"/>
      <c r="L671" s="452"/>
      <c r="M671" s="452"/>
      <c r="N671" s="452"/>
      <c r="O671" s="452"/>
      <c r="P671" s="452"/>
      <c r="Q671" s="452"/>
      <c r="R671" s="452"/>
      <c r="S671" s="452"/>
      <c r="T671" s="452"/>
      <c r="U671" s="452"/>
      <c r="V671" s="452"/>
      <c r="W671" s="452"/>
      <c r="X671" s="452"/>
      <c r="Y671" s="452"/>
    </row>
    <row r="672" spans="1:25" ht="15.6">
      <c r="A672" s="452"/>
      <c r="B672" s="452"/>
      <c r="C672" s="452"/>
      <c r="D672" s="452"/>
      <c r="E672" s="452"/>
      <c r="F672" s="452"/>
      <c r="G672" s="452"/>
      <c r="H672" s="452"/>
      <c r="I672" s="452"/>
      <c r="J672" s="452"/>
      <c r="K672" s="452"/>
      <c r="L672" s="452"/>
      <c r="M672" s="452"/>
      <c r="N672" s="452"/>
      <c r="O672" s="452"/>
      <c r="P672" s="452"/>
      <c r="Q672" s="452"/>
      <c r="R672" s="452"/>
      <c r="S672" s="452"/>
      <c r="T672" s="452"/>
      <c r="U672" s="452"/>
      <c r="V672" s="452"/>
      <c r="W672" s="452"/>
      <c r="X672" s="452"/>
      <c r="Y672" s="452"/>
    </row>
    <row r="673" spans="1:25" ht="15.6">
      <c r="A673" s="452"/>
      <c r="B673" s="452"/>
      <c r="C673" s="452"/>
      <c r="D673" s="452"/>
      <c r="E673" s="452"/>
      <c r="F673" s="452"/>
      <c r="G673" s="452"/>
      <c r="H673" s="452"/>
      <c r="I673" s="452"/>
      <c r="J673" s="452"/>
      <c r="K673" s="452"/>
      <c r="L673" s="452"/>
      <c r="M673" s="452"/>
      <c r="N673" s="452"/>
      <c r="O673" s="452"/>
      <c r="P673" s="452"/>
      <c r="Q673" s="452"/>
      <c r="R673" s="452"/>
      <c r="S673" s="452"/>
      <c r="T673" s="452"/>
      <c r="U673" s="452"/>
      <c r="V673" s="452"/>
      <c r="W673" s="452"/>
      <c r="X673" s="452"/>
      <c r="Y673" s="452"/>
    </row>
    <row r="674" spans="1:25" ht="15.6">
      <c r="A674" s="452"/>
      <c r="B674" s="452"/>
      <c r="C674" s="452"/>
      <c r="D674" s="452"/>
      <c r="E674" s="452"/>
      <c r="F674" s="452"/>
      <c r="G674" s="452"/>
      <c r="H674" s="452"/>
      <c r="I674" s="452"/>
      <c r="J674" s="452"/>
      <c r="K674" s="452"/>
      <c r="L674" s="452"/>
      <c r="M674" s="452"/>
      <c r="N674" s="452"/>
      <c r="O674" s="452"/>
      <c r="P674" s="452"/>
      <c r="Q674" s="452"/>
      <c r="R674" s="452"/>
      <c r="S674" s="452"/>
      <c r="T674" s="452"/>
      <c r="U674" s="452"/>
      <c r="V674" s="452"/>
      <c r="W674" s="452"/>
      <c r="X674" s="452"/>
      <c r="Y674" s="452"/>
    </row>
    <row r="675" spans="1:25" ht="15.6">
      <c r="A675" s="452"/>
      <c r="B675" s="452"/>
      <c r="C675" s="452"/>
      <c r="D675" s="452"/>
      <c r="E675" s="452"/>
      <c r="F675" s="452"/>
      <c r="G675" s="452"/>
      <c r="H675" s="452"/>
      <c r="I675" s="452"/>
      <c r="J675" s="452"/>
      <c r="K675" s="452"/>
      <c r="L675" s="452"/>
      <c r="M675" s="452"/>
      <c r="N675" s="452"/>
      <c r="O675" s="452"/>
      <c r="P675" s="452"/>
      <c r="Q675" s="452"/>
      <c r="R675" s="452"/>
      <c r="S675" s="452"/>
      <c r="T675" s="452"/>
      <c r="U675" s="452"/>
      <c r="V675" s="452"/>
      <c r="W675" s="452"/>
      <c r="X675" s="452"/>
      <c r="Y675" s="452"/>
    </row>
    <row r="676" spans="1:25" ht="15.6">
      <c r="A676" s="452"/>
      <c r="B676" s="452"/>
      <c r="C676" s="452"/>
      <c r="D676" s="452"/>
      <c r="E676" s="452"/>
      <c r="F676" s="452"/>
      <c r="G676" s="452"/>
      <c r="H676" s="452"/>
      <c r="I676" s="452"/>
      <c r="J676" s="452"/>
      <c r="K676" s="452"/>
      <c r="L676" s="452"/>
      <c r="M676" s="452"/>
      <c r="N676" s="452"/>
      <c r="O676" s="452"/>
      <c r="P676" s="452"/>
      <c r="Q676" s="452"/>
      <c r="R676" s="452"/>
      <c r="S676" s="452"/>
      <c r="T676" s="452"/>
      <c r="U676" s="452"/>
      <c r="V676" s="452"/>
      <c r="W676" s="452"/>
      <c r="X676" s="452"/>
      <c r="Y676" s="452"/>
    </row>
    <row r="677" spans="1:25" ht="15.6">
      <c r="A677" s="452"/>
      <c r="B677" s="452"/>
      <c r="C677" s="452"/>
      <c r="D677" s="452"/>
      <c r="E677" s="452"/>
      <c r="F677" s="452"/>
      <c r="G677" s="452"/>
      <c r="H677" s="452"/>
      <c r="I677" s="452"/>
      <c r="J677" s="452"/>
      <c r="K677" s="452"/>
      <c r="L677" s="452"/>
      <c r="M677" s="452"/>
      <c r="N677" s="452"/>
      <c r="O677" s="452"/>
      <c r="P677" s="452"/>
      <c r="Q677" s="452"/>
      <c r="R677" s="452"/>
      <c r="S677" s="452"/>
      <c r="T677" s="452"/>
      <c r="U677" s="452"/>
      <c r="V677" s="452"/>
      <c r="W677" s="452"/>
      <c r="X677" s="452"/>
      <c r="Y677" s="452"/>
    </row>
    <row r="678" spans="1:25" ht="15.6">
      <c r="A678" s="452"/>
      <c r="B678" s="452"/>
      <c r="C678" s="452"/>
      <c r="D678" s="452"/>
      <c r="E678" s="452"/>
      <c r="F678" s="452"/>
      <c r="G678" s="452"/>
      <c r="H678" s="452"/>
      <c r="I678" s="452"/>
      <c r="J678" s="452"/>
      <c r="K678" s="452"/>
      <c r="L678" s="452"/>
      <c r="M678" s="452"/>
      <c r="N678" s="452"/>
      <c r="O678" s="452"/>
      <c r="P678" s="452"/>
      <c r="Q678" s="452"/>
      <c r="R678" s="452"/>
      <c r="S678" s="452"/>
      <c r="T678" s="452"/>
      <c r="U678" s="452"/>
      <c r="V678" s="452"/>
      <c r="W678" s="452"/>
      <c r="X678" s="452"/>
      <c r="Y678" s="452"/>
    </row>
    <row r="679" spans="1:25" ht="15.6">
      <c r="A679" s="452"/>
      <c r="B679" s="452"/>
      <c r="C679" s="452"/>
      <c r="D679" s="452"/>
      <c r="E679" s="452"/>
      <c r="F679" s="452"/>
      <c r="G679" s="452"/>
      <c r="H679" s="452"/>
      <c r="I679" s="452"/>
      <c r="J679" s="452"/>
      <c r="K679" s="452"/>
      <c r="L679" s="452"/>
      <c r="M679" s="452"/>
      <c r="N679" s="452"/>
      <c r="O679" s="452"/>
      <c r="P679" s="452"/>
      <c r="Q679" s="452"/>
      <c r="R679" s="452"/>
      <c r="S679" s="452"/>
      <c r="T679" s="452"/>
      <c r="U679" s="452"/>
      <c r="V679" s="452"/>
      <c r="W679" s="452"/>
      <c r="X679" s="452"/>
      <c r="Y679" s="452"/>
    </row>
    <row r="680" spans="1:25" ht="15.6">
      <c r="A680" s="452"/>
      <c r="B680" s="452"/>
      <c r="C680" s="452"/>
      <c r="D680" s="452"/>
      <c r="E680" s="452"/>
      <c r="F680" s="452"/>
      <c r="G680" s="452"/>
      <c r="H680" s="452"/>
      <c r="I680" s="452"/>
      <c r="J680" s="452"/>
      <c r="K680" s="452"/>
      <c r="L680" s="452"/>
      <c r="M680" s="452"/>
      <c r="N680" s="452"/>
      <c r="O680" s="452"/>
      <c r="P680" s="452"/>
      <c r="Q680" s="452"/>
      <c r="R680" s="452"/>
      <c r="S680" s="452"/>
      <c r="T680" s="452"/>
      <c r="U680" s="452"/>
      <c r="V680" s="452"/>
      <c r="W680" s="452"/>
      <c r="X680" s="452"/>
      <c r="Y680" s="452"/>
    </row>
    <row r="681" spans="1:25" ht="15.6">
      <c r="A681" s="452"/>
      <c r="B681" s="452"/>
      <c r="C681" s="452"/>
      <c r="D681" s="452"/>
      <c r="E681" s="452"/>
      <c r="F681" s="452"/>
      <c r="G681" s="452"/>
      <c r="H681" s="452"/>
      <c r="I681" s="452"/>
      <c r="J681" s="452"/>
      <c r="K681" s="452"/>
      <c r="L681" s="452"/>
      <c r="M681" s="452"/>
      <c r="N681" s="452"/>
      <c r="O681" s="452"/>
      <c r="P681" s="452"/>
      <c r="Q681" s="452"/>
      <c r="R681" s="452"/>
      <c r="S681" s="452"/>
      <c r="T681" s="452"/>
      <c r="U681" s="452"/>
      <c r="V681" s="452"/>
      <c r="W681" s="452"/>
      <c r="X681" s="452"/>
      <c r="Y681" s="452"/>
    </row>
    <row r="682" spans="1:25" ht="15.6">
      <c r="A682" s="452"/>
      <c r="B682" s="452"/>
      <c r="C682" s="452"/>
      <c r="D682" s="452"/>
      <c r="E682" s="452"/>
      <c r="F682" s="452"/>
      <c r="G682" s="452"/>
      <c r="H682" s="452"/>
      <c r="I682" s="452"/>
      <c r="J682" s="452"/>
      <c r="K682" s="452"/>
      <c r="L682" s="452"/>
      <c r="M682" s="452"/>
      <c r="N682" s="452"/>
      <c r="O682" s="452"/>
      <c r="P682" s="452"/>
      <c r="Q682" s="452"/>
      <c r="R682" s="452"/>
      <c r="S682" s="452"/>
      <c r="T682" s="452"/>
      <c r="U682" s="452"/>
      <c r="V682" s="452"/>
      <c r="W682" s="452"/>
      <c r="X682" s="452"/>
      <c r="Y682" s="452"/>
    </row>
    <row r="683" spans="1:25" ht="15.6">
      <c r="A683" s="452"/>
      <c r="B683" s="452"/>
      <c r="C683" s="452"/>
      <c r="D683" s="452"/>
      <c r="E683" s="452"/>
      <c r="F683" s="452"/>
      <c r="G683" s="452"/>
      <c r="H683" s="452"/>
      <c r="I683" s="452"/>
      <c r="J683" s="452"/>
      <c r="K683" s="452"/>
      <c r="L683" s="452"/>
      <c r="M683" s="452"/>
      <c r="N683" s="452"/>
      <c r="O683" s="452"/>
      <c r="P683" s="452"/>
      <c r="Q683" s="452"/>
      <c r="R683" s="452"/>
      <c r="S683" s="452"/>
      <c r="T683" s="452"/>
      <c r="U683" s="452"/>
      <c r="V683" s="452"/>
      <c r="W683" s="452"/>
      <c r="X683" s="452"/>
      <c r="Y683" s="452"/>
    </row>
    <row r="684" spans="1:25" ht="15.6">
      <c r="A684" s="452"/>
      <c r="B684" s="452"/>
      <c r="C684" s="452"/>
      <c r="D684" s="452"/>
      <c r="E684" s="452"/>
      <c r="F684" s="452"/>
      <c r="G684" s="452"/>
      <c r="H684" s="452"/>
      <c r="I684" s="452"/>
      <c r="J684" s="452"/>
      <c r="K684" s="452"/>
      <c r="L684" s="452"/>
      <c r="M684" s="452"/>
      <c r="N684" s="452"/>
      <c r="O684" s="452"/>
      <c r="P684" s="452"/>
      <c r="Q684" s="452"/>
      <c r="R684" s="452"/>
      <c r="S684" s="452"/>
      <c r="T684" s="452"/>
      <c r="U684" s="452"/>
      <c r="V684" s="452"/>
      <c r="W684" s="452"/>
      <c r="X684" s="452"/>
      <c r="Y684" s="452"/>
    </row>
    <row r="685" spans="1:25" ht="15.6">
      <c r="A685" s="452"/>
      <c r="B685" s="452"/>
      <c r="C685" s="452"/>
      <c r="D685" s="452"/>
      <c r="E685" s="452"/>
      <c r="F685" s="452"/>
      <c r="G685" s="452"/>
      <c r="H685" s="452"/>
      <c r="I685" s="452"/>
      <c r="J685" s="452"/>
      <c r="K685" s="452"/>
      <c r="L685" s="452"/>
      <c r="M685" s="452"/>
      <c r="N685" s="452"/>
      <c r="O685" s="452"/>
      <c r="P685" s="452"/>
      <c r="Q685" s="452"/>
      <c r="R685" s="452"/>
      <c r="S685" s="452"/>
      <c r="T685" s="452"/>
      <c r="U685" s="452"/>
      <c r="V685" s="452"/>
      <c r="W685" s="452"/>
      <c r="X685" s="452"/>
      <c r="Y685" s="452"/>
    </row>
    <row r="686" spans="1:25" ht="15.6">
      <c r="A686" s="452"/>
      <c r="B686" s="452"/>
      <c r="C686" s="452"/>
      <c r="D686" s="452"/>
      <c r="E686" s="452"/>
      <c r="F686" s="452"/>
      <c r="G686" s="452"/>
      <c r="H686" s="452"/>
      <c r="I686" s="452"/>
      <c r="J686" s="452"/>
      <c r="K686" s="452"/>
      <c r="L686" s="452"/>
      <c r="M686" s="452"/>
      <c r="N686" s="452"/>
      <c r="O686" s="452"/>
      <c r="P686" s="452"/>
      <c r="Q686" s="452"/>
      <c r="R686" s="452"/>
      <c r="S686" s="452"/>
      <c r="T686" s="452"/>
      <c r="U686" s="452"/>
      <c r="V686" s="452"/>
      <c r="W686" s="452"/>
      <c r="X686" s="452"/>
      <c r="Y686" s="452"/>
    </row>
    <row r="687" spans="1:25" ht="15.6">
      <c r="A687" s="452"/>
      <c r="B687" s="452"/>
      <c r="C687" s="452"/>
      <c r="D687" s="452"/>
      <c r="E687" s="452"/>
      <c r="F687" s="452"/>
      <c r="G687" s="452"/>
      <c r="H687" s="452"/>
      <c r="I687" s="452"/>
      <c r="J687" s="452"/>
      <c r="K687" s="452"/>
      <c r="L687" s="452"/>
      <c r="M687" s="452"/>
      <c r="N687" s="452"/>
      <c r="O687" s="452"/>
      <c r="P687" s="452"/>
      <c r="Q687" s="452"/>
      <c r="R687" s="452"/>
      <c r="S687" s="452"/>
      <c r="T687" s="452"/>
      <c r="U687" s="452"/>
      <c r="V687" s="452"/>
      <c r="W687" s="452"/>
      <c r="X687" s="452"/>
      <c r="Y687" s="452"/>
    </row>
    <row r="688" spans="1:25" ht="15.6">
      <c r="A688" s="452"/>
      <c r="B688" s="452"/>
      <c r="C688" s="452"/>
      <c r="D688" s="452"/>
      <c r="E688" s="452"/>
      <c r="F688" s="452"/>
      <c r="G688" s="452"/>
      <c r="H688" s="452"/>
      <c r="I688" s="452"/>
      <c r="J688" s="452"/>
      <c r="K688" s="452"/>
      <c r="L688" s="452"/>
      <c r="M688" s="452"/>
      <c r="N688" s="452"/>
      <c r="O688" s="452"/>
      <c r="P688" s="452"/>
      <c r="Q688" s="452"/>
      <c r="R688" s="452"/>
      <c r="S688" s="452"/>
      <c r="T688" s="452"/>
      <c r="U688" s="452"/>
      <c r="V688" s="452"/>
      <c r="W688" s="452"/>
      <c r="X688" s="452"/>
      <c r="Y688" s="452"/>
    </row>
    <row r="689" spans="1:25" ht="15.6">
      <c r="A689" s="452"/>
      <c r="B689" s="452"/>
      <c r="C689" s="452"/>
      <c r="D689" s="452"/>
      <c r="E689" s="452"/>
      <c r="F689" s="452"/>
      <c r="G689" s="452"/>
      <c r="H689" s="452"/>
      <c r="I689" s="452"/>
      <c r="J689" s="452"/>
      <c r="K689" s="452"/>
      <c r="L689" s="452"/>
      <c r="M689" s="452"/>
      <c r="N689" s="452"/>
      <c r="O689" s="452"/>
      <c r="P689" s="452"/>
      <c r="Q689" s="452"/>
      <c r="R689" s="452"/>
      <c r="S689" s="452"/>
      <c r="T689" s="452"/>
      <c r="U689" s="452"/>
      <c r="V689" s="452"/>
      <c r="W689" s="452"/>
      <c r="X689" s="452"/>
      <c r="Y689" s="452"/>
    </row>
    <row r="690" spans="1:25" ht="15.6">
      <c r="A690" s="452"/>
      <c r="B690" s="452"/>
      <c r="C690" s="452"/>
      <c r="D690" s="452"/>
      <c r="E690" s="452"/>
      <c r="F690" s="452"/>
      <c r="G690" s="452"/>
      <c r="H690" s="452"/>
      <c r="I690" s="452"/>
      <c r="J690" s="452"/>
      <c r="K690" s="452"/>
      <c r="L690" s="452"/>
      <c r="M690" s="452"/>
      <c r="N690" s="452"/>
      <c r="O690" s="452"/>
      <c r="P690" s="452"/>
      <c r="Q690" s="452"/>
      <c r="R690" s="452"/>
      <c r="S690" s="452"/>
      <c r="T690" s="452"/>
      <c r="U690" s="452"/>
      <c r="V690" s="452"/>
      <c r="W690" s="452"/>
      <c r="X690" s="452"/>
      <c r="Y690" s="452"/>
    </row>
    <row r="691" spans="1:25" ht="15.6">
      <c r="A691" s="452"/>
      <c r="B691" s="452"/>
      <c r="C691" s="452"/>
      <c r="D691" s="452"/>
      <c r="E691" s="452"/>
      <c r="F691" s="452"/>
      <c r="G691" s="452"/>
      <c r="H691" s="452"/>
      <c r="I691" s="452"/>
      <c r="J691" s="452"/>
      <c r="K691" s="452"/>
      <c r="L691" s="452"/>
      <c r="M691" s="452"/>
      <c r="N691" s="452"/>
      <c r="O691" s="452"/>
      <c r="P691" s="452"/>
      <c r="Q691" s="452"/>
      <c r="R691" s="452"/>
      <c r="S691" s="452"/>
      <c r="T691" s="452"/>
      <c r="U691" s="452"/>
      <c r="V691" s="452"/>
      <c r="W691" s="452"/>
      <c r="X691" s="452"/>
      <c r="Y691" s="452"/>
    </row>
    <row r="692" spans="1:25" ht="15.6">
      <c r="A692" s="452"/>
      <c r="B692" s="452"/>
      <c r="C692" s="452"/>
      <c r="D692" s="452"/>
      <c r="E692" s="452"/>
      <c r="F692" s="452"/>
      <c r="G692" s="452"/>
      <c r="H692" s="452"/>
      <c r="I692" s="452"/>
      <c r="J692" s="452"/>
      <c r="K692" s="452"/>
      <c r="L692" s="452"/>
      <c r="M692" s="452"/>
      <c r="N692" s="452"/>
      <c r="O692" s="452"/>
      <c r="P692" s="452"/>
      <c r="Q692" s="452"/>
      <c r="R692" s="452"/>
      <c r="S692" s="452"/>
      <c r="T692" s="452"/>
      <c r="U692" s="452"/>
      <c r="V692" s="452"/>
      <c r="W692" s="452"/>
      <c r="X692" s="452"/>
      <c r="Y692" s="452"/>
    </row>
    <row r="693" spans="1:25" ht="15.6">
      <c r="A693" s="452"/>
      <c r="B693" s="452"/>
      <c r="C693" s="452"/>
      <c r="D693" s="452"/>
      <c r="E693" s="452"/>
      <c r="F693" s="452"/>
      <c r="G693" s="452"/>
      <c r="H693" s="452"/>
      <c r="I693" s="452"/>
      <c r="J693" s="452"/>
      <c r="K693" s="452"/>
      <c r="L693" s="452"/>
      <c r="M693" s="452"/>
      <c r="N693" s="452"/>
      <c r="O693" s="452"/>
      <c r="P693" s="452"/>
      <c r="Q693" s="452"/>
      <c r="R693" s="452"/>
      <c r="S693" s="452"/>
      <c r="T693" s="452"/>
      <c r="U693" s="452"/>
      <c r="V693" s="452"/>
      <c r="W693" s="452"/>
      <c r="X693" s="452"/>
      <c r="Y693" s="452"/>
    </row>
    <row r="694" spans="1:25" ht="15.6">
      <c r="A694" s="452"/>
      <c r="B694" s="452"/>
      <c r="C694" s="452"/>
      <c r="D694" s="452"/>
      <c r="E694" s="452"/>
      <c r="F694" s="452"/>
      <c r="G694" s="452"/>
      <c r="H694" s="452"/>
      <c r="I694" s="452"/>
      <c r="J694" s="452"/>
      <c r="K694" s="452"/>
      <c r="L694" s="452"/>
      <c r="M694" s="452"/>
      <c r="N694" s="452"/>
      <c r="O694" s="452"/>
      <c r="P694" s="452"/>
      <c r="Q694" s="452"/>
      <c r="R694" s="452"/>
      <c r="S694" s="452"/>
      <c r="T694" s="452"/>
      <c r="U694" s="452"/>
      <c r="V694" s="452"/>
      <c r="W694" s="452"/>
      <c r="X694" s="452"/>
      <c r="Y694" s="452"/>
    </row>
    <row r="695" spans="1:25" ht="15.6">
      <c r="A695" s="452"/>
      <c r="B695" s="452"/>
      <c r="C695" s="452"/>
      <c r="D695" s="452"/>
      <c r="E695" s="452"/>
      <c r="F695" s="452"/>
      <c r="G695" s="452"/>
      <c r="H695" s="452"/>
      <c r="I695" s="452"/>
      <c r="J695" s="452"/>
      <c r="K695" s="452"/>
      <c r="L695" s="452"/>
      <c r="M695" s="452"/>
      <c r="N695" s="452"/>
      <c r="O695" s="452"/>
      <c r="P695" s="452"/>
      <c r="Q695" s="452"/>
      <c r="R695" s="452"/>
      <c r="S695" s="452"/>
      <c r="T695" s="452"/>
      <c r="U695" s="452"/>
      <c r="V695" s="452"/>
      <c r="W695" s="452"/>
      <c r="X695" s="452"/>
      <c r="Y695" s="452"/>
    </row>
    <row r="696" spans="1:25" ht="15.6">
      <c r="A696" s="452"/>
      <c r="B696" s="452"/>
      <c r="C696" s="452"/>
      <c r="D696" s="452"/>
      <c r="E696" s="452"/>
      <c r="F696" s="452"/>
      <c r="G696" s="452"/>
      <c r="H696" s="452"/>
      <c r="I696" s="452"/>
      <c r="J696" s="452"/>
      <c r="K696" s="452"/>
      <c r="L696" s="452"/>
      <c r="M696" s="452"/>
      <c r="N696" s="452"/>
      <c r="O696" s="452"/>
      <c r="P696" s="452"/>
      <c r="Q696" s="452"/>
      <c r="R696" s="452"/>
      <c r="S696" s="452"/>
      <c r="T696" s="452"/>
      <c r="U696" s="452"/>
      <c r="V696" s="452"/>
      <c r="W696" s="452"/>
      <c r="X696" s="452"/>
      <c r="Y696" s="452"/>
    </row>
    <row r="697" spans="1:25" ht="15.6">
      <c r="A697" s="452"/>
      <c r="B697" s="452"/>
      <c r="C697" s="452"/>
      <c r="D697" s="452"/>
      <c r="E697" s="452"/>
      <c r="F697" s="452"/>
      <c r="G697" s="452"/>
      <c r="H697" s="452"/>
      <c r="I697" s="452"/>
      <c r="J697" s="452"/>
      <c r="K697" s="452"/>
      <c r="L697" s="452"/>
      <c r="M697" s="452"/>
      <c r="N697" s="452"/>
      <c r="O697" s="452"/>
      <c r="P697" s="452"/>
      <c r="Q697" s="452"/>
      <c r="R697" s="452"/>
      <c r="S697" s="452"/>
      <c r="T697" s="452"/>
      <c r="U697" s="452"/>
      <c r="V697" s="452"/>
      <c r="W697" s="452"/>
      <c r="X697" s="452"/>
      <c r="Y697" s="452"/>
    </row>
    <row r="698" spans="1:25" ht="15.6">
      <c r="A698" s="452"/>
      <c r="B698" s="452"/>
      <c r="C698" s="452"/>
      <c r="D698" s="452"/>
      <c r="E698" s="452"/>
      <c r="F698" s="452"/>
      <c r="G698" s="452"/>
      <c r="H698" s="452"/>
      <c r="I698" s="452"/>
      <c r="J698" s="452"/>
      <c r="K698" s="452"/>
      <c r="L698" s="452"/>
      <c r="M698" s="452"/>
      <c r="N698" s="452"/>
      <c r="O698" s="452"/>
      <c r="P698" s="452"/>
      <c r="Q698" s="452"/>
      <c r="R698" s="452"/>
      <c r="S698" s="452"/>
      <c r="T698" s="452"/>
      <c r="U698" s="452"/>
      <c r="V698" s="452"/>
      <c r="W698" s="452"/>
      <c r="X698" s="452"/>
      <c r="Y698" s="452"/>
    </row>
    <row r="699" spans="1:25" ht="15.6">
      <c r="A699" s="452"/>
      <c r="B699" s="452"/>
      <c r="C699" s="452"/>
      <c r="D699" s="452"/>
      <c r="E699" s="452"/>
      <c r="F699" s="452"/>
      <c r="G699" s="452"/>
      <c r="H699" s="452"/>
      <c r="I699" s="452"/>
      <c r="J699" s="452"/>
      <c r="K699" s="452"/>
      <c r="L699" s="452"/>
      <c r="M699" s="452"/>
      <c r="N699" s="452"/>
      <c r="O699" s="452"/>
      <c r="P699" s="452"/>
      <c r="Q699" s="452"/>
      <c r="R699" s="452"/>
      <c r="S699" s="452"/>
      <c r="T699" s="452"/>
      <c r="U699" s="452"/>
      <c r="V699" s="452"/>
      <c r="W699" s="452"/>
      <c r="X699" s="452"/>
      <c r="Y699" s="452"/>
    </row>
    <row r="700" spans="1:25" ht="15.6">
      <c r="A700" s="452"/>
      <c r="B700" s="452"/>
      <c r="C700" s="452"/>
      <c r="D700" s="452"/>
      <c r="E700" s="452"/>
      <c r="F700" s="452"/>
      <c r="G700" s="452"/>
      <c r="H700" s="452"/>
      <c r="I700" s="452"/>
      <c r="J700" s="452"/>
      <c r="K700" s="452"/>
      <c r="L700" s="452"/>
      <c r="M700" s="452"/>
      <c r="N700" s="452"/>
      <c r="O700" s="452"/>
      <c r="P700" s="452"/>
      <c r="Q700" s="452"/>
      <c r="R700" s="452"/>
      <c r="S700" s="452"/>
      <c r="T700" s="452"/>
      <c r="U700" s="452"/>
      <c r="V700" s="452"/>
      <c r="W700" s="452"/>
      <c r="X700" s="452"/>
      <c r="Y700" s="452"/>
    </row>
    <row r="701" spans="1:25" ht="15.6">
      <c r="A701" s="452"/>
      <c r="B701" s="452"/>
      <c r="C701" s="452"/>
      <c r="D701" s="452"/>
      <c r="E701" s="452"/>
      <c r="F701" s="452"/>
      <c r="G701" s="452"/>
      <c r="H701" s="452"/>
      <c r="I701" s="452"/>
      <c r="J701" s="452"/>
      <c r="K701" s="452"/>
      <c r="L701" s="452"/>
      <c r="M701" s="452"/>
      <c r="N701" s="452"/>
      <c r="O701" s="452"/>
      <c r="P701" s="452"/>
      <c r="Q701" s="452"/>
      <c r="R701" s="452"/>
      <c r="S701" s="452"/>
      <c r="T701" s="452"/>
      <c r="U701" s="452"/>
      <c r="V701" s="452"/>
      <c r="W701" s="452"/>
      <c r="X701" s="452"/>
      <c r="Y701" s="452"/>
    </row>
    <row r="702" spans="1:25" ht="15.6">
      <c r="A702" s="452"/>
      <c r="B702" s="452"/>
      <c r="C702" s="452"/>
      <c r="D702" s="452"/>
      <c r="E702" s="452"/>
      <c r="F702" s="452"/>
      <c r="G702" s="452"/>
      <c r="H702" s="452"/>
      <c r="I702" s="452"/>
      <c r="J702" s="452"/>
      <c r="K702" s="452"/>
      <c r="L702" s="452"/>
      <c r="M702" s="452"/>
      <c r="N702" s="452"/>
      <c r="O702" s="452"/>
      <c r="P702" s="452"/>
      <c r="Q702" s="452"/>
      <c r="R702" s="452"/>
      <c r="S702" s="452"/>
      <c r="T702" s="452"/>
      <c r="U702" s="452"/>
      <c r="V702" s="452"/>
      <c r="W702" s="452"/>
      <c r="X702" s="452"/>
      <c r="Y702" s="452"/>
    </row>
    <row r="703" spans="1:25" ht="15.6">
      <c r="A703" s="452"/>
      <c r="B703" s="452"/>
      <c r="C703" s="452"/>
      <c r="D703" s="452"/>
      <c r="E703" s="452"/>
      <c r="F703" s="452"/>
      <c r="G703" s="452"/>
      <c r="H703" s="452"/>
      <c r="I703" s="452"/>
      <c r="J703" s="452"/>
      <c r="K703" s="452"/>
      <c r="L703" s="452"/>
      <c r="M703" s="452"/>
      <c r="N703" s="452"/>
      <c r="O703" s="452"/>
      <c r="P703" s="452"/>
      <c r="Q703" s="452"/>
      <c r="R703" s="452"/>
      <c r="S703" s="452"/>
      <c r="T703" s="452"/>
      <c r="U703" s="452"/>
      <c r="V703" s="452"/>
      <c r="W703" s="452"/>
      <c r="X703" s="452"/>
      <c r="Y703" s="452"/>
    </row>
    <row r="704" spans="1:25" ht="15.6">
      <c r="A704" s="452"/>
      <c r="B704" s="452"/>
      <c r="C704" s="452"/>
      <c r="D704" s="452"/>
      <c r="E704" s="452"/>
      <c r="F704" s="452"/>
      <c r="G704" s="452"/>
      <c r="H704" s="452"/>
      <c r="I704" s="452"/>
      <c r="J704" s="452"/>
      <c r="K704" s="452"/>
      <c r="L704" s="452"/>
      <c r="M704" s="452"/>
      <c r="N704" s="452"/>
      <c r="O704" s="452"/>
      <c r="P704" s="452"/>
      <c r="Q704" s="452"/>
      <c r="R704" s="452"/>
      <c r="S704" s="452"/>
      <c r="T704" s="452"/>
      <c r="U704" s="452"/>
      <c r="V704" s="452"/>
      <c r="W704" s="452"/>
      <c r="X704" s="452"/>
      <c r="Y704" s="452"/>
    </row>
    <row r="705" spans="1:25" ht="15.6">
      <c r="A705" s="452"/>
      <c r="B705" s="452"/>
      <c r="C705" s="452"/>
      <c r="D705" s="452"/>
      <c r="E705" s="452"/>
      <c r="F705" s="452"/>
      <c r="G705" s="452"/>
      <c r="H705" s="452"/>
      <c r="I705" s="452"/>
      <c r="J705" s="452"/>
      <c r="K705" s="452"/>
      <c r="L705" s="452"/>
      <c r="M705" s="452"/>
      <c r="N705" s="452"/>
      <c r="O705" s="452"/>
      <c r="P705" s="452"/>
      <c r="Q705" s="452"/>
      <c r="R705" s="452"/>
      <c r="S705" s="452"/>
      <c r="T705" s="452"/>
      <c r="U705" s="452"/>
      <c r="V705" s="452"/>
      <c r="W705" s="452"/>
      <c r="X705" s="452"/>
      <c r="Y705" s="452"/>
    </row>
    <row r="706" spans="1:25" ht="15.6">
      <c r="A706" s="452"/>
      <c r="B706" s="452"/>
      <c r="C706" s="452"/>
      <c r="D706" s="452"/>
      <c r="E706" s="452"/>
      <c r="F706" s="452"/>
      <c r="G706" s="452"/>
      <c r="H706" s="452"/>
      <c r="I706" s="452"/>
      <c r="J706" s="452"/>
      <c r="K706" s="452"/>
      <c r="L706" s="452"/>
      <c r="M706" s="452"/>
      <c r="N706" s="452"/>
      <c r="O706" s="452"/>
      <c r="P706" s="452"/>
      <c r="Q706" s="452"/>
      <c r="R706" s="452"/>
      <c r="S706" s="452"/>
      <c r="T706" s="452"/>
      <c r="U706" s="452"/>
      <c r="V706" s="452"/>
      <c r="W706" s="452"/>
      <c r="X706" s="452"/>
      <c r="Y706" s="452"/>
    </row>
    <row r="707" spans="1:25" ht="15.6">
      <c r="A707" s="452"/>
      <c r="B707" s="452"/>
      <c r="C707" s="452"/>
      <c r="D707" s="452"/>
      <c r="E707" s="452"/>
      <c r="F707" s="452"/>
      <c r="G707" s="452"/>
      <c r="H707" s="452"/>
      <c r="I707" s="452"/>
      <c r="J707" s="452"/>
      <c r="K707" s="452"/>
      <c r="L707" s="452"/>
      <c r="M707" s="452"/>
      <c r="N707" s="452"/>
      <c r="O707" s="452"/>
      <c r="P707" s="452"/>
      <c r="Q707" s="452"/>
      <c r="R707" s="452"/>
      <c r="S707" s="452"/>
      <c r="T707" s="452"/>
      <c r="U707" s="452"/>
      <c r="V707" s="452"/>
      <c r="W707" s="452"/>
      <c r="X707" s="452"/>
      <c r="Y707" s="452"/>
    </row>
    <row r="708" spans="1:25" ht="15.6">
      <c r="A708" s="452"/>
      <c r="B708" s="452"/>
      <c r="C708" s="452"/>
      <c r="D708" s="452"/>
      <c r="E708" s="452"/>
      <c r="F708" s="452"/>
      <c r="G708" s="452"/>
      <c r="H708" s="452"/>
      <c r="I708" s="452"/>
      <c r="J708" s="452"/>
      <c r="K708" s="452"/>
      <c r="L708" s="452"/>
      <c r="M708" s="452"/>
      <c r="N708" s="452"/>
      <c r="O708" s="452"/>
      <c r="P708" s="452"/>
      <c r="Q708" s="452"/>
      <c r="R708" s="452"/>
      <c r="S708" s="452"/>
      <c r="T708" s="452"/>
      <c r="U708" s="452"/>
      <c r="V708" s="452"/>
      <c r="W708" s="452"/>
      <c r="X708" s="452"/>
      <c r="Y708" s="452"/>
    </row>
    <row r="709" spans="1:25" ht="15.6">
      <c r="A709" s="452"/>
      <c r="B709" s="452"/>
      <c r="C709" s="452"/>
      <c r="D709" s="452"/>
      <c r="E709" s="452"/>
      <c r="F709" s="452"/>
      <c r="G709" s="452"/>
      <c r="H709" s="452"/>
      <c r="I709" s="452"/>
      <c r="J709" s="452"/>
      <c r="K709" s="452"/>
      <c r="L709" s="452"/>
      <c r="M709" s="452"/>
      <c r="N709" s="452"/>
      <c r="O709" s="452"/>
      <c r="P709" s="452"/>
      <c r="Q709" s="452"/>
      <c r="R709" s="452"/>
      <c r="S709" s="452"/>
      <c r="T709" s="452"/>
      <c r="U709" s="452"/>
      <c r="V709" s="452"/>
      <c r="W709" s="452"/>
      <c r="X709" s="452"/>
      <c r="Y709" s="452"/>
    </row>
    <row r="710" spans="1:25" ht="15.6">
      <c r="A710" s="452"/>
      <c r="B710" s="452"/>
      <c r="C710" s="452"/>
      <c r="D710" s="452"/>
      <c r="E710" s="452"/>
      <c r="F710" s="452"/>
      <c r="G710" s="452"/>
      <c r="H710" s="452"/>
      <c r="I710" s="452"/>
      <c r="J710" s="452"/>
      <c r="K710" s="452"/>
      <c r="L710" s="452"/>
      <c r="M710" s="452"/>
      <c r="N710" s="452"/>
      <c r="O710" s="452"/>
      <c r="P710" s="452"/>
      <c r="Q710" s="452"/>
      <c r="R710" s="452"/>
      <c r="S710" s="452"/>
      <c r="T710" s="452"/>
      <c r="U710" s="452"/>
      <c r="V710" s="452"/>
      <c r="W710" s="452"/>
      <c r="X710" s="452"/>
      <c r="Y710" s="452"/>
    </row>
    <row r="711" spans="1:25" ht="15.6">
      <c r="A711" s="452"/>
      <c r="B711" s="452"/>
      <c r="C711" s="452"/>
      <c r="D711" s="452"/>
      <c r="E711" s="452"/>
      <c r="F711" s="452"/>
      <c r="G711" s="452"/>
      <c r="H711" s="452"/>
      <c r="I711" s="452"/>
      <c r="J711" s="452"/>
      <c r="K711" s="452"/>
      <c r="L711" s="452"/>
      <c r="M711" s="452"/>
      <c r="N711" s="452"/>
      <c r="O711" s="452"/>
      <c r="P711" s="452"/>
      <c r="Q711" s="452"/>
      <c r="R711" s="452"/>
      <c r="S711" s="452"/>
      <c r="T711" s="452"/>
      <c r="U711" s="452"/>
      <c r="V711" s="452"/>
      <c r="W711" s="452"/>
      <c r="X711" s="452"/>
      <c r="Y711" s="452"/>
    </row>
    <row r="712" spans="1:25" ht="15.6">
      <c r="A712" s="452"/>
      <c r="B712" s="452"/>
      <c r="C712" s="452"/>
      <c r="D712" s="452"/>
      <c r="E712" s="452"/>
      <c r="F712" s="452"/>
      <c r="G712" s="452"/>
      <c r="H712" s="452"/>
      <c r="I712" s="452"/>
      <c r="J712" s="452"/>
      <c r="K712" s="452"/>
      <c r="L712" s="452"/>
      <c r="M712" s="452"/>
      <c r="N712" s="452"/>
      <c r="O712" s="452"/>
      <c r="P712" s="452"/>
      <c r="Q712" s="452"/>
      <c r="R712" s="452"/>
      <c r="S712" s="452"/>
      <c r="T712" s="452"/>
      <c r="U712" s="452"/>
      <c r="V712" s="452"/>
      <c r="W712" s="452"/>
      <c r="X712" s="452"/>
      <c r="Y712" s="452"/>
    </row>
    <row r="713" spans="1:25" ht="15.6">
      <c r="A713" s="452"/>
      <c r="B713" s="452"/>
      <c r="C713" s="452"/>
      <c r="D713" s="452"/>
      <c r="E713" s="452"/>
      <c r="F713" s="452"/>
      <c r="G713" s="452"/>
      <c r="H713" s="452"/>
      <c r="I713" s="452"/>
      <c r="J713" s="452"/>
      <c r="K713" s="452"/>
      <c r="L713" s="452"/>
      <c r="M713" s="452"/>
      <c r="N713" s="452"/>
      <c r="O713" s="452"/>
      <c r="P713" s="452"/>
      <c r="Q713" s="452"/>
      <c r="R713" s="452"/>
      <c r="S713" s="452"/>
      <c r="T713" s="452"/>
      <c r="U713" s="452"/>
      <c r="V713" s="452"/>
      <c r="W713" s="452"/>
      <c r="X713" s="452"/>
      <c r="Y713" s="452"/>
    </row>
    <row r="714" spans="1:25" ht="15.6">
      <c r="A714" s="452"/>
      <c r="B714" s="452"/>
      <c r="C714" s="452"/>
      <c r="D714" s="452"/>
      <c r="E714" s="452"/>
      <c r="F714" s="452"/>
      <c r="G714" s="452"/>
      <c r="H714" s="452"/>
      <c r="I714" s="452"/>
      <c r="J714" s="452"/>
      <c r="K714" s="452"/>
      <c r="L714" s="452"/>
      <c r="M714" s="452"/>
      <c r="N714" s="452"/>
      <c r="O714" s="452"/>
      <c r="P714" s="452"/>
      <c r="Q714" s="452"/>
      <c r="R714" s="452"/>
      <c r="S714" s="452"/>
      <c r="T714" s="452"/>
      <c r="U714" s="452"/>
      <c r="V714" s="452"/>
      <c r="W714" s="452"/>
      <c r="X714" s="452"/>
      <c r="Y714" s="452"/>
    </row>
    <row r="715" spans="1:25" ht="15.6">
      <c r="A715" s="452"/>
      <c r="B715" s="452"/>
      <c r="C715" s="452"/>
      <c r="D715" s="452"/>
      <c r="E715" s="452"/>
      <c r="F715" s="452"/>
      <c r="G715" s="452"/>
      <c r="H715" s="452"/>
      <c r="I715" s="452"/>
      <c r="J715" s="452"/>
      <c r="K715" s="452"/>
      <c r="L715" s="452"/>
      <c r="M715" s="452"/>
      <c r="N715" s="452"/>
      <c r="O715" s="452"/>
      <c r="P715" s="452"/>
      <c r="Q715" s="452"/>
      <c r="R715" s="452"/>
      <c r="S715" s="452"/>
      <c r="T715" s="452"/>
      <c r="U715" s="452"/>
      <c r="V715" s="452"/>
      <c r="W715" s="452"/>
      <c r="X715" s="452"/>
      <c r="Y715" s="452"/>
    </row>
    <row r="716" spans="1:25" ht="15.6">
      <c r="A716" s="452"/>
      <c r="B716" s="452"/>
      <c r="C716" s="452"/>
      <c r="D716" s="452"/>
      <c r="E716" s="452"/>
      <c r="F716" s="452"/>
      <c r="G716" s="452"/>
      <c r="H716" s="452"/>
      <c r="I716" s="452"/>
      <c r="J716" s="452"/>
      <c r="K716" s="452"/>
      <c r="L716" s="452"/>
      <c r="M716" s="452"/>
      <c r="N716" s="452"/>
      <c r="O716" s="452"/>
      <c r="P716" s="452"/>
      <c r="Q716" s="452"/>
      <c r="R716" s="452"/>
      <c r="S716" s="452"/>
      <c r="T716" s="452"/>
      <c r="U716" s="452"/>
      <c r="V716" s="452"/>
      <c r="W716" s="452"/>
      <c r="X716" s="452"/>
      <c r="Y716" s="452"/>
    </row>
    <row r="717" spans="1:25" ht="15.6">
      <c r="A717" s="452"/>
      <c r="B717" s="452"/>
      <c r="C717" s="452"/>
      <c r="D717" s="452"/>
      <c r="E717" s="452"/>
      <c r="F717" s="452"/>
      <c r="G717" s="452"/>
      <c r="H717" s="452"/>
      <c r="I717" s="452"/>
      <c r="J717" s="452"/>
      <c r="K717" s="452"/>
      <c r="L717" s="452"/>
      <c r="M717" s="452"/>
      <c r="N717" s="452"/>
      <c r="O717" s="452"/>
      <c r="P717" s="452"/>
      <c r="Q717" s="452"/>
      <c r="R717" s="452"/>
      <c r="S717" s="452"/>
      <c r="T717" s="452"/>
      <c r="U717" s="452"/>
      <c r="V717" s="452"/>
      <c r="W717" s="452"/>
      <c r="X717" s="452"/>
      <c r="Y717" s="452"/>
    </row>
    <row r="718" spans="1:25" ht="15.6">
      <c r="A718" s="452"/>
      <c r="B718" s="452"/>
      <c r="C718" s="452"/>
      <c r="D718" s="452"/>
      <c r="E718" s="452"/>
      <c r="F718" s="452"/>
      <c r="G718" s="452"/>
      <c r="H718" s="452"/>
      <c r="I718" s="452"/>
      <c r="J718" s="452"/>
      <c r="K718" s="452"/>
      <c r="L718" s="452"/>
      <c r="M718" s="452"/>
      <c r="N718" s="452"/>
      <c r="O718" s="452"/>
      <c r="P718" s="452"/>
      <c r="Q718" s="452"/>
      <c r="R718" s="452"/>
      <c r="S718" s="452"/>
      <c r="T718" s="452"/>
      <c r="U718" s="452"/>
      <c r="V718" s="452"/>
      <c r="W718" s="452"/>
      <c r="X718" s="452"/>
      <c r="Y718" s="452"/>
    </row>
    <row r="719" spans="1:25" ht="15.6">
      <c r="A719" s="452"/>
      <c r="B719" s="452"/>
      <c r="C719" s="452"/>
      <c r="D719" s="452"/>
      <c r="E719" s="452"/>
      <c r="F719" s="452"/>
      <c r="G719" s="452"/>
      <c r="H719" s="452"/>
      <c r="I719" s="452"/>
      <c r="J719" s="452"/>
      <c r="K719" s="452"/>
      <c r="L719" s="452"/>
      <c r="M719" s="452"/>
      <c r="N719" s="452"/>
      <c r="O719" s="452"/>
      <c r="P719" s="452"/>
      <c r="Q719" s="452"/>
      <c r="R719" s="452"/>
      <c r="S719" s="452"/>
      <c r="T719" s="452"/>
      <c r="U719" s="452"/>
      <c r="V719" s="452"/>
      <c r="W719" s="452"/>
      <c r="X719" s="452"/>
      <c r="Y719" s="452"/>
    </row>
    <row r="720" spans="1:25" ht="15.6">
      <c r="A720" s="452"/>
      <c r="B720" s="452"/>
      <c r="C720" s="452"/>
      <c r="D720" s="452"/>
      <c r="E720" s="452"/>
      <c r="F720" s="452"/>
      <c r="G720" s="452"/>
      <c r="H720" s="452"/>
      <c r="I720" s="452"/>
      <c r="J720" s="452"/>
      <c r="K720" s="452"/>
      <c r="L720" s="452"/>
      <c r="M720" s="452"/>
      <c r="N720" s="452"/>
      <c r="O720" s="452"/>
      <c r="P720" s="452"/>
      <c r="Q720" s="452"/>
      <c r="R720" s="452"/>
      <c r="S720" s="452"/>
      <c r="T720" s="452"/>
      <c r="U720" s="452"/>
      <c r="V720" s="452"/>
      <c r="W720" s="452"/>
      <c r="X720" s="452"/>
      <c r="Y720" s="452"/>
    </row>
    <row r="721" spans="1:25" ht="15.6">
      <c r="A721" s="452"/>
      <c r="B721" s="452"/>
      <c r="C721" s="452"/>
      <c r="D721" s="452"/>
      <c r="E721" s="452"/>
      <c r="F721" s="452"/>
      <c r="G721" s="452"/>
      <c r="H721" s="452"/>
      <c r="I721" s="452"/>
      <c r="J721" s="452"/>
      <c r="K721" s="452"/>
      <c r="L721" s="452"/>
      <c r="M721" s="452"/>
      <c r="N721" s="452"/>
      <c r="O721" s="452"/>
      <c r="P721" s="452"/>
      <c r="Q721" s="452"/>
      <c r="R721" s="452"/>
      <c r="S721" s="452"/>
      <c r="T721" s="452"/>
      <c r="U721" s="452"/>
      <c r="V721" s="452"/>
      <c r="W721" s="452"/>
      <c r="X721" s="452"/>
      <c r="Y721" s="452"/>
    </row>
    <row r="722" spans="1:25" ht="15.6">
      <c r="A722" s="452"/>
      <c r="B722" s="452"/>
      <c r="C722" s="452"/>
      <c r="D722" s="452"/>
      <c r="E722" s="452"/>
      <c r="F722" s="452"/>
      <c r="G722" s="452"/>
      <c r="H722" s="452"/>
      <c r="I722" s="452"/>
      <c r="J722" s="452"/>
      <c r="K722" s="452"/>
      <c r="L722" s="452"/>
      <c r="M722" s="452"/>
      <c r="N722" s="452"/>
      <c r="O722" s="452"/>
      <c r="P722" s="452"/>
      <c r="Q722" s="452"/>
      <c r="R722" s="452"/>
      <c r="S722" s="452"/>
      <c r="T722" s="452"/>
      <c r="U722" s="452"/>
      <c r="V722" s="452"/>
      <c r="W722" s="452"/>
      <c r="X722" s="452"/>
      <c r="Y722" s="452"/>
    </row>
    <row r="723" spans="1:25" ht="15.6">
      <c r="A723" s="452"/>
      <c r="B723" s="452"/>
      <c r="C723" s="452"/>
      <c r="D723" s="452"/>
      <c r="E723" s="452"/>
      <c r="F723" s="452"/>
      <c r="G723" s="452"/>
      <c r="H723" s="452"/>
      <c r="I723" s="452"/>
      <c r="J723" s="452"/>
      <c r="K723" s="452"/>
      <c r="L723" s="452"/>
      <c r="M723" s="452"/>
      <c r="N723" s="452"/>
      <c r="O723" s="452"/>
      <c r="P723" s="452"/>
      <c r="Q723" s="452"/>
      <c r="R723" s="452"/>
      <c r="S723" s="452"/>
      <c r="T723" s="452"/>
      <c r="U723" s="452"/>
      <c r="V723" s="452"/>
      <c r="W723" s="452"/>
      <c r="X723" s="452"/>
      <c r="Y723" s="452"/>
    </row>
    <row r="724" spans="1:25" ht="15.6">
      <c r="A724" s="452"/>
      <c r="B724" s="452"/>
      <c r="C724" s="452"/>
      <c r="D724" s="452"/>
      <c r="E724" s="452"/>
      <c r="F724" s="452"/>
      <c r="G724" s="452"/>
      <c r="H724" s="452"/>
      <c r="I724" s="452"/>
      <c r="J724" s="452"/>
      <c r="K724" s="452"/>
      <c r="L724" s="452"/>
      <c r="M724" s="452"/>
      <c r="N724" s="452"/>
      <c r="O724" s="452"/>
      <c r="P724" s="452"/>
      <c r="Q724" s="452"/>
      <c r="R724" s="452"/>
      <c r="S724" s="452"/>
      <c r="T724" s="452"/>
      <c r="U724" s="452"/>
      <c r="V724" s="452"/>
      <c r="W724" s="452"/>
      <c r="X724" s="452"/>
      <c r="Y724" s="452"/>
    </row>
    <row r="725" spans="1:25" ht="15.6">
      <c r="A725" s="452"/>
      <c r="B725" s="452"/>
      <c r="C725" s="452"/>
      <c r="D725" s="452"/>
      <c r="E725" s="452"/>
      <c r="F725" s="452"/>
      <c r="G725" s="452"/>
      <c r="H725" s="452"/>
      <c r="I725" s="452"/>
      <c r="J725" s="452"/>
      <c r="K725" s="452"/>
      <c r="L725" s="452"/>
      <c r="M725" s="452"/>
      <c r="N725" s="452"/>
      <c r="O725" s="452"/>
      <c r="P725" s="452"/>
      <c r="Q725" s="452"/>
      <c r="R725" s="452"/>
      <c r="S725" s="452"/>
      <c r="T725" s="452"/>
      <c r="U725" s="452"/>
      <c r="V725" s="452"/>
      <c r="W725" s="452"/>
      <c r="X725" s="452"/>
      <c r="Y725" s="452"/>
    </row>
    <row r="726" spans="1:25" ht="15.6">
      <c r="A726" s="452"/>
      <c r="B726" s="452"/>
      <c r="C726" s="452"/>
      <c r="D726" s="452"/>
      <c r="E726" s="452"/>
      <c r="F726" s="452"/>
      <c r="G726" s="452"/>
      <c r="H726" s="452"/>
      <c r="I726" s="452"/>
      <c r="J726" s="452"/>
      <c r="K726" s="452"/>
      <c r="L726" s="452"/>
      <c r="M726" s="452"/>
      <c r="N726" s="452"/>
      <c r="O726" s="452"/>
      <c r="P726" s="452"/>
      <c r="Q726" s="452"/>
      <c r="R726" s="452"/>
      <c r="S726" s="452"/>
      <c r="T726" s="452"/>
      <c r="U726" s="452"/>
      <c r="V726" s="452"/>
      <c r="W726" s="452"/>
      <c r="X726" s="452"/>
      <c r="Y726" s="452"/>
    </row>
    <row r="727" spans="1:25" ht="15.6">
      <c r="A727" s="452"/>
      <c r="B727" s="452"/>
      <c r="C727" s="452"/>
      <c r="D727" s="452"/>
      <c r="E727" s="452"/>
      <c r="F727" s="452"/>
      <c r="G727" s="452"/>
      <c r="H727" s="452"/>
      <c r="I727" s="452"/>
      <c r="J727" s="452"/>
      <c r="K727" s="452"/>
      <c r="L727" s="452"/>
      <c r="M727" s="452"/>
      <c r="N727" s="452"/>
      <c r="O727" s="452"/>
      <c r="P727" s="452"/>
      <c r="Q727" s="452"/>
      <c r="R727" s="452"/>
      <c r="S727" s="452"/>
      <c r="T727" s="452"/>
      <c r="U727" s="452"/>
      <c r="V727" s="452"/>
      <c r="W727" s="452"/>
      <c r="X727" s="452"/>
      <c r="Y727" s="452"/>
    </row>
    <row r="728" spans="1:25" ht="15.6">
      <c r="A728" s="452"/>
      <c r="B728" s="452"/>
      <c r="C728" s="452"/>
      <c r="D728" s="452"/>
      <c r="E728" s="452"/>
      <c r="F728" s="452"/>
      <c r="G728" s="452"/>
      <c r="H728" s="452"/>
      <c r="I728" s="452"/>
      <c r="J728" s="452"/>
      <c r="K728" s="452"/>
      <c r="L728" s="452"/>
      <c r="M728" s="452"/>
      <c r="N728" s="452"/>
      <c r="O728" s="452"/>
      <c r="P728" s="452"/>
      <c r="Q728" s="452"/>
      <c r="R728" s="452"/>
      <c r="S728" s="452"/>
      <c r="T728" s="452"/>
      <c r="U728" s="452"/>
      <c r="V728" s="452"/>
      <c r="W728" s="452"/>
      <c r="X728" s="452"/>
      <c r="Y728" s="452"/>
    </row>
    <row r="729" spans="1:25" ht="15.6">
      <c r="A729" s="452"/>
      <c r="B729" s="452"/>
      <c r="C729" s="452"/>
      <c r="D729" s="452"/>
      <c r="E729" s="452"/>
      <c r="F729" s="452"/>
      <c r="G729" s="452"/>
      <c r="H729" s="452"/>
      <c r="I729" s="452"/>
      <c r="J729" s="452"/>
      <c r="K729" s="452"/>
      <c r="L729" s="452"/>
      <c r="M729" s="452"/>
      <c r="N729" s="452"/>
      <c r="O729" s="452"/>
      <c r="P729" s="452"/>
      <c r="Q729" s="452"/>
      <c r="R729" s="452"/>
      <c r="S729" s="452"/>
      <c r="T729" s="452"/>
      <c r="U729" s="452"/>
      <c r="V729" s="452"/>
      <c r="W729" s="452"/>
      <c r="X729" s="452"/>
      <c r="Y729" s="452"/>
    </row>
    <row r="730" spans="1:25" ht="15.6">
      <c r="A730" s="452"/>
      <c r="B730" s="452"/>
      <c r="C730" s="452"/>
      <c r="D730" s="452"/>
      <c r="E730" s="452"/>
      <c r="F730" s="452"/>
      <c r="G730" s="452"/>
      <c r="H730" s="452"/>
      <c r="I730" s="452"/>
      <c r="J730" s="452"/>
      <c r="K730" s="452"/>
      <c r="L730" s="452"/>
      <c r="M730" s="452"/>
      <c r="N730" s="452"/>
      <c r="O730" s="452"/>
      <c r="P730" s="452"/>
      <c r="Q730" s="452"/>
      <c r="R730" s="452"/>
      <c r="S730" s="452"/>
      <c r="T730" s="452"/>
      <c r="U730" s="452"/>
      <c r="V730" s="452"/>
      <c r="W730" s="452"/>
      <c r="X730" s="452"/>
      <c r="Y730" s="452"/>
    </row>
    <row r="731" spans="1:25" ht="15.6">
      <c r="A731" s="452"/>
      <c r="B731" s="452"/>
      <c r="C731" s="452"/>
      <c r="D731" s="452"/>
      <c r="E731" s="452"/>
      <c r="F731" s="452"/>
      <c r="G731" s="452"/>
      <c r="H731" s="452"/>
      <c r="I731" s="452"/>
      <c r="J731" s="452"/>
      <c r="K731" s="452"/>
      <c r="L731" s="452"/>
      <c r="M731" s="452"/>
      <c r="N731" s="452"/>
      <c r="O731" s="452"/>
      <c r="P731" s="452"/>
      <c r="Q731" s="452"/>
      <c r="R731" s="452"/>
      <c r="S731" s="452"/>
      <c r="T731" s="452"/>
      <c r="U731" s="452"/>
      <c r="V731" s="452"/>
      <c r="W731" s="452"/>
      <c r="X731" s="452"/>
      <c r="Y731" s="452"/>
    </row>
    <row r="732" spans="1:25" ht="15.6">
      <c r="A732" s="452"/>
      <c r="B732" s="452"/>
      <c r="C732" s="452"/>
      <c r="D732" s="452"/>
      <c r="E732" s="452"/>
      <c r="F732" s="452"/>
      <c r="G732" s="452"/>
      <c r="H732" s="452"/>
      <c r="I732" s="452"/>
      <c r="J732" s="452"/>
      <c r="K732" s="452"/>
      <c r="L732" s="452"/>
      <c r="M732" s="452"/>
      <c r="N732" s="452"/>
      <c r="O732" s="452"/>
      <c r="P732" s="452"/>
      <c r="Q732" s="452"/>
      <c r="R732" s="452"/>
      <c r="S732" s="452"/>
      <c r="T732" s="452"/>
      <c r="U732" s="452"/>
      <c r="V732" s="452"/>
      <c r="W732" s="452"/>
      <c r="X732" s="452"/>
      <c r="Y732" s="452"/>
    </row>
    <row r="733" spans="1:25" ht="15.6">
      <c r="A733" s="452"/>
      <c r="B733" s="452"/>
      <c r="C733" s="452"/>
      <c r="D733" s="452"/>
      <c r="E733" s="452"/>
      <c r="F733" s="452"/>
      <c r="G733" s="452"/>
      <c r="H733" s="452"/>
      <c r="I733" s="452"/>
      <c r="J733" s="452"/>
      <c r="K733" s="452"/>
      <c r="L733" s="452"/>
      <c r="M733" s="452"/>
      <c r="N733" s="452"/>
      <c r="O733" s="452"/>
      <c r="P733" s="452"/>
      <c r="Q733" s="452"/>
      <c r="R733" s="452"/>
      <c r="S733" s="452"/>
      <c r="T733" s="452"/>
      <c r="U733" s="452"/>
      <c r="V733" s="452"/>
      <c r="W733" s="452"/>
      <c r="X733" s="452"/>
      <c r="Y733" s="452"/>
    </row>
    <row r="734" spans="1:25" ht="15.6">
      <c r="A734" s="452"/>
      <c r="B734" s="452"/>
      <c r="C734" s="452"/>
      <c r="D734" s="452"/>
      <c r="E734" s="452"/>
      <c r="F734" s="452"/>
      <c r="G734" s="452"/>
      <c r="H734" s="452"/>
      <c r="I734" s="452"/>
      <c r="J734" s="452"/>
      <c r="K734" s="452"/>
      <c r="L734" s="452"/>
      <c r="M734" s="452"/>
      <c r="N734" s="452"/>
      <c r="O734" s="452"/>
      <c r="P734" s="452"/>
      <c r="Q734" s="452"/>
      <c r="R734" s="452"/>
      <c r="S734" s="452"/>
      <c r="T734" s="452"/>
      <c r="U734" s="452"/>
      <c r="V734" s="452"/>
      <c r="W734" s="452"/>
      <c r="X734" s="452"/>
      <c r="Y734" s="452"/>
    </row>
    <row r="735" spans="1:25" ht="15.6">
      <c r="A735" s="452"/>
      <c r="B735" s="452"/>
      <c r="C735" s="452"/>
      <c r="D735" s="452"/>
      <c r="E735" s="452"/>
      <c r="F735" s="452"/>
      <c r="G735" s="452"/>
      <c r="H735" s="452"/>
      <c r="I735" s="452"/>
      <c r="J735" s="452"/>
      <c r="K735" s="452"/>
      <c r="L735" s="452"/>
      <c r="M735" s="452"/>
      <c r="N735" s="452"/>
      <c r="O735" s="452"/>
      <c r="P735" s="452"/>
      <c r="Q735" s="452"/>
      <c r="R735" s="452"/>
      <c r="S735" s="452"/>
      <c r="T735" s="452"/>
      <c r="U735" s="452"/>
      <c r="V735" s="452"/>
      <c r="W735" s="452"/>
      <c r="X735" s="452"/>
      <c r="Y735" s="452"/>
    </row>
    <row r="736" spans="1:25" ht="15.6">
      <c r="A736" s="452"/>
      <c r="B736" s="452"/>
      <c r="C736" s="452"/>
      <c r="D736" s="452"/>
      <c r="E736" s="452"/>
      <c r="F736" s="452"/>
      <c r="G736" s="452"/>
      <c r="H736" s="452"/>
      <c r="I736" s="452"/>
      <c r="J736" s="452"/>
      <c r="K736" s="452"/>
      <c r="L736" s="452"/>
      <c r="M736" s="452"/>
      <c r="N736" s="452"/>
      <c r="O736" s="452"/>
      <c r="P736" s="452"/>
      <c r="Q736" s="452"/>
      <c r="R736" s="452"/>
      <c r="S736" s="452"/>
      <c r="T736" s="452"/>
      <c r="U736" s="452"/>
      <c r="V736" s="452"/>
      <c r="W736" s="452"/>
      <c r="X736" s="452"/>
      <c r="Y736" s="452"/>
    </row>
    <row r="737" spans="1:25" ht="15.6">
      <c r="A737" s="452"/>
      <c r="B737" s="452"/>
      <c r="C737" s="452"/>
      <c r="D737" s="452"/>
      <c r="E737" s="452"/>
      <c r="F737" s="452"/>
      <c r="G737" s="452"/>
      <c r="H737" s="452"/>
      <c r="I737" s="452"/>
      <c r="J737" s="452"/>
      <c r="K737" s="452"/>
      <c r="L737" s="452"/>
      <c r="M737" s="452"/>
      <c r="N737" s="452"/>
      <c r="O737" s="452"/>
      <c r="P737" s="452"/>
      <c r="Q737" s="452"/>
      <c r="R737" s="452"/>
      <c r="S737" s="452"/>
      <c r="T737" s="452"/>
      <c r="U737" s="452"/>
      <c r="V737" s="452"/>
      <c r="W737" s="452"/>
      <c r="X737" s="452"/>
      <c r="Y737" s="452"/>
    </row>
    <row r="738" spans="1:25" ht="15.6">
      <c r="A738" s="452"/>
      <c r="B738" s="452"/>
      <c r="C738" s="452"/>
      <c r="D738" s="452"/>
      <c r="E738" s="452"/>
      <c r="F738" s="452"/>
      <c r="G738" s="452"/>
      <c r="H738" s="452"/>
      <c r="I738" s="452"/>
      <c r="J738" s="452"/>
      <c r="K738" s="452"/>
      <c r="L738" s="452"/>
      <c r="M738" s="452"/>
      <c r="N738" s="452"/>
      <c r="O738" s="452"/>
      <c r="P738" s="452"/>
      <c r="Q738" s="452"/>
      <c r="R738" s="452"/>
      <c r="S738" s="452"/>
      <c r="T738" s="452"/>
      <c r="U738" s="452"/>
      <c r="V738" s="452"/>
      <c r="W738" s="452"/>
      <c r="X738" s="452"/>
      <c r="Y738" s="452"/>
    </row>
    <row r="739" spans="1:25" ht="15.6">
      <c r="A739" s="452"/>
      <c r="B739" s="452"/>
      <c r="C739" s="452"/>
      <c r="D739" s="452"/>
      <c r="E739" s="452"/>
      <c r="F739" s="452"/>
      <c r="G739" s="452"/>
      <c r="H739" s="452"/>
      <c r="I739" s="452"/>
      <c r="J739" s="452"/>
      <c r="K739" s="452"/>
      <c r="L739" s="452"/>
      <c r="M739" s="452"/>
      <c r="N739" s="452"/>
      <c r="O739" s="452"/>
      <c r="P739" s="452"/>
      <c r="Q739" s="452"/>
      <c r="R739" s="452"/>
      <c r="S739" s="452"/>
      <c r="T739" s="452"/>
      <c r="U739" s="452"/>
      <c r="V739" s="452"/>
      <c r="W739" s="452"/>
      <c r="X739" s="452"/>
      <c r="Y739" s="452"/>
    </row>
    <row r="740" spans="1:25" ht="15.6">
      <c r="A740" s="452"/>
      <c r="B740" s="452"/>
      <c r="C740" s="452"/>
      <c r="D740" s="452"/>
      <c r="E740" s="452"/>
      <c r="F740" s="452"/>
      <c r="G740" s="452"/>
      <c r="H740" s="452"/>
      <c r="I740" s="452"/>
      <c r="J740" s="452"/>
      <c r="K740" s="452"/>
      <c r="L740" s="452"/>
      <c r="M740" s="452"/>
      <c r="N740" s="452"/>
      <c r="O740" s="452"/>
      <c r="P740" s="452"/>
      <c r="Q740" s="452"/>
      <c r="R740" s="452"/>
      <c r="S740" s="452"/>
      <c r="T740" s="452"/>
      <c r="U740" s="452"/>
      <c r="V740" s="452"/>
      <c r="W740" s="452"/>
      <c r="X740" s="452"/>
      <c r="Y740" s="452"/>
    </row>
    <row r="741" spans="1:25" ht="15.6">
      <c r="A741" s="452"/>
      <c r="B741" s="452"/>
      <c r="C741" s="452"/>
      <c r="D741" s="452"/>
      <c r="E741" s="452"/>
      <c r="F741" s="452"/>
      <c r="G741" s="452"/>
      <c r="H741" s="452"/>
      <c r="I741" s="452"/>
      <c r="J741" s="452"/>
      <c r="K741" s="452"/>
      <c r="L741" s="452"/>
      <c r="M741" s="452"/>
      <c r="N741" s="452"/>
      <c r="O741" s="452"/>
      <c r="P741" s="452"/>
      <c r="Q741" s="452"/>
      <c r="R741" s="452"/>
      <c r="S741" s="452"/>
      <c r="T741" s="452"/>
      <c r="U741" s="452"/>
      <c r="V741" s="452"/>
      <c r="W741" s="452"/>
      <c r="X741" s="452"/>
      <c r="Y741" s="452"/>
    </row>
    <row r="742" spans="1:25" ht="15.6">
      <c r="A742" s="452"/>
      <c r="B742" s="452"/>
      <c r="C742" s="452"/>
      <c r="D742" s="452"/>
      <c r="E742" s="452"/>
      <c r="F742" s="452"/>
      <c r="G742" s="452"/>
      <c r="H742" s="452"/>
      <c r="I742" s="452"/>
      <c r="J742" s="452"/>
      <c r="K742" s="452"/>
      <c r="L742" s="452"/>
      <c r="M742" s="452"/>
      <c r="N742" s="452"/>
      <c r="O742" s="452"/>
      <c r="P742" s="452"/>
      <c r="Q742" s="452"/>
      <c r="R742" s="452"/>
      <c r="S742" s="452"/>
      <c r="T742" s="452"/>
      <c r="U742" s="452"/>
      <c r="V742" s="452"/>
      <c r="W742" s="452"/>
      <c r="X742" s="452"/>
      <c r="Y742" s="452"/>
    </row>
    <row r="743" spans="1:25" ht="15.6">
      <c r="A743" s="452"/>
      <c r="B743" s="452"/>
      <c r="C743" s="452"/>
      <c r="D743" s="452"/>
      <c r="E743" s="452"/>
      <c r="F743" s="452"/>
      <c r="G743" s="452"/>
      <c r="H743" s="452"/>
      <c r="I743" s="452"/>
      <c r="J743" s="452"/>
      <c r="K743" s="452"/>
      <c r="L743" s="452"/>
      <c r="M743" s="452"/>
      <c r="N743" s="452"/>
      <c r="O743" s="452"/>
      <c r="P743" s="452"/>
      <c r="Q743" s="452"/>
      <c r="R743" s="452"/>
      <c r="S743" s="452"/>
      <c r="T743" s="452"/>
      <c r="U743" s="452"/>
      <c r="V743" s="452"/>
      <c r="W743" s="452"/>
      <c r="X743" s="452"/>
      <c r="Y743" s="452"/>
    </row>
    <row r="744" spans="1:25" ht="15.6">
      <c r="A744" s="452"/>
      <c r="B744" s="452"/>
      <c r="C744" s="452"/>
      <c r="D744" s="452"/>
      <c r="E744" s="452"/>
      <c r="F744" s="452"/>
      <c r="G744" s="452"/>
      <c r="H744" s="452"/>
      <c r="I744" s="452"/>
      <c r="J744" s="452"/>
      <c r="K744" s="452"/>
      <c r="L744" s="452"/>
      <c r="M744" s="452"/>
      <c r="N744" s="452"/>
      <c r="O744" s="452"/>
      <c r="P744" s="452"/>
      <c r="Q744" s="452"/>
      <c r="R744" s="452"/>
      <c r="S744" s="452"/>
      <c r="T744" s="452"/>
      <c r="U744" s="452"/>
      <c r="V744" s="452"/>
      <c r="W744" s="452"/>
      <c r="X744" s="452"/>
      <c r="Y744" s="452"/>
    </row>
    <row r="745" spans="1:25" ht="15.6">
      <c r="A745" s="452"/>
      <c r="B745" s="452"/>
      <c r="C745" s="452"/>
      <c r="D745" s="452"/>
      <c r="E745" s="452"/>
      <c r="F745" s="452"/>
      <c r="G745" s="452"/>
      <c r="H745" s="452"/>
      <c r="I745" s="452"/>
      <c r="J745" s="452"/>
      <c r="K745" s="452"/>
      <c r="L745" s="452"/>
      <c r="M745" s="452"/>
      <c r="N745" s="452"/>
      <c r="O745" s="452"/>
      <c r="P745" s="452"/>
      <c r="Q745" s="452"/>
      <c r="R745" s="452"/>
      <c r="S745" s="452"/>
      <c r="T745" s="452"/>
      <c r="U745" s="452"/>
      <c r="V745" s="452"/>
      <c r="W745" s="452"/>
      <c r="X745" s="452"/>
      <c r="Y745" s="452"/>
    </row>
    <row r="746" spans="1:25" ht="15.6">
      <c r="A746" s="452"/>
      <c r="B746" s="452"/>
      <c r="C746" s="452"/>
      <c r="D746" s="452"/>
      <c r="E746" s="452"/>
      <c r="F746" s="452"/>
      <c r="G746" s="452"/>
      <c r="H746" s="452"/>
      <c r="I746" s="452"/>
      <c r="J746" s="452"/>
      <c r="K746" s="452"/>
      <c r="L746" s="452"/>
      <c r="M746" s="452"/>
      <c r="N746" s="452"/>
      <c r="O746" s="452"/>
      <c r="P746" s="452"/>
      <c r="Q746" s="452"/>
      <c r="R746" s="452"/>
      <c r="S746" s="452"/>
      <c r="T746" s="452"/>
      <c r="U746" s="452"/>
      <c r="V746" s="452"/>
      <c r="W746" s="452"/>
      <c r="X746" s="452"/>
      <c r="Y746" s="452"/>
    </row>
    <row r="747" spans="1:25" ht="15.6">
      <c r="A747" s="452"/>
      <c r="B747" s="452"/>
      <c r="C747" s="452"/>
      <c r="D747" s="452"/>
      <c r="E747" s="452"/>
      <c r="F747" s="452"/>
      <c r="G747" s="452"/>
      <c r="H747" s="452"/>
      <c r="I747" s="452"/>
      <c r="J747" s="452"/>
      <c r="K747" s="452"/>
      <c r="L747" s="452"/>
      <c r="M747" s="452"/>
      <c r="N747" s="452"/>
      <c r="O747" s="452"/>
      <c r="P747" s="452"/>
      <c r="Q747" s="452"/>
      <c r="R747" s="452"/>
      <c r="S747" s="452"/>
      <c r="T747" s="452"/>
      <c r="U747" s="452"/>
      <c r="V747" s="452"/>
      <c r="W747" s="452"/>
      <c r="X747" s="452"/>
      <c r="Y747" s="452"/>
    </row>
    <row r="748" spans="1:25" ht="15.6">
      <c r="A748" s="452"/>
      <c r="B748" s="452"/>
      <c r="C748" s="452"/>
      <c r="D748" s="452"/>
      <c r="E748" s="452"/>
      <c r="F748" s="452"/>
      <c r="G748" s="452"/>
      <c r="H748" s="452"/>
      <c r="I748" s="452"/>
      <c r="J748" s="452"/>
      <c r="K748" s="452"/>
      <c r="L748" s="452"/>
      <c r="M748" s="452"/>
      <c r="N748" s="452"/>
      <c r="O748" s="452"/>
      <c r="P748" s="452"/>
      <c r="Q748" s="452"/>
      <c r="R748" s="452"/>
      <c r="S748" s="452"/>
      <c r="T748" s="452"/>
      <c r="U748" s="452"/>
      <c r="V748" s="452"/>
      <c r="W748" s="452"/>
      <c r="X748" s="452"/>
      <c r="Y748" s="452"/>
    </row>
    <row r="749" spans="1:25" ht="15.6">
      <c r="A749" s="452"/>
      <c r="B749" s="452"/>
      <c r="C749" s="452"/>
      <c r="D749" s="452"/>
      <c r="E749" s="452"/>
      <c r="F749" s="452"/>
      <c r="G749" s="452"/>
      <c r="H749" s="452"/>
      <c r="I749" s="452"/>
      <c r="J749" s="452"/>
      <c r="K749" s="452"/>
      <c r="L749" s="452"/>
      <c r="M749" s="452"/>
      <c r="N749" s="452"/>
      <c r="O749" s="452"/>
      <c r="P749" s="452"/>
      <c r="Q749" s="452"/>
      <c r="R749" s="452"/>
      <c r="S749" s="452"/>
      <c r="T749" s="452"/>
      <c r="U749" s="452"/>
      <c r="V749" s="452"/>
      <c r="W749" s="452"/>
      <c r="X749" s="452"/>
      <c r="Y749" s="452"/>
    </row>
    <row r="750" spans="1:25" ht="15.6">
      <c r="A750" s="452"/>
      <c r="B750" s="452"/>
      <c r="C750" s="452"/>
      <c r="D750" s="452"/>
      <c r="E750" s="452"/>
      <c r="F750" s="452"/>
      <c r="G750" s="452"/>
      <c r="H750" s="452"/>
      <c r="I750" s="452"/>
      <c r="J750" s="452"/>
      <c r="K750" s="452"/>
      <c r="L750" s="452"/>
      <c r="M750" s="452"/>
      <c r="N750" s="452"/>
      <c r="O750" s="452"/>
      <c r="P750" s="452"/>
      <c r="Q750" s="452"/>
      <c r="R750" s="452"/>
      <c r="S750" s="452"/>
      <c r="T750" s="452"/>
      <c r="U750" s="452"/>
      <c r="V750" s="452"/>
      <c r="W750" s="452"/>
      <c r="X750" s="452"/>
      <c r="Y750" s="452"/>
    </row>
    <row r="751" spans="1:25" ht="15.6">
      <c r="A751" s="452"/>
      <c r="B751" s="452"/>
      <c r="C751" s="452"/>
      <c r="D751" s="452"/>
      <c r="E751" s="452"/>
      <c r="F751" s="452"/>
      <c r="G751" s="452"/>
      <c r="H751" s="452"/>
      <c r="I751" s="452"/>
      <c r="J751" s="452"/>
      <c r="K751" s="452"/>
      <c r="L751" s="452"/>
      <c r="M751" s="452"/>
      <c r="N751" s="452"/>
      <c r="O751" s="452"/>
      <c r="P751" s="452"/>
      <c r="Q751" s="452"/>
      <c r="R751" s="452"/>
      <c r="S751" s="452"/>
      <c r="T751" s="452"/>
      <c r="U751" s="452"/>
      <c r="V751" s="452"/>
      <c r="W751" s="452"/>
      <c r="X751" s="452"/>
      <c r="Y751" s="452"/>
    </row>
    <row r="752" spans="1:25" ht="15.6">
      <c r="A752" s="452"/>
      <c r="B752" s="452"/>
      <c r="C752" s="452"/>
      <c r="D752" s="452"/>
      <c r="E752" s="452"/>
      <c r="F752" s="452"/>
      <c r="G752" s="452"/>
      <c r="H752" s="452"/>
      <c r="I752" s="452"/>
      <c r="J752" s="452"/>
      <c r="K752" s="452"/>
      <c r="L752" s="452"/>
      <c r="M752" s="452"/>
      <c r="N752" s="452"/>
      <c r="O752" s="452"/>
      <c r="P752" s="452"/>
      <c r="Q752" s="452"/>
      <c r="R752" s="452"/>
      <c r="S752" s="452"/>
      <c r="T752" s="452"/>
      <c r="U752" s="452"/>
      <c r="V752" s="452"/>
      <c r="W752" s="452"/>
      <c r="X752" s="452"/>
      <c r="Y752" s="452"/>
    </row>
    <row r="753" spans="1:25" ht="15.6">
      <c r="A753" s="452"/>
      <c r="B753" s="452"/>
      <c r="C753" s="452"/>
      <c r="D753" s="452"/>
      <c r="E753" s="452"/>
      <c r="F753" s="452"/>
      <c r="G753" s="452"/>
      <c r="H753" s="452"/>
      <c r="I753" s="452"/>
      <c r="J753" s="452"/>
      <c r="K753" s="452"/>
      <c r="L753" s="452"/>
      <c r="M753" s="452"/>
      <c r="N753" s="452"/>
      <c r="O753" s="452"/>
      <c r="P753" s="452"/>
      <c r="Q753" s="452"/>
      <c r="R753" s="452"/>
      <c r="S753" s="452"/>
      <c r="T753" s="452"/>
      <c r="U753" s="452"/>
      <c r="V753" s="452"/>
      <c r="W753" s="452"/>
      <c r="X753" s="452"/>
      <c r="Y753" s="452"/>
    </row>
    <row r="754" spans="1:25" ht="15.6">
      <c r="A754" s="452"/>
      <c r="B754" s="452"/>
      <c r="C754" s="452"/>
      <c r="D754" s="452"/>
      <c r="E754" s="452"/>
      <c r="F754" s="452"/>
      <c r="G754" s="452"/>
      <c r="H754" s="452"/>
      <c r="I754" s="452"/>
      <c r="J754" s="452"/>
      <c r="K754" s="452"/>
      <c r="L754" s="452"/>
      <c r="M754" s="452"/>
      <c r="N754" s="452"/>
      <c r="O754" s="452"/>
      <c r="P754" s="452"/>
      <c r="Q754" s="452"/>
      <c r="R754" s="452"/>
      <c r="S754" s="452"/>
      <c r="T754" s="452"/>
      <c r="U754" s="452"/>
      <c r="V754" s="452"/>
      <c r="W754" s="452"/>
      <c r="X754" s="452"/>
      <c r="Y754" s="452"/>
    </row>
    <row r="755" spans="1:25" ht="15.6">
      <c r="A755" s="452"/>
      <c r="B755" s="452"/>
      <c r="C755" s="452"/>
      <c r="D755" s="452"/>
      <c r="E755" s="452"/>
      <c r="F755" s="452"/>
      <c r="G755" s="452"/>
      <c r="H755" s="452"/>
      <c r="I755" s="452"/>
      <c r="J755" s="452"/>
      <c r="K755" s="452"/>
      <c r="L755" s="452"/>
      <c r="M755" s="452"/>
      <c r="N755" s="452"/>
      <c r="O755" s="452"/>
      <c r="P755" s="452"/>
      <c r="Q755" s="452"/>
      <c r="R755" s="452"/>
      <c r="S755" s="452"/>
      <c r="T755" s="452"/>
      <c r="U755" s="452"/>
      <c r="V755" s="452"/>
      <c r="W755" s="452"/>
      <c r="X755" s="452"/>
      <c r="Y755" s="452"/>
    </row>
    <row r="756" spans="1:25" ht="15.6">
      <c r="A756" s="452"/>
      <c r="B756" s="452"/>
      <c r="C756" s="452"/>
      <c r="D756" s="452"/>
      <c r="E756" s="452"/>
      <c r="F756" s="452"/>
      <c r="G756" s="452"/>
      <c r="H756" s="452"/>
      <c r="I756" s="452"/>
      <c r="J756" s="452"/>
      <c r="K756" s="452"/>
      <c r="L756" s="452"/>
      <c r="M756" s="452"/>
      <c r="N756" s="452"/>
      <c r="O756" s="452"/>
      <c r="P756" s="452"/>
      <c r="Q756" s="452"/>
      <c r="R756" s="452"/>
      <c r="S756" s="452"/>
      <c r="T756" s="452"/>
      <c r="U756" s="452"/>
      <c r="V756" s="452"/>
      <c r="W756" s="452"/>
      <c r="X756" s="452"/>
      <c r="Y756" s="452"/>
    </row>
    <row r="757" spans="1:25" ht="15.6">
      <c r="A757" s="452"/>
      <c r="B757" s="452"/>
      <c r="C757" s="452"/>
      <c r="D757" s="452"/>
      <c r="E757" s="452"/>
      <c r="F757" s="452"/>
      <c r="G757" s="452"/>
      <c r="H757" s="452"/>
      <c r="I757" s="452"/>
      <c r="J757" s="452"/>
      <c r="K757" s="452"/>
      <c r="L757" s="452"/>
      <c r="M757" s="452"/>
      <c r="N757" s="452"/>
      <c r="O757" s="452"/>
      <c r="P757" s="452"/>
      <c r="Q757" s="452"/>
      <c r="R757" s="452"/>
      <c r="S757" s="452"/>
      <c r="T757" s="452"/>
      <c r="U757" s="452"/>
      <c r="V757" s="452"/>
      <c r="W757" s="452"/>
      <c r="X757" s="452"/>
      <c r="Y757" s="452"/>
    </row>
    <row r="758" spans="1:25" ht="15.6">
      <c r="A758" s="452"/>
      <c r="B758" s="452"/>
      <c r="C758" s="452"/>
      <c r="D758" s="452"/>
      <c r="E758" s="452"/>
      <c r="F758" s="452"/>
      <c r="G758" s="452"/>
      <c r="H758" s="452"/>
      <c r="I758" s="452"/>
      <c r="J758" s="452"/>
      <c r="K758" s="452"/>
      <c r="L758" s="452"/>
      <c r="M758" s="452"/>
      <c r="N758" s="452"/>
      <c r="O758" s="452"/>
      <c r="P758" s="452"/>
      <c r="Q758" s="452"/>
      <c r="R758" s="452"/>
      <c r="S758" s="452"/>
      <c r="T758" s="452"/>
      <c r="U758" s="452"/>
      <c r="V758" s="452"/>
      <c r="W758" s="452"/>
      <c r="X758" s="452"/>
      <c r="Y758" s="452"/>
    </row>
    <row r="759" spans="1:25" ht="15.6">
      <c r="A759" s="452"/>
      <c r="B759" s="452"/>
      <c r="C759" s="452"/>
      <c r="D759" s="452"/>
      <c r="E759" s="452"/>
      <c r="F759" s="452"/>
      <c r="G759" s="452"/>
      <c r="H759" s="452"/>
      <c r="I759" s="452"/>
      <c r="J759" s="452"/>
      <c r="K759" s="452"/>
      <c r="L759" s="452"/>
      <c r="M759" s="452"/>
      <c r="N759" s="452"/>
      <c r="O759" s="452"/>
      <c r="P759" s="452"/>
      <c r="Q759" s="452"/>
      <c r="R759" s="452"/>
      <c r="S759" s="452"/>
      <c r="T759" s="452"/>
      <c r="U759" s="452"/>
      <c r="V759" s="452"/>
      <c r="W759" s="452"/>
      <c r="X759" s="452"/>
      <c r="Y759" s="452"/>
    </row>
    <row r="760" spans="1:25" ht="15.6">
      <c r="A760" s="452"/>
      <c r="B760" s="452"/>
      <c r="C760" s="452"/>
      <c r="D760" s="452"/>
      <c r="E760" s="452"/>
      <c r="F760" s="452"/>
      <c r="G760" s="452"/>
      <c r="H760" s="452"/>
      <c r="I760" s="452"/>
      <c r="J760" s="452"/>
      <c r="K760" s="452"/>
      <c r="L760" s="452"/>
      <c r="M760" s="452"/>
      <c r="N760" s="452"/>
      <c r="O760" s="452"/>
      <c r="P760" s="452"/>
      <c r="Q760" s="452"/>
      <c r="R760" s="452"/>
      <c r="S760" s="452"/>
      <c r="T760" s="452"/>
      <c r="U760" s="452"/>
      <c r="V760" s="452"/>
      <c r="W760" s="452"/>
      <c r="X760" s="452"/>
      <c r="Y760" s="452"/>
    </row>
    <row r="761" spans="1:25" ht="15.6">
      <c r="A761" s="452"/>
      <c r="B761" s="452"/>
      <c r="C761" s="452"/>
      <c r="D761" s="452"/>
      <c r="E761" s="452"/>
      <c r="F761" s="452"/>
      <c r="G761" s="452"/>
      <c r="H761" s="452"/>
      <c r="I761" s="452"/>
      <c r="J761" s="452"/>
      <c r="K761" s="452"/>
      <c r="L761" s="452"/>
      <c r="M761" s="452"/>
      <c r="N761" s="452"/>
      <c r="O761" s="452"/>
      <c r="P761" s="452"/>
      <c r="Q761" s="452"/>
      <c r="R761" s="452"/>
      <c r="S761" s="452"/>
      <c r="T761" s="452"/>
      <c r="U761" s="452"/>
      <c r="V761" s="452"/>
      <c r="W761" s="452"/>
      <c r="X761" s="452"/>
      <c r="Y761" s="452"/>
    </row>
    <row r="762" spans="1:25" ht="15.6">
      <c r="A762" s="452"/>
      <c r="B762" s="452"/>
      <c r="C762" s="452"/>
      <c r="D762" s="452"/>
      <c r="E762" s="452"/>
      <c r="F762" s="452"/>
      <c r="G762" s="452"/>
      <c r="H762" s="452"/>
      <c r="I762" s="452"/>
      <c r="J762" s="452"/>
      <c r="K762" s="452"/>
      <c r="L762" s="452"/>
      <c r="M762" s="452"/>
      <c r="N762" s="452"/>
      <c r="O762" s="452"/>
      <c r="P762" s="452"/>
      <c r="Q762" s="452"/>
      <c r="R762" s="452"/>
      <c r="S762" s="452"/>
      <c r="T762" s="452"/>
      <c r="U762" s="452"/>
      <c r="V762" s="452"/>
      <c r="W762" s="452"/>
      <c r="X762" s="452"/>
      <c r="Y762" s="452"/>
    </row>
    <row r="763" spans="1:25" ht="15.6">
      <c r="A763" s="452"/>
      <c r="B763" s="452"/>
      <c r="C763" s="452"/>
      <c r="D763" s="452"/>
      <c r="E763" s="452"/>
      <c r="F763" s="452"/>
      <c r="G763" s="452"/>
      <c r="H763" s="452"/>
      <c r="I763" s="452"/>
      <c r="J763" s="452"/>
      <c r="K763" s="452"/>
      <c r="L763" s="452"/>
      <c r="M763" s="452"/>
      <c r="N763" s="452"/>
      <c r="O763" s="452"/>
      <c r="P763" s="452"/>
      <c r="Q763" s="452"/>
      <c r="R763" s="452"/>
      <c r="S763" s="452"/>
      <c r="T763" s="452"/>
      <c r="U763" s="452"/>
      <c r="V763" s="452"/>
      <c r="W763" s="452"/>
      <c r="X763" s="452"/>
      <c r="Y763" s="452"/>
    </row>
    <row r="764" spans="1:25" ht="15.6">
      <c r="A764" s="452"/>
      <c r="B764" s="452"/>
      <c r="C764" s="452"/>
      <c r="D764" s="452"/>
      <c r="E764" s="452"/>
      <c r="F764" s="452"/>
      <c r="G764" s="452"/>
      <c r="H764" s="452"/>
      <c r="I764" s="452"/>
      <c r="J764" s="452"/>
      <c r="K764" s="452"/>
      <c r="L764" s="452"/>
      <c r="M764" s="452"/>
      <c r="N764" s="452"/>
      <c r="O764" s="452"/>
      <c r="P764" s="452"/>
      <c r="Q764" s="452"/>
      <c r="R764" s="452"/>
      <c r="S764" s="452"/>
      <c r="T764" s="452"/>
      <c r="U764" s="452"/>
      <c r="V764" s="452"/>
      <c r="W764" s="452"/>
      <c r="X764" s="452"/>
      <c r="Y764" s="452"/>
    </row>
    <row r="765" spans="1:25" ht="15.6">
      <c r="A765" s="452"/>
      <c r="B765" s="452"/>
      <c r="C765" s="452"/>
      <c r="D765" s="452"/>
      <c r="E765" s="452"/>
      <c r="F765" s="452"/>
      <c r="G765" s="452"/>
      <c r="H765" s="452"/>
      <c r="I765" s="452"/>
      <c r="J765" s="452"/>
      <c r="K765" s="452"/>
      <c r="L765" s="452"/>
      <c r="M765" s="452"/>
      <c r="N765" s="452"/>
      <c r="O765" s="452"/>
      <c r="P765" s="452"/>
      <c r="Q765" s="452"/>
      <c r="R765" s="452"/>
      <c r="S765" s="452"/>
      <c r="T765" s="452"/>
      <c r="U765" s="452"/>
      <c r="V765" s="452"/>
      <c r="W765" s="452"/>
      <c r="X765" s="452"/>
      <c r="Y765" s="452"/>
    </row>
    <row r="766" spans="1:25" ht="15.6">
      <c r="A766" s="452"/>
      <c r="B766" s="452"/>
      <c r="C766" s="452"/>
      <c r="D766" s="452"/>
      <c r="E766" s="452"/>
      <c r="F766" s="452"/>
      <c r="G766" s="452"/>
      <c r="H766" s="452"/>
      <c r="I766" s="452"/>
      <c r="J766" s="452"/>
      <c r="K766" s="452"/>
      <c r="L766" s="452"/>
      <c r="M766" s="452"/>
      <c r="N766" s="452"/>
      <c r="O766" s="452"/>
      <c r="P766" s="452"/>
      <c r="Q766" s="452"/>
      <c r="R766" s="452"/>
      <c r="S766" s="452"/>
      <c r="T766" s="452"/>
      <c r="U766" s="452"/>
      <c r="V766" s="452"/>
      <c r="W766" s="452"/>
      <c r="X766" s="452"/>
      <c r="Y766" s="452"/>
    </row>
    <row r="767" spans="1:25" ht="15.6">
      <c r="A767" s="452"/>
      <c r="B767" s="452"/>
      <c r="C767" s="452"/>
      <c r="D767" s="452"/>
      <c r="E767" s="452"/>
      <c r="F767" s="452"/>
      <c r="G767" s="452"/>
      <c r="H767" s="452"/>
      <c r="I767" s="452"/>
      <c r="J767" s="452"/>
      <c r="K767" s="452"/>
      <c r="L767" s="452"/>
      <c r="M767" s="452"/>
      <c r="N767" s="452"/>
      <c r="O767" s="452"/>
      <c r="P767" s="452"/>
      <c r="Q767" s="452"/>
      <c r="R767" s="452"/>
      <c r="S767" s="452"/>
      <c r="T767" s="452"/>
      <c r="U767" s="452"/>
      <c r="V767" s="452"/>
      <c r="W767" s="452"/>
      <c r="X767" s="452"/>
      <c r="Y767" s="452"/>
    </row>
    <row r="768" spans="1:25" ht="15.6">
      <c r="A768" s="452"/>
      <c r="B768" s="452"/>
      <c r="C768" s="452"/>
      <c r="D768" s="452"/>
      <c r="E768" s="452"/>
      <c r="F768" s="452"/>
      <c r="G768" s="452"/>
      <c r="H768" s="452"/>
      <c r="I768" s="452"/>
      <c r="J768" s="452"/>
      <c r="K768" s="452"/>
      <c r="L768" s="452"/>
      <c r="M768" s="452"/>
      <c r="N768" s="452"/>
      <c r="O768" s="452"/>
      <c r="P768" s="452"/>
      <c r="Q768" s="452"/>
      <c r="R768" s="452"/>
      <c r="S768" s="452"/>
      <c r="T768" s="452"/>
      <c r="U768" s="452"/>
      <c r="V768" s="452"/>
      <c r="W768" s="452"/>
      <c r="X768" s="452"/>
      <c r="Y768" s="452"/>
    </row>
    <row r="769" spans="1:25" ht="15.6">
      <c r="A769" s="452"/>
      <c r="B769" s="452"/>
      <c r="C769" s="452"/>
      <c r="D769" s="452"/>
      <c r="E769" s="452"/>
      <c r="F769" s="452"/>
      <c r="G769" s="452"/>
      <c r="H769" s="452"/>
      <c r="I769" s="452"/>
      <c r="J769" s="452"/>
      <c r="K769" s="452"/>
      <c r="L769" s="452"/>
      <c r="M769" s="452"/>
      <c r="N769" s="452"/>
      <c r="O769" s="452"/>
      <c r="P769" s="452"/>
      <c r="Q769" s="452"/>
      <c r="R769" s="452"/>
      <c r="S769" s="452"/>
      <c r="T769" s="452"/>
      <c r="U769" s="452"/>
      <c r="V769" s="452"/>
      <c r="W769" s="452"/>
      <c r="X769" s="452"/>
      <c r="Y769" s="452"/>
    </row>
    <row r="770" spans="1:25" ht="15.6">
      <c r="A770" s="452"/>
      <c r="B770" s="452"/>
      <c r="C770" s="452"/>
      <c r="D770" s="452"/>
      <c r="E770" s="452"/>
      <c r="F770" s="452"/>
      <c r="G770" s="452"/>
      <c r="H770" s="452"/>
      <c r="I770" s="452"/>
      <c r="J770" s="452"/>
      <c r="K770" s="452"/>
      <c r="L770" s="452"/>
      <c r="M770" s="452"/>
      <c r="N770" s="452"/>
      <c r="O770" s="452"/>
      <c r="P770" s="452"/>
      <c r="Q770" s="452"/>
      <c r="R770" s="452"/>
      <c r="S770" s="452"/>
      <c r="T770" s="452"/>
      <c r="U770" s="452"/>
      <c r="V770" s="452"/>
      <c r="W770" s="452"/>
      <c r="X770" s="452"/>
      <c r="Y770" s="452"/>
    </row>
    <row r="771" spans="1:25" ht="15.6">
      <c r="A771" s="452"/>
      <c r="B771" s="452"/>
      <c r="C771" s="452"/>
      <c r="D771" s="452"/>
      <c r="E771" s="452"/>
      <c r="F771" s="452"/>
      <c r="G771" s="452"/>
      <c r="H771" s="452"/>
      <c r="I771" s="452"/>
      <c r="J771" s="452"/>
      <c r="K771" s="452"/>
      <c r="L771" s="452"/>
      <c r="M771" s="452"/>
      <c r="N771" s="452"/>
      <c r="O771" s="452"/>
      <c r="P771" s="452"/>
      <c r="Q771" s="452"/>
      <c r="R771" s="452"/>
      <c r="S771" s="452"/>
      <c r="T771" s="452"/>
      <c r="U771" s="452"/>
      <c r="V771" s="452"/>
      <c r="W771" s="452"/>
      <c r="X771" s="452"/>
      <c r="Y771" s="452"/>
    </row>
    <row r="772" spans="1:25" ht="15.6">
      <c r="A772" s="452"/>
      <c r="B772" s="452"/>
      <c r="C772" s="452"/>
      <c r="D772" s="452"/>
      <c r="E772" s="452"/>
      <c r="F772" s="452"/>
      <c r="G772" s="452"/>
      <c r="H772" s="452"/>
      <c r="I772" s="452"/>
      <c r="J772" s="452"/>
      <c r="K772" s="452"/>
      <c r="L772" s="452"/>
      <c r="M772" s="452"/>
      <c r="N772" s="452"/>
      <c r="O772" s="452"/>
      <c r="P772" s="452"/>
      <c r="Q772" s="452"/>
      <c r="R772" s="452"/>
      <c r="S772" s="452"/>
      <c r="T772" s="452"/>
      <c r="U772" s="452"/>
      <c r="V772" s="452"/>
      <c r="W772" s="452"/>
      <c r="X772" s="452"/>
      <c r="Y772" s="452"/>
    </row>
    <row r="773" spans="1:25" ht="15.6">
      <c r="A773" s="452"/>
      <c r="B773" s="452"/>
      <c r="C773" s="452"/>
      <c r="D773" s="452"/>
      <c r="E773" s="452"/>
      <c r="F773" s="452"/>
      <c r="G773" s="452"/>
      <c r="H773" s="452"/>
      <c r="I773" s="452"/>
      <c r="J773" s="452"/>
      <c r="K773" s="452"/>
      <c r="L773" s="452"/>
      <c r="M773" s="452"/>
      <c r="N773" s="452"/>
      <c r="O773" s="452"/>
      <c r="P773" s="452"/>
      <c r="Q773" s="452"/>
      <c r="R773" s="452"/>
      <c r="S773" s="452"/>
      <c r="T773" s="452"/>
      <c r="U773" s="452"/>
      <c r="V773" s="452"/>
      <c r="W773" s="452"/>
      <c r="X773" s="452"/>
      <c r="Y773" s="452"/>
    </row>
    <row r="774" spans="1:25" ht="15.6">
      <c r="A774" s="452"/>
      <c r="B774" s="452"/>
      <c r="C774" s="452"/>
      <c r="D774" s="452"/>
      <c r="E774" s="452"/>
      <c r="F774" s="452"/>
      <c r="G774" s="452"/>
      <c r="H774" s="452"/>
      <c r="I774" s="452"/>
      <c r="J774" s="452"/>
      <c r="K774" s="452"/>
      <c r="L774" s="452"/>
      <c r="M774" s="452"/>
      <c r="N774" s="452"/>
      <c r="O774" s="452"/>
      <c r="P774" s="452"/>
      <c r="Q774" s="452"/>
      <c r="R774" s="452"/>
      <c r="S774" s="452"/>
      <c r="T774" s="452"/>
      <c r="U774" s="452"/>
      <c r="V774" s="452"/>
      <c r="W774" s="452"/>
      <c r="X774" s="452"/>
      <c r="Y774" s="452"/>
    </row>
    <row r="775" spans="1:25" ht="15.6">
      <c r="A775" s="452"/>
      <c r="B775" s="452"/>
      <c r="C775" s="452"/>
      <c r="D775" s="452"/>
      <c r="E775" s="452"/>
      <c r="F775" s="452"/>
      <c r="G775" s="452"/>
      <c r="H775" s="452"/>
      <c r="I775" s="452"/>
      <c r="J775" s="452"/>
      <c r="K775" s="452"/>
      <c r="L775" s="452"/>
      <c r="M775" s="452"/>
      <c r="N775" s="452"/>
      <c r="O775" s="452"/>
      <c r="P775" s="452"/>
      <c r="Q775" s="452"/>
      <c r="R775" s="452"/>
      <c r="S775" s="452"/>
      <c r="T775" s="452"/>
      <c r="U775" s="452"/>
      <c r="V775" s="452"/>
      <c r="W775" s="452"/>
      <c r="X775" s="452"/>
      <c r="Y775" s="452"/>
    </row>
    <row r="776" spans="1:25" ht="15.6">
      <c r="A776" s="452"/>
      <c r="B776" s="452"/>
      <c r="C776" s="452"/>
      <c r="D776" s="452"/>
      <c r="E776" s="452"/>
      <c r="F776" s="452"/>
      <c r="G776" s="452"/>
      <c r="H776" s="452"/>
      <c r="I776" s="452"/>
      <c r="J776" s="452"/>
      <c r="K776" s="452"/>
      <c r="L776" s="452"/>
      <c r="M776" s="452"/>
      <c r="N776" s="452"/>
      <c r="O776" s="452"/>
      <c r="P776" s="452"/>
      <c r="Q776" s="452"/>
      <c r="R776" s="452"/>
      <c r="S776" s="452"/>
      <c r="T776" s="452"/>
      <c r="U776" s="452"/>
      <c r="V776" s="452"/>
      <c r="W776" s="452"/>
      <c r="X776" s="452"/>
      <c r="Y776" s="452"/>
    </row>
    <row r="777" spans="1:25" ht="15.6">
      <c r="A777" s="452"/>
      <c r="B777" s="452"/>
      <c r="C777" s="452"/>
      <c r="D777" s="452"/>
      <c r="E777" s="452"/>
      <c r="F777" s="452"/>
      <c r="G777" s="452"/>
      <c r="H777" s="452"/>
      <c r="I777" s="452"/>
      <c r="J777" s="452"/>
      <c r="K777" s="452"/>
      <c r="L777" s="452"/>
      <c r="M777" s="452"/>
      <c r="N777" s="452"/>
      <c r="O777" s="452"/>
      <c r="P777" s="452"/>
      <c r="Q777" s="452"/>
      <c r="R777" s="452"/>
      <c r="S777" s="452"/>
      <c r="T777" s="452"/>
      <c r="U777" s="452"/>
      <c r="V777" s="452"/>
      <c r="W777" s="452"/>
      <c r="X777" s="452"/>
      <c r="Y777" s="452"/>
    </row>
    <row r="778" spans="1:25" ht="15.6">
      <c r="A778" s="452"/>
      <c r="B778" s="452"/>
      <c r="C778" s="452"/>
      <c r="D778" s="452"/>
      <c r="E778" s="452"/>
      <c r="F778" s="452"/>
      <c r="G778" s="452"/>
      <c r="H778" s="452"/>
      <c r="I778" s="452"/>
      <c r="J778" s="452"/>
      <c r="K778" s="452"/>
      <c r="L778" s="452"/>
      <c r="M778" s="452"/>
      <c r="N778" s="452"/>
      <c r="O778" s="452"/>
      <c r="P778" s="452"/>
      <c r="Q778" s="452"/>
      <c r="R778" s="452"/>
      <c r="S778" s="452"/>
      <c r="T778" s="452"/>
      <c r="U778" s="452"/>
      <c r="V778" s="452"/>
      <c r="W778" s="452"/>
      <c r="X778" s="452"/>
      <c r="Y778" s="452"/>
    </row>
    <row r="779" spans="1:25" ht="15.6">
      <c r="A779" s="452"/>
      <c r="B779" s="452"/>
      <c r="C779" s="452"/>
      <c r="D779" s="452"/>
      <c r="E779" s="452"/>
      <c r="F779" s="452"/>
      <c r="G779" s="452"/>
      <c r="H779" s="452"/>
      <c r="I779" s="452"/>
      <c r="J779" s="452"/>
      <c r="K779" s="452"/>
      <c r="L779" s="452"/>
      <c r="M779" s="452"/>
      <c r="N779" s="452"/>
      <c r="O779" s="452"/>
      <c r="P779" s="452"/>
      <c r="Q779" s="452"/>
      <c r="R779" s="452"/>
      <c r="S779" s="452"/>
      <c r="T779" s="452"/>
      <c r="U779" s="452"/>
      <c r="V779" s="452"/>
      <c r="W779" s="452"/>
      <c r="X779" s="452"/>
      <c r="Y779" s="452"/>
    </row>
    <row r="780" spans="1:25" ht="15.6">
      <c r="A780" s="452"/>
      <c r="B780" s="452"/>
      <c r="C780" s="452"/>
      <c r="D780" s="452"/>
      <c r="E780" s="452"/>
      <c r="F780" s="452"/>
      <c r="G780" s="452"/>
      <c r="H780" s="452"/>
      <c r="I780" s="452"/>
      <c r="J780" s="452"/>
      <c r="K780" s="452"/>
      <c r="L780" s="452"/>
      <c r="M780" s="452"/>
      <c r="N780" s="452"/>
      <c r="O780" s="452"/>
      <c r="P780" s="452"/>
      <c r="Q780" s="452"/>
      <c r="R780" s="452"/>
      <c r="S780" s="452"/>
      <c r="T780" s="452"/>
      <c r="U780" s="452"/>
      <c r="V780" s="452"/>
      <c r="W780" s="452"/>
      <c r="X780" s="452"/>
      <c r="Y780" s="452"/>
    </row>
    <row r="781" spans="1:25" ht="15.6">
      <c r="A781" s="452"/>
      <c r="B781" s="452"/>
      <c r="C781" s="452"/>
      <c r="D781" s="452"/>
      <c r="E781" s="452"/>
      <c r="F781" s="452"/>
      <c r="G781" s="452"/>
      <c r="H781" s="452"/>
      <c r="I781" s="452"/>
      <c r="J781" s="452"/>
      <c r="K781" s="452"/>
      <c r="L781" s="452"/>
      <c r="M781" s="452"/>
      <c r="N781" s="452"/>
      <c r="O781" s="452"/>
      <c r="P781" s="452"/>
      <c r="Q781" s="452"/>
      <c r="R781" s="452"/>
      <c r="S781" s="452"/>
      <c r="T781" s="452"/>
      <c r="U781" s="452"/>
      <c r="V781" s="452"/>
      <c r="W781" s="452"/>
      <c r="X781" s="452"/>
      <c r="Y781" s="452"/>
    </row>
    <row r="782" spans="1:25" ht="15.6">
      <c r="A782" s="452"/>
      <c r="B782" s="452"/>
      <c r="C782" s="452"/>
      <c r="D782" s="452"/>
      <c r="E782" s="452"/>
      <c r="F782" s="452"/>
      <c r="G782" s="452"/>
      <c r="H782" s="452"/>
      <c r="I782" s="452"/>
      <c r="J782" s="452"/>
      <c r="K782" s="452"/>
      <c r="L782" s="452"/>
      <c r="M782" s="452"/>
      <c r="N782" s="452"/>
      <c r="O782" s="452"/>
      <c r="P782" s="452"/>
      <c r="Q782" s="452"/>
      <c r="R782" s="452"/>
      <c r="S782" s="452"/>
      <c r="T782" s="452"/>
      <c r="U782" s="452"/>
      <c r="V782" s="452"/>
      <c r="W782" s="452"/>
      <c r="X782" s="452"/>
      <c r="Y782" s="452"/>
    </row>
    <row r="783" spans="1:25" ht="15.6">
      <c r="A783" s="452"/>
      <c r="B783" s="452"/>
      <c r="C783" s="452"/>
      <c r="D783" s="452"/>
      <c r="E783" s="452"/>
      <c r="F783" s="452"/>
      <c r="G783" s="452"/>
      <c r="H783" s="452"/>
      <c r="I783" s="452"/>
      <c r="J783" s="452"/>
      <c r="K783" s="452"/>
      <c r="L783" s="452"/>
      <c r="M783" s="452"/>
      <c r="N783" s="452"/>
      <c r="O783" s="452"/>
      <c r="P783" s="452"/>
      <c r="Q783" s="452"/>
      <c r="R783" s="452"/>
      <c r="S783" s="452"/>
      <c r="T783" s="452"/>
      <c r="U783" s="452"/>
      <c r="V783" s="452"/>
      <c r="W783" s="452"/>
      <c r="X783" s="452"/>
      <c r="Y783" s="452"/>
    </row>
    <row r="784" spans="1:25" ht="15.6">
      <c r="A784" s="452"/>
      <c r="B784" s="452"/>
      <c r="C784" s="452"/>
      <c r="D784" s="452"/>
      <c r="E784" s="452"/>
      <c r="F784" s="452"/>
      <c r="G784" s="452"/>
      <c r="H784" s="452"/>
      <c r="I784" s="452"/>
      <c r="J784" s="452"/>
      <c r="K784" s="452"/>
      <c r="L784" s="452"/>
      <c r="M784" s="452"/>
      <c r="N784" s="452"/>
      <c r="O784" s="452"/>
      <c r="P784" s="452"/>
      <c r="Q784" s="452"/>
      <c r="R784" s="452"/>
      <c r="S784" s="452"/>
      <c r="T784" s="452"/>
      <c r="U784" s="452"/>
      <c r="V784" s="452"/>
      <c r="W784" s="452"/>
      <c r="X784" s="452"/>
      <c r="Y784" s="452"/>
    </row>
    <row r="785" spans="1:25" ht="15.6">
      <c r="A785" s="452"/>
      <c r="B785" s="452"/>
      <c r="C785" s="452"/>
      <c r="D785" s="452"/>
      <c r="E785" s="452"/>
      <c r="F785" s="452"/>
      <c r="G785" s="452"/>
      <c r="H785" s="452"/>
      <c r="I785" s="452"/>
      <c r="J785" s="452"/>
      <c r="K785" s="452"/>
      <c r="L785" s="452"/>
      <c r="M785" s="452"/>
      <c r="N785" s="452"/>
      <c r="O785" s="452"/>
      <c r="P785" s="452"/>
      <c r="Q785" s="452"/>
      <c r="R785" s="452"/>
      <c r="S785" s="452"/>
      <c r="T785" s="452"/>
      <c r="U785" s="452"/>
      <c r="V785" s="452"/>
      <c r="W785" s="452"/>
      <c r="X785" s="452"/>
      <c r="Y785" s="452"/>
    </row>
    <row r="786" spans="1:25" ht="15.6">
      <c r="A786" s="452"/>
      <c r="B786" s="452"/>
      <c r="C786" s="452"/>
      <c r="D786" s="452"/>
      <c r="E786" s="452"/>
      <c r="F786" s="452"/>
      <c r="G786" s="452"/>
      <c r="H786" s="452"/>
      <c r="I786" s="452"/>
      <c r="J786" s="452"/>
      <c r="K786" s="452"/>
      <c r="L786" s="452"/>
      <c r="M786" s="452"/>
      <c r="N786" s="452"/>
      <c r="O786" s="452"/>
      <c r="P786" s="452"/>
      <c r="Q786" s="452"/>
      <c r="R786" s="452"/>
      <c r="S786" s="452"/>
      <c r="T786" s="452"/>
      <c r="U786" s="452"/>
      <c r="V786" s="452"/>
      <c r="W786" s="452"/>
      <c r="X786" s="452"/>
      <c r="Y786" s="452"/>
    </row>
    <row r="787" spans="1:25" ht="15.6">
      <c r="A787" s="452"/>
      <c r="B787" s="452"/>
      <c r="C787" s="452"/>
      <c r="D787" s="452"/>
      <c r="E787" s="452"/>
      <c r="F787" s="452"/>
      <c r="G787" s="452"/>
      <c r="H787" s="452"/>
      <c r="I787" s="452"/>
      <c r="J787" s="452"/>
      <c r="K787" s="452"/>
      <c r="L787" s="452"/>
      <c r="M787" s="452"/>
      <c r="N787" s="452"/>
      <c r="O787" s="452"/>
      <c r="P787" s="452"/>
      <c r="Q787" s="452"/>
      <c r="R787" s="452"/>
      <c r="S787" s="452"/>
      <c r="T787" s="452"/>
      <c r="U787" s="452"/>
      <c r="V787" s="452"/>
      <c r="W787" s="452"/>
      <c r="X787" s="452"/>
      <c r="Y787" s="452"/>
    </row>
    <row r="788" spans="1:25" ht="15.6">
      <c r="A788" s="452"/>
      <c r="B788" s="452"/>
      <c r="C788" s="452"/>
      <c r="D788" s="452"/>
      <c r="E788" s="452"/>
      <c r="F788" s="452"/>
      <c r="G788" s="452"/>
      <c r="H788" s="452"/>
      <c r="I788" s="452"/>
      <c r="J788" s="452"/>
      <c r="K788" s="452"/>
      <c r="L788" s="452"/>
      <c r="M788" s="452"/>
      <c r="N788" s="452"/>
      <c r="O788" s="452"/>
      <c r="P788" s="452"/>
      <c r="Q788" s="452"/>
      <c r="R788" s="452"/>
      <c r="S788" s="452"/>
      <c r="T788" s="452"/>
      <c r="U788" s="452"/>
      <c r="V788" s="452"/>
      <c r="W788" s="452"/>
      <c r="X788" s="452"/>
      <c r="Y788" s="452"/>
    </row>
    <row r="789" spans="1:25" ht="15.6">
      <c r="A789" s="452"/>
      <c r="B789" s="452"/>
      <c r="C789" s="452"/>
      <c r="D789" s="452"/>
      <c r="E789" s="452"/>
      <c r="F789" s="452"/>
      <c r="G789" s="452"/>
      <c r="H789" s="452"/>
      <c r="I789" s="452"/>
      <c r="J789" s="452"/>
      <c r="K789" s="452"/>
      <c r="L789" s="452"/>
      <c r="M789" s="452"/>
      <c r="N789" s="452"/>
      <c r="O789" s="452"/>
      <c r="P789" s="452"/>
      <c r="Q789" s="452"/>
      <c r="R789" s="452"/>
      <c r="S789" s="452"/>
      <c r="T789" s="452"/>
      <c r="U789" s="452"/>
      <c r="V789" s="452"/>
      <c r="W789" s="452"/>
      <c r="X789" s="452"/>
      <c r="Y789" s="452"/>
    </row>
    <row r="790" spans="1:25" ht="15.6">
      <c r="A790" s="452"/>
      <c r="B790" s="452"/>
      <c r="C790" s="452"/>
      <c r="D790" s="452"/>
      <c r="E790" s="452"/>
      <c r="F790" s="452"/>
      <c r="G790" s="452"/>
      <c r="H790" s="452"/>
      <c r="I790" s="452"/>
      <c r="J790" s="452"/>
      <c r="K790" s="452"/>
      <c r="L790" s="452"/>
      <c r="M790" s="452"/>
      <c r="N790" s="452"/>
      <c r="O790" s="452"/>
      <c r="P790" s="452"/>
      <c r="Q790" s="452"/>
      <c r="R790" s="452"/>
      <c r="S790" s="452"/>
      <c r="T790" s="452"/>
      <c r="U790" s="452"/>
      <c r="V790" s="452"/>
      <c r="W790" s="452"/>
      <c r="X790" s="452"/>
      <c r="Y790" s="452"/>
    </row>
    <row r="791" spans="1:25" ht="15.6">
      <c r="A791" s="452"/>
      <c r="B791" s="452"/>
      <c r="C791" s="452"/>
      <c r="D791" s="452"/>
      <c r="E791" s="452"/>
      <c r="F791" s="452"/>
      <c r="G791" s="452"/>
      <c r="H791" s="452"/>
      <c r="I791" s="452"/>
      <c r="J791" s="452"/>
      <c r="K791" s="452"/>
      <c r="L791" s="452"/>
      <c r="M791" s="452"/>
      <c r="N791" s="452"/>
      <c r="O791" s="452"/>
      <c r="P791" s="452"/>
      <c r="Q791" s="452"/>
      <c r="R791" s="452"/>
      <c r="S791" s="452"/>
      <c r="T791" s="452"/>
      <c r="U791" s="452"/>
      <c r="V791" s="452"/>
      <c r="W791" s="452"/>
      <c r="X791" s="452"/>
      <c r="Y791" s="452"/>
    </row>
    <row r="792" spans="1:25" ht="15.6">
      <c r="A792" s="452"/>
      <c r="B792" s="452"/>
      <c r="C792" s="452"/>
      <c r="D792" s="452"/>
      <c r="E792" s="452"/>
      <c r="F792" s="452"/>
      <c r="G792" s="452"/>
      <c r="H792" s="452"/>
      <c r="I792" s="452"/>
      <c r="J792" s="452"/>
      <c r="K792" s="452"/>
      <c r="L792" s="452"/>
      <c r="M792" s="452"/>
      <c r="N792" s="452"/>
      <c r="O792" s="452"/>
      <c r="P792" s="452"/>
      <c r="Q792" s="452"/>
      <c r="R792" s="452"/>
      <c r="S792" s="452"/>
      <c r="T792" s="452"/>
      <c r="U792" s="452"/>
      <c r="V792" s="452"/>
      <c r="W792" s="452"/>
      <c r="X792" s="452"/>
      <c r="Y792" s="452"/>
    </row>
    <row r="793" spans="1:25" ht="15.6">
      <c r="A793" s="452"/>
      <c r="B793" s="452"/>
      <c r="C793" s="452"/>
      <c r="D793" s="452"/>
      <c r="E793" s="452"/>
      <c r="F793" s="452"/>
      <c r="G793" s="452"/>
      <c r="H793" s="452"/>
      <c r="I793" s="452"/>
      <c r="J793" s="452"/>
      <c r="K793" s="452"/>
      <c r="L793" s="452"/>
      <c r="M793" s="452"/>
      <c r="N793" s="452"/>
      <c r="O793" s="452"/>
      <c r="P793" s="452"/>
      <c r="Q793" s="452"/>
      <c r="R793" s="452"/>
      <c r="S793" s="452"/>
      <c r="T793" s="452"/>
      <c r="U793" s="452"/>
      <c r="V793" s="452"/>
      <c r="W793" s="452"/>
      <c r="X793" s="452"/>
      <c r="Y793" s="452"/>
    </row>
    <row r="794" spans="1:25" ht="15.6">
      <c r="A794" s="452"/>
      <c r="B794" s="452"/>
      <c r="C794" s="452"/>
      <c r="D794" s="452"/>
      <c r="E794" s="452"/>
      <c r="F794" s="452"/>
      <c r="G794" s="452"/>
      <c r="H794" s="452"/>
      <c r="I794" s="452"/>
      <c r="J794" s="452"/>
      <c r="K794" s="452"/>
      <c r="L794" s="452"/>
      <c r="M794" s="452"/>
      <c r="N794" s="452"/>
      <c r="O794" s="452"/>
      <c r="P794" s="452"/>
      <c r="Q794" s="452"/>
      <c r="R794" s="452"/>
      <c r="S794" s="452"/>
      <c r="T794" s="452"/>
      <c r="U794" s="452"/>
      <c r="V794" s="452"/>
      <c r="W794" s="452"/>
      <c r="X794" s="452"/>
      <c r="Y794" s="452"/>
    </row>
    <row r="795" spans="1:25" ht="15.6">
      <c r="A795" s="452"/>
      <c r="B795" s="452"/>
      <c r="C795" s="452"/>
      <c r="D795" s="452"/>
      <c r="E795" s="452"/>
      <c r="F795" s="452"/>
      <c r="G795" s="452"/>
      <c r="H795" s="452"/>
      <c r="I795" s="452"/>
      <c r="J795" s="452"/>
      <c r="K795" s="452"/>
      <c r="L795" s="452"/>
      <c r="M795" s="452"/>
      <c r="N795" s="452"/>
      <c r="O795" s="452"/>
      <c r="P795" s="452"/>
      <c r="Q795" s="452"/>
      <c r="R795" s="452"/>
      <c r="S795" s="452"/>
      <c r="T795" s="452"/>
      <c r="U795" s="452"/>
      <c r="V795" s="452"/>
      <c r="W795" s="452"/>
      <c r="X795" s="452"/>
      <c r="Y795" s="452"/>
    </row>
    <row r="796" spans="1:25" ht="15.6">
      <c r="A796" s="452"/>
      <c r="B796" s="452"/>
      <c r="C796" s="452"/>
      <c r="D796" s="452"/>
      <c r="E796" s="452"/>
      <c r="F796" s="452"/>
      <c r="G796" s="452"/>
      <c r="H796" s="452"/>
      <c r="I796" s="452"/>
      <c r="J796" s="452"/>
      <c r="K796" s="452"/>
      <c r="L796" s="452"/>
      <c r="M796" s="452"/>
      <c r="N796" s="452"/>
      <c r="O796" s="452"/>
      <c r="P796" s="452"/>
      <c r="Q796" s="452"/>
      <c r="R796" s="452"/>
      <c r="S796" s="452"/>
      <c r="T796" s="452"/>
      <c r="U796" s="452"/>
      <c r="V796" s="452"/>
      <c r="W796" s="452"/>
      <c r="X796" s="452"/>
      <c r="Y796" s="452"/>
    </row>
    <row r="797" spans="1:25" ht="15.6">
      <c r="A797" s="452"/>
      <c r="B797" s="452"/>
      <c r="C797" s="452"/>
      <c r="D797" s="452"/>
      <c r="E797" s="452"/>
      <c r="F797" s="452"/>
      <c r="G797" s="452"/>
      <c r="H797" s="452"/>
      <c r="I797" s="452"/>
      <c r="J797" s="452"/>
      <c r="K797" s="452"/>
      <c r="L797" s="452"/>
      <c r="M797" s="452"/>
      <c r="N797" s="452"/>
      <c r="O797" s="452"/>
      <c r="P797" s="452"/>
      <c r="Q797" s="452"/>
      <c r="R797" s="452"/>
      <c r="S797" s="452"/>
      <c r="T797" s="452"/>
      <c r="U797" s="452"/>
      <c r="V797" s="452"/>
      <c r="W797" s="452"/>
      <c r="X797" s="452"/>
      <c r="Y797" s="452"/>
    </row>
    <row r="798" spans="1:25" ht="15.6">
      <c r="A798" s="452"/>
      <c r="B798" s="452"/>
      <c r="C798" s="452"/>
      <c r="D798" s="452"/>
      <c r="E798" s="452"/>
      <c r="F798" s="452"/>
      <c r="G798" s="452"/>
      <c r="H798" s="452"/>
      <c r="I798" s="452"/>
      <c r="J798" s="452"/>
      <c r="K798" s="452"/>
      <c r="L798" s="452"/>
      <c r="M798" s="452"/>
      <c r="N798" s="452"/>
      <c r="O798" s="452"/>
      <c r="P798" s="452"/>
      <c r="Q798" s="452"/>
      <c r="R798" s="452"/>
      <c r="S798" s="452"/>
      <c r="T798" s="452"/>
      <c r="U798" s="452"/>
      <c r="V798" s="452"/>
      <c r="W798" s="452"/>
      <c r="X798" s="452"/>
      <c r="Y798" s="452"/>
    </row>
    <row r="799" spans="1:25" ht="15.6">
      <c r="A799" s="452"/>
      <c r="B799" s="452"/>
      <c r="C799" s="452"/>
      <c r="D799" s="452"/>
      <c r="E799" s="452"/>
      <c r="F799" s="452"/>
      <c r="G799" s="452"/>
      <c r="H799" s="452"/>
      <c r="I799" s="452"/>
      <c r="J799" s="452"/>
      <c r="K799" s="452"/>
      <c r="L799" s="452"/>
      <c r="M799" s="452"/>
      <c r="N799" s="452"/>
      <c r="O799" s="452"/>
      <c r="P799" s="452"/>
      <c r="Q799" s="452"/>
      <c r="R799" s="452"/>
      <c r="S799" s="452"/>
      <c r="T799" s="452"/>
      <c r="U799" s="452"/>
      <c r="V799" s="452"/>
      <c r="W799" s="452"/>
      <c r="X799" s="452"/>
      <c r="Y799" s="452"/>
    </row>
    <row r="800" spans="1:25" ht="15.6">
      <c r="A800" s="452"/>
      <c r="B800" s="452"/>
      <c r="C800" s="452"/>
      <c r="D800" s="452"/>
      <c r="E800" s="452"/>
      <c r="F800" s="452"/>
      <c r="G800" s="452"/>
      <c r="H800" s="452"/>
      <c r="I800" s="452"/>
      <c r="J800" s="452"/>
      <c r="K800" s="452"/>
      <c r="L800" s="452"/>
      <c r="M800" s="452"/>
      <c r="N800" s="452"/>
      <c r="O800" s="452"/>
      <c r="P800" s="452"/>
      <c r="Q800" s="452"/>
      <c r="R800" s="452"/>
      <c r="S800" s="452"/>
      <c r="T800" s="452"/>
      <c r="U800" s="452"/>
      <c r="V800" s="452"/>
      <c r="W800" s="452"/>
      <c r="X800" s="452"/>
      <c r="Y800" s="452"/>
    </row>
    <row r="801" spans="1:25" ht="15.6">
      <c r="A801" s="452"/>
      <c r="B801" s="452"/>
      <c r="C801" s="452"/>
      <c r="D801" s="452"/>
      <c r="E801" s="452"/>
      <c r="F801" s="452"/>
      <c r="G801" s="452"/>
      <c r="H801" s="452"/>
      <c r="I801" s="452"/>
      <c r="J801" s="452"/>
      <c r="K801" s="452"/>
      <c r="L801" s="452"/>
      <c r="M801" s="452"/>
      <c r="N801" s="452"/>
      <c r="O801" s="452"/>
      <c r="P801" s="452"/>
      <c r="Q801" s="452"/>
      <c r="R801" s="452"/>
      <c r="S801" s="452"/>
      <c r="T801" s="452"/>
      <c r="U801" s="452"/>
      <c r="V801" s="452"/>
      <c r="W801" s="452"/>
      <c r="X801" s="452"/>
      <c r="Y801" s="452"/>
    </row>
    <row r="802" spans="1:25" ht="15.6">
      <c r="A802" s="452"/>
      <c r="B802" s="452"/>
      <c r="C802" s="452"/>
      <c r="D802" s="452"/>
      <c r="E802" s="452"/>
      <c r="F802" s="452"/>
      <c r="G802" s="452"/>
      <c r="H802" s="452"/>
      <c r="I802" s="452"/>
      <c r="J802" s="452"/>
      <c r="K802" s="452"/>
      <c r="L802" s="452"/>
      <c r="M802" s="452"/>
      <c r="N802" s="452"/>
      <c r="O802" s="452"/>
      <c r="P802" s="452"/>
      <c r="Q802" s="452"/>
      <c r="R802" s="452"/>
      <c r="S802" s="452"/>
      <c r="T802" s="452"/>
      <c r="U802" s="452"/>
      <c r="V802" s="452"/>
      <c r="W802" s="452"/>
      <c r="X802" s="452"/>
      <c r="Y802" s="452"/>
    </row>
    <row r="803" spans="1:25" ht="15.6">
      <c r="A803" s="452"/>
      <c r="B803" s="452"/>
      <c r="C803" s="452"/>
      <c r="D803" s="452"/>
      <c r="E803" s="452"/>
      <c r="F803" s="452"/>
      <c r="G803" s="452"/>
      <c r="H803" s="452"/>
      <c r="I803" s="452"/>
      <c r="J803" s="452"/>
      <c r="K803" s="452"/>
      <c r="L803" s="452"/>
      <c r="M803" s="452"/>
      <c r="N803" s="452"/>
      <c r="O803" s="452"/>
      <c r="P803" s="452"/>
      <c r="Q803" s="452"/>
      <c r="R803" s="452"/>
      <c r="S803" s="452"/>
      <c r="T803" s="452"/>
      <c r="U803" s="452"/>
      <c r="V803" s="452"/>
      <c r="W803" s="452"/>
      <c r="X803" s="452"/>
      <c r="Y803" s="452"/>
    </row>
    <row r="804" spans="1:25" ht="15.6">
      <c r="A804" s="452"/>
      <c r="B804" s="452"/>
      <c r="C804" s="452"/>
      <c r="D804" s="452"/>
      <c r="E804" s="452"/>
      <c r="F804" s="452"/>
      <c r="G804" s="452"/>
      <c r="H804" s="452"/>
      <c r="I804" s="452"/>
      <c r="J804" s="452"/>
      <c r="K804" s="452"/>
      <c r="L804" s="452"/>
      <c r="M804" s="452"/>
      <c r="N804" s="452"/>
      <c r="O804" s="452"/>
      <c r="P804" s="452"/>
      <c r="Q804" s="452"/>
      <c r="R804" s="452"/>
      <c r="S804" s="452"/>
      <c r="T804" s="452"/>
      <c r="U804" s="452"/>
      <c r="V804" s="452"/>
      <c r="W804" s="452"/>
      <c r="X804" s="452"/>
      <c r="Y804" s="452"/>
    </row>
    <row r="805" spans="1:25" ht="15.6">
      <c r="A805" s="452"/>
      <c r="B805" s="452"/>
      <c r="C805" s="452"/>
      <c r="D805" s="452"/>
      <c r="E805" s="452"/>
      <c r="F805" s="452"/>
      <c r="G805" s="452"/>
      <c r="H805" s="452"/>
      <c r="I805" s="452"/>
      <c r="J805" s="452"/>
      <c r="K805" s="452"/>
      <c r="L805" s="452"/>
      <c r="M805" s="452"/>
      <c r="N805" s="452"/>
      <c r="O805" s="452"/>
      <c r="P805" s="452"/>
      <c r="Q805" s="452"/>
      <c r="R805" s="452"/>
      <c r="S805" s="452"/>
      <c r="T805" s="452"/>
      <c r="U805" s="452"/>
      <c r="V805" s="452"/>
      <c r="W805" s="452"/>
      <c r="X805" s="452"/>
      <c r="Y805" s="452"/>
    </row>
    <row r="806" spans="1:25" ht="15.6">
      <c r="A806" s="452"/>
      <c r="B806" s="452"/>
      <c r="C806" s="452"/>
      <c r="D806" s="452"/>
      <c r="E806" s="452"/>
      <c r="F806" s="452"/>
      <c r="G806" s="452"/>
      <c r="H806" s="452"/>
      <c r="I806" s="452"/>
      <c r="J806" s="452"/>
      <c r="K806" s="452"/>
      <c r="L806" s="452"/>
      <c r="M806" s="452"/>
      <c r="N806" s="452"/>
      <c r="O806" s="452"/>
      <c r="P806" s="452"/>
      <c r="Q806" s="452"/>
      <c r="R806" s="452"/>
      <c r="S806" s="452"/>
      <c r="T806" s="452"/>
      <c r="U806" s="452"/>
      <c r="V806" s="452"/>
      <c r="W806" s="452"/>
      <c r="X806" s="452"/>
      <c r="Y806" s="452"/>
    </row>
    <row r="807" spans="1:25" ht="15.6">
      <c r="A807" s="452"/>
      <c r="B807" s="452"/>
      <c r="C807" s="452"/>
      <c r="D807" s="452"/>
      <c r="E807" s="452"/>
      <c r="F807" s="452"/>
      <c r="G807" s="452"/>
      <c r="H807" s="452"/>
      <c r="I807" s="452"/>
      <c r="J807" s="452"/>
      <c r="K807" s="452"/>
      <c r="L807" s="452"/>
      <c r="M807" s="452"/>
      <c r="N807" s="452"/>
      <c r="O807" s="452"/>
      <c r="P807" s="452"/>
      <c r="Q807" s="452"/>
      <c r="R807" s="452"/>
      <c r="S807" s="452"/>
      <c r="T807" s="452"/>
      <c r="U807" s="452"/>
      <c r="V807" s="452"/>
      <c r="W807" s="452"/>
      <c r="X807" s="452"/>
      <c r="Y807" s="452"/>
    </row>
    <row r="808" spans="1:25" ht="15.6">
      <c r="A808" s="452"/>
      <c r="B808" s="452"/>
      <c r="C808" s="452"/>
      <c r="D808" s="452"/>
      <c r="E808" s="452"/>
      <c r="F808" s="452"/>
      <c r="G808" s="452"/>
      <c r="H808" s="452"/>
      <c r="I808" s="452"/>
      <c r="J808" s="452"/>
      <c r="K808" s="452"/>
      <c r="L808" s="452"/>
      <c r="M808" s="452"/>
      <c r="N808" s="452"/>
      <c r="O808" s="452"/>
      <c r="P808" s="452"/>
      <c r="Q808" s="452"/>
      <c r="R808" s="452"/>
      <c r="S808" s="452"/>
      <c r="T808" s="452"/>
      <c r="U808" s="452"/>
      <c r="V808" s="452"/>
      <c r="W808" s="452"/>
      <c r="X808" s="452"/>
      <c r="Y808" s="452"/>
    </row>
    <row r="809" spans="1:25" ht="15.6">
      <c r="A809" s="452"/>
      <c r="B809" s="452"/>
      <c r="C809" s="452"/>
      <c r="D809" s="452"/>
      <c r="E809" s="452"/>
      <c r="F809" s="452"/>
      <c r="G809" s="452"/>
      <c r="H809" s="452"/>
      <c r="I809" s="452"/>
      <c r="J809" s="452"/>
      <c r="K809" s="452"/>
      <c r="L809" s="452"/>
      <c r="M809" s="452"/>
      <c r="N809" s="452"/>
      <c r="O809" s="452"/>
      <c r="P809" s="452"/>
      <c r="Q809" s="452"/>
      <c r="R809" s="452"/>
      <c r="S809" s="452"/>
      <c r="T809" s="452"/>
      <c r="U809" s="452"/>
      <c r="V809" s="452"/>
      <c r="W809" s="452"/>
      <c r="X809" s="452"/>
      <c r="Y809" s="452"/>
    </row>
    <row r="810" spans="1:25" ht="15.6">
      <c r="A810" s="452"/>
      <c r="B810" s="452"/>
      <c r="C810" s="452"/>
      <c r="D810" s="452"/>
      <c r="E810" s="452"/>
      <c r="F810" s="452"/>
      <c r="G810" s="452"/>
      <c r="H810" s="452"/>
      <c r="I810" s="452"/>
      <c r="J810" s="452"/>
      <c r="K810" s="452"/>
      <c r="L810" s="452"/>
      <c r="M810" s="452"/>
      <c r="N810" s="452"/>
      <c r="O810" s="452"/>
      <c r="P810" s="452"/>
      <c r="Q810" s="452"/>
      <c r="R810" s="452"/>
      <c r="S810" s="452"/>
      <c r="T810" s="452"/>
      <c r="U810" s="452"/>
      <c r="V810" s="452"/>
      <c r="W810" s="452"/>
      <c r="X810" s="452"/>
      <c r="Y810" s="452"/>
    </row>
    <row r="811" spans="1:25" ht="15.6">
      <c r="A811" s="452"/>
      <c r="B811" s="452"/>
      <c r="C811" s="452"/>
      <c r="D811" s="452"/>
      <c r="E811" s="452"/>
      <c r="F811" s="452"/>
      <c r="G811" s="452"/>
      <c r="H811" s="452"/>
      <c r="I811" s="452"/>
      <c r="J811" s="452"/>
      <c r="K811" s="452"/>
      <c r="L811" s="452"/>
      <c r="M811" s="452"/>
      <c r="N811" s="452"/>
      <c r="O811" s="452"/>
      <c r="P811" s="452"/>
      <c r="Q811" s="452"/>
      <c r="R811" s="452"/>
      <c r="S811" s="452"/>
      <c r="T811" s="452"/>
      <c r="U811" s="452"/>
      <c r="V811" s="452"/>
      <c r="W811" s="452"/>
      <c r="X811" s="452"/>
      <c r="Y811" s="452"/>
    </row>
    <row r="812" spans="1:25" ht="15.6">
      <c r="A812" s="452"/>
      <c r="B812" s="452"/>
      <c r="C812" s="452"/>
      <c r="D812" s="452"/>
      <c r="E812" s="452"/>
      <c r="F812" s="452"/>
      <c r="G812" s="452"/>
      <c r="H812" s="452"/>
      <c r="I812" s="452"/>
      <c r="J812" s="452"/>
      <c r="K812" s="452"/>
      <c r="L812" s="452"/>
      <c r="M812" s="452"/>
      <c r="N812" s="452"/>
      <c r="O812" s="452"/>
      <c r="P812" s="452"/>
      <c r="Q812" s="452"/>
      <c r="R812" s="452"/>
      <c r="S812" s="452"/>
      <c r="T812" s="452"/>
      <c r="U812" s="452"/>
      <c r="V812" s="452"/>
      <c r="W812" s="452"/>
      <c r="X812" s="452"/>
      <c r="Y812" s="452"/>
    </row>
    <row r="813" spans="1:25" ht="15.6">
      <c r="A813" s="452"/>
      <c r="B813" s="452"/>
      <c r="C813" s="452"/>
      <c r="D813" s="452"/>
      <c r="E813" s="452"/>
      <c r="F813" s="452"/>
      <c r="G813" s="452"/>
      <c r="H813" s="452"/>
      <c r="I813" s="452"/>
      <c r="J813" s="452"/>
      <c r="K813" s="452"/>
      <c r="L813" s="452"/>
      <c r="M813" s="452"/>
      <c r="N813" s="452"/>
      <c r="O813" s="452"/>
      <c r="P813" s="452"/>
      <c r="Q813" s="452"/>
      <c r="R813" s="452"/>
      <c r="S813" s="452"/>
      <c r="T813" s="452"/>
      <c r="U813" s="452"/>
      <c r="V813" s="452"/>
      <c r="W813" s="452"/>
      <c r="X813" s="452"/>
      <c r="Y813" s="452"/>
    </row>
    <row r="814" spans="1:25" ht="15.6">
      <c r="A814" s="452"/>
      <c r="B814" s="452"/>
      <c r="C814" s="452"/>
      <c r="D814" s="452"/>
      <c r="E814" s="452"/>
      <c r="F814" s="452"/>
      <c r="G814" s="452"/>
      <c r="H814" s="452"/>
      <c r="I814" s="452"/>
      <c r="J814" s="452"/>
      <c r="K814" s="452"/>
      <c r="L814" s="452"/>
      <c r="M814" s="452"/>
      <c r="N814" s="452"/>
      <c r="O814" s="452"/>
      <c r="P814" s="452"/>
      <c r="Q814" s="452"/>
      <c r="R814" s="452"/>
      <c r="S814" s="452"/>
      <c r="T814" s="452"/>
      <c r="U814" s="452"/>
      <c r="V814" s="452"/>
      <c r="W814" s="452"/>
      <c r="X814" s="452"/>
      <c r="Y814" s="452"/>
    </row>
    <row r="815" spans="1:25" ht="15.6">
      <c r="A815" s="452"/>
      <c r="B815" s="452"/>
      <c r="C815" s="452"/>
      <c r="D815" s="452"/>
      <c r="E815" s="452"/>
      <c r="F815" s="452"/>
      <c r="G815" s="452"/>
      <c r="H815" s="452"/>
      <c r="I815" s="452"/>
      <c r="J815" s="452"/>
      <c r="K815" s="452"/>
      <c r="L815" s="452"/>
      <c r="M815" s="452"/>
      <c r="N815" s="452"/>
      <c r="O815" s="452"/>
      <c r="P815" s="452"/>
      <c r="Q815" s="452"/>
      <c r="R815" s="452"/>
      <c r="S815" s="452"/>
      <c r="T815" s="452"/>
      <c r="U815" s="452"/>
      <c r="V815" s="452"/>
      <c r="W815" s="452"/>
      <c r="X815" s="452"/>
      <c r="Y815" s="452"/>
    </row>
    <row r="816" spans="1:25" ht="15.6">
      <c r="A816" s="452"/>
      <c r="B816" s="452"/>
      <c r="C816" s="452"/>
      <c r="D816" s="452"/>
      <c r="E816" s="452"/>
      <c r="F816" s="452"/>
      <c r="G816" s="452"/>
      <c r="H816" s="452"/>
      <c r="I816" s="452"/>
      <c r="J816" s="452"/>
      <c r="K816" s="452"/>
      <c r="L816" s="452"/>
      <c r="M816" s="452"/>
      <c r="N816" s="452"/>
      <c r="O816" s="452"/>
      <c r="P816" s="452"/>
      <c r="Q816" s="452"/>
      <c r="R816" s="452"/>
      <c r="S816" s="452"/>
      <c r="T816" s="452"/>
      <c r="U816" s="452"/>
      <c r="V816" s="452"/>
      <c r="W816" s="452"/>
      <c r="X816" s="452"/>
      <c r="Y816" s="452"/>
    </row>
    <row r="817" spans="1:25" ht="15.6">
      <c r="A817" s="452"/>
      <c r="B817" s="452"/>
      <c r="C817" s="452"/>
      <c r="D817" s="452"/>
      <c r="E817" s="452"/>
      <c r="F817" s="452"/>
      <c r="G817" s="452"/>
      <c r="H817" s="452"/>
      <c r="I817" s="452"/>
      <c r="J817" s="452"/>
      <c r="K817" s="452"/>
      <c r="L817" s="452"/>
      <c r="M817" s="452"/>
      <c r="N817" s="452"/>
      <c r="O817" s="452"/>
      <c r="P817" s="452"/>
      <c r="Q817" s="452"/>
      <c r="R817" s="452"/>
      <c r="S817" s="452"/>
      <c r="T817" s="452"/>
      <c r="U817" s="452"/>
      <c r="V817" s="452"/>
      <c r="W817" s="452"/>
      <c r="X817" s="452"/>
      <c r="Y817" s="452"/>
    </row>
    <row r="818" spans="1:25" ht="15.6">
      <c r="A818" s="452"/>
      <c r="B818" s="452"/>
      <c r="C818" s="452"/>
      <c r="D818" s="452"/>
      <c r="E818" s="452"/>
      <c r="F818" s="452"/>
      <c r="G818" s="452"/>
      <c r="H818" s="452"/>
      <c r="I818" s="452"/>
      <c r="J818" s="452"/>
      <c r="K818" s="452"/>
      <c r="L818" s="452"/>
      <c r="M818" s="452"/>
      <c r="N818" s="452"/>
      <c r="O818" s="452"/>
      <c r="P818" s="452"/>
      <c r="Q818" s="452"/>
      <c r="R818" s="452"/>
      <c r="S818" s="452"/>
      <c r="T818" s="452"/>
      <c r="U818" s="452"/>
      <c r="V818" s="452"/>
      <c r="W818" s="452"/>
      <c r="X818" s="452"/>
      <c r="Y818" s="452"/>
    </row>
    <row r="819" spans="1:25" ht="15.6">
      <c r="A819" s="452"/>
      <c r="B819" s="452"/>
      <c r="C819" s="452"/>
      <c r="D819" s="452"/>
      <c r="E819" s="452"/>
      <c r="F819" s="452"/>
      <c r="G819" s="452"/>
      <c r="H819" s="452"/>
      <c r="I819" s="452"/>
      <c r="J819" s="452"/>
      <c r="K819" s="452"/>
      <c r="L819" s="452"/>
      <c r="M819" s="452"/>
      <c r="N819" s="452"/>
      <c r="O819" s="452"/>
      <c r="P819" s="452"/>
      <c r="Q819" s="452"/>
      <c r="R819" s="452"/>
      <c r="S819" s="452"/>
      <c r="T819" s="452"/>
      <c r="U819" s="452"/>
      <c r="V819" s="452"/>
      <c r="W819" s="452"/>
      <c r="X819" s="452"/>
      <c r="Y819" s="452"/>
    </row>
    <row r="820" spans="1:25" ht="15.6">
      <c r="A820" s="452"/>
      <c r="B820" s="452"/>
      <c r="C820" s="452"/>
      <c r="D820" s="452"/>
      <c r="E820" s="452"/>
      <c r="F820" s="452"/>
      <c r="G820" s="452"/>
      <c r="H820" s="452"/>
      <c r="I820" s="452"/>
      <c r="J820" s="452"/>
      <c r="K820" s="452"/>
      <c r="L820" s="452"/>
      <c r="M820" s="452"/>
      <c r="N820" s="452"/>
      <c r="O820" s="452"/>
      <c r="P820" s="452"/>
      <c r="Q820" s="452"/>
      <c r="R820" s="452"/>
      <c r="S820" s="452"/>
      <c r="T820" s="452"/>
      <c r="U820" s="452"/>
      <c r="V820" s="452"/>
      <c r="W820" s="452"/>
      <c r="X820" s="452"/>
      <c r="Y820" s="452"/>
    </row>
    <row r="821" spans="1:25" ht="15.6">
      <c r="A821" s="452"/>
      <c r="B821" s="452"/>
      <c r="C821" s="452"/>
      <c r="D821" s="452"/>
      <c r="E821" s="452"/>
      <c r="F821" s="452"/>
      <c r="G821" s="452"/>
      <c r="H821" s="452"/>
      <c r="I821" s="452"/>
      <c r="J821" s="452"/>
      <c r="K821" s="452"/>
      <c r="L821" s="452"/>
      <c r="M821" s="452"/>
      <c r="N821" s="452"/>
      <c r="O821" s="452"/>
      <c r="P821" s="452"/>
      <c r="Q821" s="452"/>
      <c r="R821" s="452"/>
      <c r="S821" s="452"/>
      <c r="T821" s="452"/>
      <c r="U821" s="452"/>
      <c r="V821" s="452"/>
      <c r="W821" s="452"/>
      <c r="X821" s="452"/>
      <c r="Y821" s="452"/>
    </row>
    <row r="822" spans="1:25" ht="15.6">
      <c r="A822" s="452"/>
      <c r="B822" s="452"/>
      <c r="C822" s="452"/>
      <c r="D822" s="452"/>
      <c r="E822" s="452"/>
      <c r="F822" s="452"/>
      <c r="G822" s="452"/>
      <c r="H822" s="452"/>
      <c r="I822" s="452"/>
      <c r="J822" s="452"/>
      <c r="K822" s="452"/>
      <c r="L822" s="452"/>
      <c r="M822" s="452"/>
      <c r="N822" s="452"/>
      <c r="O822" s="452"/>
      <c r="P822" s="452"/>
      <c r="Q822" s="452"/>
      <c r="R822" s="452"/>
      <c r="S822" s="452"/>
      <c r="T822" s="452"/>
      <c r="U822" s="452"/>
      <c r="V822" s="452"/>
      <c r="W822" s="452"/>
      <c r="X822" s="452"/>
      <c r="Y822" s="452"/>
    </row>
    <row r="823" spans="1:25" ht="15.6">
      <c r="A823" s="452"/>
      <c r="B823" s="452"/>
      <c r="C823" s="452"/>
      <c r="D823" s="452"/>
      <c r="E823" s="452"/>
      <c r="F823" s="452"/>
      <c r="G823" s="452"/>
      <c r="H823" s="452"/>
      <c r="I823" s="452"/>
      <c r="J823" s="452"/>
      <c r="K823" s="452"/>
      <c r="L823" s="452"/>
      <c r="M823" s="452"/>
      <c r="N823" s="452"/>
      <c r="O823" s="452"/>
      <c r="P823" s="452"/>
      <c r="Q823" s="452"/>
      <c r="R823" s="452"/>
      <c r="S823" s="452"/>
      <c r="T823" s="452"/>
      <c r="U823" s="452"/>
      <c r="V823" s="452"/>
      <c r="W823" s="452"/>
      <c r="X823" s="452"/>
      <c r="Y823" s="452"/>
    </row>
    <row r="824" spans="1:25" ht="15.6">
      <c r="A824" s="452"/>
      <c r="B824" s="452"/>
      <c r="C824" s="452"/>
      <c r="D824" s="452"/>
      <c r="E824" s="452"/>
      <c r="F824" s="452"/>
      <c r="G824" s="452"/>
      <c r="H824" s="452"/>
      <c r="I824" s="452"/>
      <c r="J824" s="452"/>
      <c r="K824" s="452"/>
      <c r="L824" s="452"/>
      <c r="M824" s="452"/>
      <c r="N824" s="452"/>
      <c r="O824" s="452"/>
      <c r="P824" s="452"/>
      <c r="Q824" s="452"/>
      <c r="R824" s="452"/>
      <c r="S824" s="452"/>
      <c r="T824" s="452"/>
      <c r="U824" s="452"/>
      <c r="V824" s="452"/>
      <c r="W824" s="452"/>
      <c r="X824" s="452"/>
      <c r="Y824" s="452"/>
    </row>
    <row r="825" spans="1:25" ht="15.6">
      <c r="A825" s="452"/>
      <c r="B825" s="452"/>
      <c r="C825" s="452"/>
      <c r="D825" s="452"/>
      <c r="E825" s="452"/>
      <c r="F825" s="452"/>
      <c r="G825" s="452"/>
      <c r="H825" s="452"/>
      <c r="I825" s="452"/>
      <c r="J825" s="452"/>
      <c r="K825" s="452"/>
      <c r="L825" s="452"/>
      <c r="M825" s="452"/>
      <c r="N825" s="452"/>
      <c r="O825" s="452"/>
      <c r="P825" s="452"/>
      <c r="Q825" s="452"/>
      <c r="R825" s="452"/>
      <c r="S825" s="452"/>
      <c r="T825" s="452"/>
      <c r="U825" s="452"/>
      <c r="V825" s="452"/>
      <c r="W825" s="452"/>
      <c r="X825" s="452"/>
      <c r="Y825" s="452"/>
    </row>
    <row r="826" spans="1:25" ht="15.6">
      <c r="A826" s="452"/>
      <c r="B826" s="452"/>
      <c r="C826" s="452"/>
      <c r="D826" s="452"/>
      <c r="E826" s="452"/>
      <c r="F826" s="452"/>
      <c r="G826" s="452"/>
      <c r="H826" s="452"/>
      <c r="I826" s="452"/>
      <c r="J826" s="452"/>
      <c r="K826" s="452"/>
      <c r="L826" s="452"/>
      <c r="M826" s="452"/>
      <c r="N826" s="452"/>
      <c r="O826" s="452"/>
      <c r="P826" s="452"/>
      <c r="Q826" s="452"/>
      <c r="R826" s="452"/>
      <c r="S826" s="452"/>
      <c r="T826" s="452"/>
      <c r="U826" s="452"/>
      <c r="V826" s="452"/>
      <c r="W826" s="452"/>
      <c r="X826" s="452"/>
      <c r="Y826" s="452"/>
    </row>
    <row r="827" spans="1:25" ht="15.6">
      <c r="A827" s="452"/>
      <c r="B827" s="452"/>
      <c r="C827" s="452"/>
      <c r="D827" s="452"/>
      <c r="E827" s="452"/>
      <c r="F827" s="452"/>
      <c r="G827" s="452"/>
      <c r="H827" s="452"/>
      <c r="I827" s="452"/>
      <c r="J827" s="452"/>
      <c r="K827" s="452"/>
      <c r="L827" s="452"/>
      <c r="M827" s="452"/>
      <c r="N827" s="452"/>
      <c r="O827" s="452"/>
      <c r="P827" s="452"/>
      <c r="Q827" s="452"/>
      <c r="R827" s="452"/>
      <c r="S827" s="452"/>
      <c r="T827" s="452"/>
      <c r="U827" s="452"/>
      <c r="V827" s="452"/>
      <c r="W827" s="452"/>
      <c r="X827" s="452"/>
      <c r="Y827" s="452"/>
    </row>
    <row r="828" spans="1:25" ht="15.6">
      <c r="A828" s="452"/>
      <c r="B828" s="452"/>
      <c r="C828" s="452"/>
      <c r="D828" s="452"/>
      <c r="E828" s="452"/>
      <c r="F828" s="452"/>
      <c r="G828" s="452"/>
      <c r="H828" s="452"/>
      <c r="I828" s="452"/>
      <c r="J828" s="452"/>
      <c r="K828" s="452"/>
      <c r="L828" s="452"/>
      <c r="M828" s="452"/>
      <c r="N828" s="452"/>
      <c r="O828" s="452"/>
      <c r="P828" s="452"/>
      <c r="Q828" s="452"/>
      <c r="R828" s="452"/>
      <c r="S828" s="452"/>
      <c r="T828" s="452"/>
      <c r="U828" s="452"/>
      <c r="V828" s="452"/>
      <c r="W828" s="452"/>
      <c r="X828" s="452"/>
      <c r="Y828" s="452"/>
    </row>
    <row r="829" spans="1:25" ht="15.6">
      <c r="A829" s="452"/>
      <c r="B829" s="452"/>
      <c r="C829" s="452"/>
      <c r="D829" s="452"/>
      <c r="E829" s="452"/>
      <c r="F829" s="452"/>
      <c r="G829" s="452"/>
      <c r="H829" s="452"/>
      <c r="I829" s="452"/>
      <c r="J829" s="452"/>
      <c r="K829" s="452"/>
      <c r="L829" s="452"/>
      <c r="M829" s="452"/>
      <c r="N829" s="452"/>
      <c r="O829" s="452"/>
      <c r="P829" s="452"/>
      <c r="Q829" s="452"/>
      <c r="R829" s="452"/>
      <c r="S829" s="452"/>
      <c r="T829" s="452"/>
      <c r="U829" s="452"/>
      <c r="V829" s="452"/>
      <c r="W829" s="452"/>
      <c r="X829" s="452"/>
      <c r="Y829" s="452"/>
    </row>
    <row r="830" spans="1:25" ht="15.6">
      <c r="A830" s="452"/>
      <c r="B830" s="452"/>
      <c r="C830" s="452"/>
      <c r="D830" s="452"/>
      <c r="E830" s="452"/>
      <c r="F830" s="452"/>
      <c r="G830" s="452"/>
      <c r="H830" s="452"/>
      <c r="I830" s="452"/>
      <c r="J830" s="452"/>
      <c r="K830" s="452"/>
      <c r="L830" s="452"/>
      <c r="M830" s="452"/>
      <c r="N830" s="452"/>
      <c r="O830" s="452"/>
      <c r="P830" s="452"/>
      <c r="Q830" s="452"/>
      <c r="R830" s="452"/>
      <c r="S830" s="452"/>
      <c r="T830" s="452"/>
      <c r="U830" s="452"/>
      <c r="V830" s="452"/>
      <c r="W830" s="452"/>
      <c r="X830" s="452"/>
      <c r="Y830" s="452"/>
    </row>
    <row r="831" spans="1:25" ht="15.6">
      <c r="A831" s="452"/>
      <c r="B831" s="452"/>
      <c r="C831" s="452"/>
      <c r="D831" s="452"/>
      <c r="E831" s="452"/>
      <c r="F831" s="452"/>
      <c r="G831" s="452"/>
      <c r="H831" s="452"/>
      <c r="I831" s="452"/>
      <c r="J831" s="452"/>
      <c r="K831" s="452"/>
      <c r="L831" s="452"/>
      <c r="M831" s="452"/>
      <c r="N831" s="452"/>
      <c r="O831" s="452"/>
      <c r="P831" s="452"/>
      <c r="Q831" s="452"/>
      <c r="R831" s="452"/>
      <c r="S831" s="452"/>
      <c r="T831" s="452"/>
      <c r="U831" s="452"/>
      <c r="V831" s="452"/>
      <c r="W831" s="452"/>
      <c r="X831" s="452"/>
      <c r="Y831" s="452"/>
    </row>
    <row r="832" spans="1:25" ht="15.6">
      <c r="A832" s="452"/>
      <c r="B832" s="452"/>
      <c r="C832" s="452"/>
      <c r="D832" s="452"/>
      <c r="E832" s="452"/>
      <c r="F832" s="452"/>
      <c r="G832" s="452"/>
      <c r="H832" s="452"/>
      <c r="I832" s="452"/>
      <c r="J832" s="452"/>
      <c r="K832" s="452"/>
      <c r="L832" s="452"/>
      <c r="M832" s="452"/>
      <c r="N832" s="452"/>
      <c r="O832" s="452"/>
      <c r="P832" s="452"/>
      <c r="Q832" s="452"/>
      <c r="R832" s="452"/>
      <c r="S832" s="452"/>
      <c r="T832" s="452"/>
      <c r="U832" s="452"/>
      <c r="V832" s="452"/>
      <c r="W832" s="452"/>
      <c r="X832" s="452"/>
      <c r="Y832" s="452"/>
    </row>
    <row r="833" spans="1:25" ht="15.6">
      <c r="A833" s="452"/>
      <c r="B833" s="452"/>
      <c r="C833" s="452"/>
      <c r="D833" s="452"/>
      <c r="E833" s="452"/>
      <c r="F833" s="452"/>
      <c r="G833" s="452"/>
      <c r="H833" s="452"/>
      <c r="I833" s="452"/>
      <c r="J833" s="452"/>
      <c r="K833" s="452"/>
      <c r="L833" s="452"/>
      <c r="M833" s="452"/>
      <c r="N833" s="452"/>
      <c r="O833" s="452"/>
      <c r="P833" s="452"/>
      <c r="Q833" s="452"/>
      <c r="R833" s="452"/>
      <c r="S833" s="452"/>
      <c r="T833" s="452"/>
      <c r="U833" s="452"/>
      <c r="V833" s="452"/>
      <c r="W833" s="452"/>
      <c r="X833" s="452"/>
      <c r="Y833" s="452"/>
    </row>
    <row r="834" spans="1:25" ht="15.6">
      <c r="A834" s="452"/>
      <c r="B834" s="452"/>
      <c r="C834" s="452"/>
      <c r="D834" s="452"/>
      <c r="E834" s="452"/>
      <c r="F834" s="452"/>
      <c r="G834" s="452"/>
      <c r="H834" s="452"/>
      <c r="I834" s="452"/>
      <c r="J834" s="452"/>
      <c r="K834" s="452"/>
      <c r="L834" s="452"/>
      <c r="M834" s="452"/>
      <c r="N834" s="452"/>
      <c r="O834" s="452"/>
      <c r="P834" s="452"/>
      <c r="Q834" s="452"/>
      <c r="R834" s="452"/>
      <c r="S834" s="452"/>
      <c r="T834" s="452"/>
      <c r="U834" s="452"/>
      <c r="V834" s="452"/>
      <c r="W834" s="452"/>
      <c r="X834" s="452"/>
      <c r="Y834" s="452"/>
    </row>
    <row r="835" spans="1:25" ht="15.6">
      <c r="A835" s="452"/>
      <c r="B835" s="452"/>
      <c r="C835" s="452"/>
      <c r="D835" s="452"/>
      <c r="E835" s="452"/>
      <c r="F835" s="452"/>
      <c r="G835" s="452"/>
      <c r="H835" s="452"/>
      <c r="I835" s="452"/>
      <c r="J835" s="452"/>
      <c r="K835" s="452"/>
      <c r="L835" s="452"/>
      <c r="M835" s="452"/>
      <c r="N835" s="452"/>
      <c r="O835" s="452"/>
      <c r="P835" s="452"/>
      <c r="Q835" s="452"/>
      <c r="R835" s="452"/>
      <c r="S835" s="452"/>
      <c r="T835" s="452"/>
      <c r="U835" s="452"/>
      <c r="V835" s="452"/>
      <c r="W835" s="452"/>
      <c r="X835" s="452"/>
      <c r="Y835" s="452"/>
    </row>
    <row r="836" spans="1:25" ht="15.6">
      <c r="A836" s="452"/>
      <c r="B836" s="452"/>
      <c r="C836" s="452"/>
      <c r="D836" s="452"/>
      <c r="E836" s="452"/>
      <c r="F836" s="452"/>
      <c r="G836" s="452"/>
      <c r="H836" s="452"/>
      <c r="I836" s="452"/>
      <c r="J836" s="452"/>
      <c r="K836" s="452"/>
      <c r="L836" s="452"/>
      <c r="M836" s="452"/>
      <c r="N836" s="452"/>
      <c r="O836" s="452"/>
      <c r="P836" s="452"/>
      <c r="Q836" s="452"/>
      <c r="R836" s="452"/>
      <c r="S836" s="452"/>
      <c r="T836" s="452"/>
      <c r="U836" s="452"/>
      <c r="V836" s="452"/>
      <c r="W836" s="452"/>
      <c r="X836" s="452"/>
      <c r="Y836" s="452"/>
    </row>
    <row r="837" spans="1:25" ht="15.6">
      <c r="A837" s="452"/>
      <c r="B837" s="452"/>
      <c r="C837" s="452"/>
      <c r="D837" s="452"/>
      <c r="E837" s="452"/>
      <c r="F837" s="452"/>
      <c r="G837" s="452"/>
      <c r="H837" s="452"/>
      <c r="I837" s="452"/>
      <c r="J837" s="452"/>
      <c r="K837" s="452"/>
      <c r="L837" s="452"/>
      <c r="M837" s="452"/>
      <c r="N837" s="452"/>
      <c r="O837" s="452"/>
      <c r="P837" s="452"/>
      <c r="Q837" s="452"/>
      <c r="R837" s="452"/>
      <c r="S837" s="452"/>
      <c r="T837" s="452"/>
      <c r="U837" s="452"/>
      <c r="V837" s="452"/>
      <c r="W837" s="452"/>
      <c r="X837" s="452"/>
      <c r="Y837" s="452"/>
    </row>
    <row r="838" spans="1:25" ht="15.6">
      <c r="A838" s="452"/>
      <c r="B838" s="452"/>
      <c r="C838" s="452"/>
      <c r="D838" s="452"/>
      <c r="E838" s="452"/>
      <c r="F838" s="452"/>
      <c r="G838" s="452"/>
      <c r="H838" s="452"/>
      <c r="I838" s="452"/>
      <c r="J838" s="452"/>
      <c r="K838" s="452"/>
      <c r="L838" s="452"/>
      <c r="M838" s="452"/>
      <c r="N838" s="452"/>
      <c r="O838" s="452"/>
      <c r="P838" s="452"/>
      <c r="Q838" s="452"/>
      <c r="R838" s="452"/>
      <c r="S838" s="452"/>
      <c r="T838" s="452"/>
      <c r="U838" s="452"/>
      <c r="V838" s="452"/>
      <c r="W838" s="452"/>
      <c r="X838" s="452"/>
      <c r="Y838" s="452"/>
    </row>
    <row r="839" spans="1:25" ht="15.6">
      <c r="A839" s="452"/>
      <c r="B839" s="452"/>
      <c r="C839" s="452"/>
      <c r="D839" s="452"/>
      <c r="E839" s="452"/>
      <c r="F839" s="452"/>
      <c r="G839" s="452"/>
      <c r="H839" s="452"/>
      <c r="I839" s="452"/>
      <c r="J839" s="452"/>
      <c r="K839" s="452"/>
      <c r="L839" s="452"/>
      <c r="M839" s="452"/>
      <c r="N839" s="452"/>
      <c r="O839" s="452"/>
      <c r="P839" s="452"/>
      <c r="Q839" s="452"/>
      <c r="R839" s="452"/>
      <c r="S839" s="452"/>
      <c r="T839" s="452"/>
      <c r="U839" s="452"/>
      <c r="V839" s="452"/>
      <c r="W839" s="452"/>
      <c r="X839" s="452"/>
      <c r="Y839" s="452"/>
    </row>
    <row r="840" spans="1:25" ht="15.6">
      <c r="A840" s="452"/>
      <c r="B840" s="452"/>
      <c r="C840" s="452"/>
      <c r="D840" s="452"/>
      <c r="E840" s="452"/>
      <c r="F840" s="452"/>
      <c r="G840" s="452"/>
      <c r="H840" s="452"/>
      <c r="I840" s="452"/>
      <c r="J840" s="452"/>
      <c r="K840" s="452"/>
      <c r="L840" s="452"/>
      <c r="M840" s="452"/>
      <c r="N840" s="452"/>
      <c r="O840" s="452"/>
      <c r="P840" s="452"/>
      <c r="Q840" s="452"/>
      <c r="R840" s="452"/>
      <c r="S840" s="452"/>
      <c r="T840" s="452"/>
      <c r="U840" s="452"/>
      <c r="V840" s="452"/>
      <c r="W840" s="452"/>
      <c r="X840" s="452"/>
      <c r="Y840" s="452"/>
    </row>
    <row r="841" spans="1:25" ht="15.6">
      <c r="A841" s="452"/>
      <c r="B841" s="452"/>
      <c r="C841" s="452"/>
      <c r="D841" s="452"/>
      <c r="E841" s="452"/>
      <c r="F841" s="452"/>
      <c r="G841" s="452"/>
      <c r="H841" s="452"/>
      <c r="I841" s="452"/>
      <c r="J841" s="452"/>
      <c r="K841" s="452"/>
      <c r="L841" s="452"/>
      <c r="M841" s="452"/>
      <c r="N841" s="452"/>
      <c r="O841" s="452"/>
      <c r="P841" s="452"/>
      <c r="Q841" s="452"/>
      <c r="R841" s="452"/>
      <c r="S841" s="452"/>
      <c r="T841" s="452"/>
      <c r="U841" s="452"/>
      <c r="V841" s="452"/>
      <c r="W841" s="452"/>
      <c r="X841" s="452"/>
      <c r="Y841" s="452"/>
    </row>
    <row r="842" spans="1:25" ht="15.6">
      <c r="A842" s="452"/>
      <c r="B842" s="452"/>
      <c r="C842" s="452"/>
      <c r="D842" s="452"/>
      <c r="E842" s="452"/>
      <c r="F842" s="452"/>
      <c r="G842" s="452"/>
      <c r="H842" s="452"/>
      <c r="I842" s="452"/>
      <c r="J842" s="452"/>
      <c r="K842" s="452"/>
      <c r="L842" s="452"/>
      <c r="M842" s="452"/>
      <c r="N842" s="452"/>
      <c r="O842" s="452"/>
      <c r="P842" s="452"/>
      <c r="Q842" s="452"/>
      <c r="R842" s="452"/>
      <c r="S842" s="452"/>
      <c r="T842" s="452"/>
      <c r="U842" s="452"/>
      <c r="V842" s="452"/>
      <c r="W842" s="452"/>
      <c r="X842" s="452"/>
      <c r="Y842" s="452"/>
    </row>
    <row r="843" spans="1:25" ht="15.6">
      <c r="A843" s="452"/>
      <c r="B843" s="452"/>
      <c r="C843" s="452"/>
      <c r="D843" s="452"/>
      <c r="E843" s="452"/>
      <c r="F843" s="452"/>
      <c r="G843" s="452"/>
      <c r="H843" s="452"/>
      <c r="I843" s="452"/>
      <c r="J843" s="452"/>
      <c r="K843" s="452"/>
      <c r="L843" s="452"/>
      <c r="M843" s="452"/>
      <c r="N843" s="452"/>
      <c r="O843" s="452"/>
      <c r="P843" s="452"/>
      <c r="Q843" s="452"/>
      <c r="R843" s="452"/>
      <c r="S843" s="452"/>
      <c r="T843" s="452"/>
      <c r="U843" s="452"/>
      <c r="V843" s="452"/>
      <c r="W843" s="452"/>
      <c r="X843" s="452"/>
      <c r="Y843" s="452"/>
    </row>
    <row r="844" spans="1:25" ht="15.6">
      <c r="A844" s="452"/>
      <c r="B844" s="452"/>
      <c r="C844" s="452"/>
      <c r="D844" s="452"/>
      <c r="E844" s="452"/>
      <c r="F844" s="452"/>
      <c r="G844" s="452"/>
      <c r="H844" s="452"/>
      <c r="I844" s="452"/>
      <c r="J844" s="452"/>
      <c r="K844" s="452"/>
      <c r="L844" s="452"/>
      <c r="M844" s="452"/>
      <c r="N844" s="452"/>
      <c r="O844" s="452"/>
      <c r="P844" s="452"/>
      <c r="Q844" s="452"/>
      <c r="R844" s="452"/>
      <c r="S844" s="452"/>
      <c r="T844" s="452"/>
      <c r="U844" s="452"/>
      <c r="V844" s="452"/>
      <c r="W844" s="452"/>
      <c r="X844" s="452"/>
      <c r="Y844" s="452"/>
    </row>
    <row r="845" spans="1:25" ht="15.6">
      <c r="A845" s="452"/>
      <c r="B845" s="452"/>
      <c r="C845" s="452"/>
      <c r="D845" s="452"/>
      <c r="E845" s="452"/>
      <c r="F845" s="452"/>
      <c r="G845" s="452"/>
      <c r="H845" s="452"/>
      <c r="I845" s="452"/>
      <c r="J845" s="452"/>
      <c r="K845" s="452"/>
      <c r="L845" s="452"/>
      <c r="M845" s="452"/>
      <c r="N845" s="452"/>
      <c r="O845" s="452"/>
      <c r="P845" s="452"/>
      <c r="Q845" s="452"/>
      <c r="R845" s="452"/>
      <c r="S845" s="452"/>
      <c r="T845" s="452"/>
      <c r="U845" s="452"/>
      <c r="V845" s="452"/>
      <c r="W845" s="452"/>
      <c r="X845" s="452"/>
      <c r="Y845" s="452"/>
    </row>
    <row r="846" spans="1:25" ht="15.6">
      <c r="A846" s="452"/>
      <c r="B846" s="452"/>
      <c r="C846" s="452"/>
      <c r="D846" s="452"/>
      <c r="E846" s="452"/>
      <c r="F846" s="452"/>
      <c r="G846" s="452"/>
      <c r="H846" s="452"/>
      <c r="I846" s="452"/>
      <c r="J846" s="452"/>
      <c r="K846" s="452"/>
      <c r="L846" s="452"/>
      <c r="M846" s="452"/>
      <c r="N846" s="452"/>
      <c r="O846" s="452"/>
      <c r="P846" s="452"/>
      <c r="Q846" s="452"/>
      <c r="R846" s="452"/>
      <c r="S846" s="452"/>
      <c r="T846" s="452"/>
      <c r="U846" s="452"/>
      <c r="V846" s="452"/>
      <c r="W846" s="452"/>
      <c r="X846" s="452"/>
      <c r="Y846" s="452"/>
    </row>
    <row r="847" spans="1:25" ht="15.6">
      <c r="A847" s="452"/>
      <c r="B847" s="452"/>
      <c r="C847" s="452"/>
      <c r="D847" s="452"/>
      <c r="E847" s="452"/>
      <c r="F847" s="452"/>
      <c r="G847" s="452"/>
      <c r="H847" s="452"/>
      <c r="I847" s="452"/>
      <c r="J847" s="452"/>
      <c r="K847" s="452"/>
      <c r="L847" s="452"/>
      <c r="M847" s="452"/>
      <c r="N847" s="452"/>
      <c r="O847" s="452"/>
      <c r="P847" s="452"/>
      <c r="Q847" s="452"/>
      <c r="R847" s="452"/>
      <c r="S847" s="452"/>
      <c r="T847" s="452"/>
      <c r="U847" s="452"/>
      <c r="V847" s="452"/>
      <c r="W847" s="452"/>
      <c r="X847" s="452"/>
      <c r="Y847" s="452"/>
    </row>
    <row r="848" spans="1:25" ht="15.6">
      <c r="A848" s="452"/>
      <c r="B848" s="452"/>
      <c r="C848" s="452"/>
      <c r="D848" s="452"/>
      <c r="E848" s="452"/>
      <c r="F848" s="452"/>
      <c r="G848" s="452"/>
      <c r="H848" s="452"/>
      <c r="I848" s="452"/>
      <c r="J848" s="452"/>
      <c r="K848" s="452"/>
      <c r="L848" s="452"/>
      <c r="M848" s="452"/>
      <c r="N848" s="452"/>
      <c r="O848" s="452"/>
      <c r="P848" s="452"/>
      <c r="Q848" s="452"/>
      <c r="R848" s="452"/>
      <c r="S848" s="452"/>
      <c r="T848" s="452"/>
      <c r="U848" s="452"/>
      <c r="V848" s="452"/>
      <c r="W848" s="452"/>
      <c r="X848" s="452"/>
      <c r="Y848" s="452"/>
    </row>
    <row r="849" spans="1:25" ht="15.6">
      <c r="A849" s="452"/>
      <c r="B849" s="452"/>
      <c r="C849" s="452"/>
      <c r="D849" s="452"/>
      <c r="E849" s="452"/>
      <c r="F849" s="452"/>
      <c r="G849" s="452"/>
      <c r="H849" s="452"/>
      <c r="I849" s="452"/>
      <c r="J849" s="452"/>
      <c r="K849" s="452"/>
      <c r="L849" s="452"/>
      <c r="M849" s="452"/>
      <c r="N849" s="452"/>
      <c r="O849" s="452"/>
      <c r="P849" s="452"/>
      <c r="Q849" s="452"/>
      <c r="R849" s="452"/>
      <c r="S849" s="452"/>
      <c r="T849" s="452"/>
      <c r="U849" s="452"/>
      <c r="V849" s="452"/>
      <c r="W849" s="452"/>
      <c r="X849" s="452"/>
      <c r="Y849" s="452"/>
    </row>
    <row r="850" spans="1:25" ht="15.6">
      <c r="A850" s="452"/>
      <c r="B850" s="452"/>
      <c r="C850" s="452"/>
      <c r="D850" s="452"/>
      <c r="E850" s="452"/>
      <c r="F850" s="452"/>
      <c r="G850" s="452"/>
      <c r="H850" s="452"/>
      <c r="I850" s="452"/>
      <c r="J850" s="452"/>
      <c r="K850" s="452"/>
      <c r="L850" s="452"/>
      <c r="M850" s="452"/>
      <c r="N850" s="452"/>
      <c r="O850" s="452"/>
      <c r="P850" s="452"/>
      <c r="Q850" s="452"/>
      <c r="R850" s="452"/>
      <c r="S850" s="452"/>
      <c r="T850" s="452"/>
      <c r="U850" s="452"/>
      <c r="V850" s="452"/>
      <c r="W850" s="452"/>
      <c r="X850" s="452"/>
      <c r="Y850" s="452"/>
    </row>
    <row r="851" spans="1:25" ht="15.6">
      <c r="A851" s="452"/>
      <c r="B851" s="452"/>
      <c r="C851" s="452"/>
      <c r="D851" s="452"/>
      <c r="E851" s="452"/>
      <c r="F851" s="452"/>
      <c r="G851" s="452"/>
      <c r="H851" s="452"/>
      <c r="I851" s="452"/>
      <c r="J851" s="452"/>
      <c r="K851" s="452"/>
      <c r="L851" s="452"/>
      <c r="M851" s="452"/>
      <c r="N851" s="452"/>
      <c r="O851" s="452"/>
      <c r="P851" s="452"/>
      <c r="Q851" s="452"/>
      <c r="R851" s="452"/>
      <c r="S851" s="452"/>
      <c r="T851" s="452"/>
      <c r="U851" s="452"/>
      <c r="V851" s="452"/>
      <c r="W851" s="452"/>
      <c r="X851" s="452"/>
      <c r="Y851" s="452"/>
    </row>
    <row r="852" spans="1:25" ht="15.6">
      <c r="A852" s="452"/>
      <c r="B852" s="452"/>
      <c r="C852" s="452"/>
      <c r="D852" s="452"/>
      <c r="E852" s="452"/>
      <c r="F852" s="452"/>
      <c r="G852" s="452"/>
      <c r="H852" s="452"/>
      <c r="I852" s="452"/>
      <c r="J852" s="452"/>
      <c r="K852" s="452"/>
      <c r="L852" s="452"/>
      <c r="M852" s="452"/>
      <c r="N852" s="452"/>
      <c r="O852" s="452"/>
      <c r="P852" s="452"/>
      <c r="Q852" s="452"/>
      <c r="R852" s="452"/>
      <c r="S852" s="452"/>
      <c r="T852" s="452"/>
      <c r="U852" s="452"/>
      <c r="V852" s="452"/>
      <c r="W852" s="452"/>
      <c r="X852" s="452"/>
      <c r="Y852" s="452"/>
    </row>
    <row r="853" spans="1:25" ht="15.6">
      <c r="A853" s="452"/>
      <c r="B853" s="452"/>
      <c r="C853" s="452"/>
      <c r="D853" s="452"/>
      <c r="E853" s="452"/>
      <c r="F853" s="452"/>
      <c r="G853" s="452"/>
      <c r="H853" s="452"/>
      <c r="I853" s="452"/>
      <c r="J853" s="452"/>
      <c r="K853" s="452"/>
      <c r="L853" s="452"/>
      <c r="M853" s="452"/>
      <c r="N853" s="452"/>
      <c r="O853" s="452"/>
      <c r="P853" s="452"/>
      <c r="Q853" s="452"/>
      <c r="R853" s="452"/>
      <c r="S853" s="452"/>
      <c r="T853" s="452"/>
      <c r="U853" s="452"/>
      <c r="V853" s="452"/>
      <c r="W853" s="452"/>
      <c r="X853" s="452"/>
      <c r="Y853" s="452"/>
    </row>
    <row r="854" spans="1:25" ht="15.6">
      <c r="A854" s="452"/>
      <c r="B854" s="452"/>
      <c r="C854" s="452"/>
      <c r="D854" s="452"/>
      <c r="E854" s="452"/>
      <c r="F854" s="452"/>
      <c r="G854" s="452"/>
      <c r="H854" s="452"/>
      <c r="I854" s="452"/>
      <c r="J854" s="452"/>
      <c r="K854" s="452"/>
      <c r="L854" s="452"/>
      <c r="M854" s="452"/>
      <c r="N854" s="452"/>
      <c r="O854" s="452"/>
      <c r="P854" s="452"/>
      <c r="Q854" s="452"/>
      <c r="R854" s="452"/>
      <c r="S854" s="452"/>
      <c r="T854" s="452"/>
      <c r="U854" s="452"/>
      <c r="V854" s="452"/>
      <c r="W854" s="452"/>
      <c r="X854" s="452"/>
      <c r="Y854" s="452"/>
    </row>
    <row r="855" spans="1:25" ht="15.6">
      <c r="A855" s="452"/>
      <c r="B855" s="452"/>
      <c r="C855" s="452"/>
      <c r="D855" s="452"/>
      <c r="E855" s="452"/>
      <c r="F855" s="452"/>
      <c r="G855" s="452"/>
      <c r="H855" s="452"/>
      <c r="I855" s="452"/>
      <c r="J855" s="452"/>
      <c r="K855" s="452"/>
      <c r="L855" s="452"/>
      <c r="M855" s="452"/>
      <c r="N855" s="452"/>
      <c r="O855" s="452"/>
      <c r="P855" s="452"/>
      <c r="Q855" s="452"/>
      <c r="R855" s="452"/>
      <c r="S855" s="452"/>
      <c r="T855" s="452"/>
      <c r="U855" s="452"/>
      <c r="V855" s="452"/>
      <c r="W855" s="452"/>
      <c r="X855" s="452"/>
      <c r="Y855" s="452"/>
    </row>
    <row r="856" spans="1:25" ht="15.6">
      <c r="A856" s="452"/>
      <c r="B856" s="452"/>
      <c r="C856" s="452"/>
      <c r="D856" s="452"/>
      <c r="E856" s="452"/>
      <c r="F856" s="452"/>
      <c r="G856" s="452"/>
      <c r="H856" s="452"/>
      <c r="I856" s="452"/>
      <c r="J856" s="452"/>
      <c r="K856" s="452"/>
      <c r="L856" s="452"/>
      <c r="M856" s="452"/>
      <c r="N856" s="452"/>
      <c r="O856" s="452"/>
      <c r="P856" s="452"/>
      <c r="Q856" s="452"/>
      <c r="R856" s="452"/>
      <c r="S856" s="452"/>
      <c r="T856" s="452"/>
      <c r="U856" s="452"/>
      <c r="V856" s="452"/>
      <c r="W856" s="452"/>
      <c r="X856" s="452"/>
      <c r="Y856" s="452"/>
    </row>
    <row r="857" spans="1:25" ht="15.6">
      <c r="A857" s="452"/>
      <c r="B857" s="452"/>
      <c r="C857" s="452"/>
      <c r="D857" s="452"/>
      <c r="E857" s="452"/>
      <c r="F857" s="452"/>
      <c r="G857" s="452"/>
      <c r="H857" s="452"/>
      <c r="I857" s="452"/>
      <c r="J857" s="452"/>
      <c r="K857" s="452"/>
      <c r="L857" s="452"/>
      <c r="M857" s="452"/>
      <c r="N857" s="452"/>
      <c r="O857" s="452"/>
      <c r="P857" s="452"/>
      <c r="Q857" s="452"/>
      <c r="R857" s="452"/>
      <c r="S857" s="452"/>
      <c r="T857" s="452"/>
      <c r="U857" s="452"/>
      <c r="V857" s="452"/>
      <c r="W857" s="452"/>
      <c r="X857" s="452"/>
      <c r="Y857" s="452"/>
    </row>
    <row r="858" spans="1:25" ht="15.6">
      <c r="A858" s="452"/>
      <c r="B858" s="452"/>
      <c r="C858" s="452"/>
      <c r="D858" s="452"/>
      <c r="E858" s="452"/>
      <c r="F858" s="452"/>
      <c r="G858" s="452"/>
      <c r="H858" s="452"/>
      <c r="I858" s="452"/>
      <c r="J858" s="452"/>
      <c r="K858" s="452"/>
      <c r="L858" s="452"/>
      <c r="M858" s="452"/>
      <c r="N858" s="452"/>
      <c r="O858" s="452"/>
      <c r="P858" s="452"/>
      <c r="Q858" s="452"/>
      <c r="R858" s="452"/>
      <c r="S858" s="452"/>
      <c r="T858" s="452"/>
      <c r="U858" s="452"/>
      <c r="V858" s="452"/>
      <c r="W858" s="452"/>
      <c r="X858" s="452"/>
      <c r="Y858" s="452"/>
    </row>
    <row r="859" spans="1:25" ht="15.6">
      <c r="A859" s="452"/>
      <c r="B859" s="452"/>
      <c r="C859" s="452"/>
      <c r="D859" s="452"/>
      <c r="E859" s="452"/>
      <c r="F859" s="452"/>
      <c r="G859" s="452"/>
      <c r="H859" s="452"/>
      <c r="I859" s="452"/>
      <c r="J859" s="452"/>
      <c r="K859" s="452"/>
      <c r="L859" s="452"/>
      <c r="M859" s="452"/>
      <c r="N859" s="452"/>
      <c r="O859" s="452"/>
      <c r="P859" s="452"/>
      <c r="Q859" s="452"/>
      <c r="R859" s="452"/>
      <c r="S859" s="452"/>
      <c r="T859" s="452"/>
      <c r="U859" s="452"/>
      <c r="V859" s="452"/>
      <c r="W859" s="452"/>
      <c r="X859" s="452"/>
      <c r="Y859" s="452"/>
    </row>
    <row r="860" spans="1:25" ht="15.6">
      <c r="A860" s="452"/>
      <c r="B860" s="452"/>
      <c r="C860" s="452"/>
      <c r="D860" s="452"/>
      <c r="E860" s="452"/>
      <c r="F860" s="452"/>
      <c r="G860" s="452"/>
      <c r="H860" s="452"/>
      <c r="I860" s="452"/>
      <c r="J860" s="452"/>
      <c r="K860" s="452"/>
      <c r="L860" s="452"/>
      <c r="M860" s="452"/>
      <c r="N860" s="452"/>
      <c r="O860" s="452"/>
      <c r="P860" s="452"/>
      <c r="Q860" s="452"/>
      <c r="R860" s="452"/>
      <c r="S860" s="452"/>
      <c r="T860" s="452"/>
      <c r="U860" s="452"/>
      <c r="V860" s="452"/>
      <c r="W860" s="452"/>
      <c r="X860" s="452"/>
      <c r="Y860" s="452"/>
    </row>
    <row r="861" spans="1:25" ht="15.6">
      <c r="A861" s="452"/>
      <c r="B861" s="452"/>
      <c r="C861" s="452"/>
      <c r="D861" s="452"/>
      <c r="E861" s="452"/>
      <c r="F861" s="452"/>
      <c r="G861" s="452"/>
      <c r="H861" s="452"/>
      <c r="I861" s="452"/>
      <c r="J861" s="452"/>
      <c r="K861" s="452"/>
      <c r="L861" s="452"/>
      <c r="M861" s="452"/>
      <c r="N861" s="452"/>
      <c r="O861" s="452"/>
      <c r="P861" s="452"/>
      <c r="Q861" s="452"/>
      <c r="R861" s="452"/>
      <c r="S861" s="452"/>
      <c r="T861" s="452"/>
      <c r="U861" s="452"/>
      <c r="V861" s="452"/>
      <c r="W861" s="452"/>
      <c r="X861" s="452"/>
      <c r="Y861" s="452"/>
    </row>
    <row r="862" spans="1:25" ht="15.6">
      <c r="A862" s="452"/>
      <c r="B862" s="452"/>
      <c r="C862" s="452"/>
      <c r="D862" s="452"/>
      <c r="E862" s="452"/>
      <c r="F862" s="452"/>
      <c r="G862" s="452"/>
      <c r="H862" s="452"/>
      <c r="I862" s="452"/>
      <c r="J862" s="452"/>
      <c r="K862" s="452"/>
      <c r="L862" s="452"/>
      <c r="M862" s="452"/>
      <c r="N862" s="452"/>
      <c r="O862" s="452"/>
      <c r="P862" s="452"/>
      <c r="Q862" s="452"/>
      <c r="R862" s="452"/>
      <c r="S862" s="452"/>
      <c r="T862" s="452"/>
      <c r="U862" s="452"/>
      <c r="V862" s="452"/>
      <c r="W862" s="452"/>
      <c r="X862" s="452"/>
      <c r="Y862" s="452"/>
    </row>
    <row r="863" spans="1:25" ht="15.6">
      <c r="A863" s="452"/>
      <c r="B863" s="452"/>
      <c r="C863" s="452"/>
      <c r="D863" s="452"/>
      <c r="E863" s="452"/>
      <c r="F863" s="452"/>
      <c r="G863" s="452"/>
      <c r="H863" s="452"/>
      <c r="I863" s="452"/>
      <c r="J863" s="452"/>
      <c r="K863" s="452"/>
      <c r="L863" s="452"/>
      <c r="M863" s="452"/>
      <c r="N863" s="452"/>
      <c r="O863" s="452"/>
      <c r="P863" s="452"/>
      <c r="Q863" s="452"/>
      <c r="R863" s="452"/>
      <c r="S863" s="452"/>
      <c r="T863" s="452"/>
      <c r="U863" s="452"/>
      <c r="V863" s="452"/>
      <c r="W863" s="452"/>
      <c r="X863" s="452"/>
      <c r="Y863" s="452"/>
    </row>
    <row r="864" spans="1:25" ht="15.6">
      <c r="A864" s="452"/>
      <c r="B864" s="452"/>
      <c r="C864" s="452"/>
      <c r="D864" s="452"/>
      <c r="E864" s="452"/>
      <c r="F864" s="452"/>
      <c r="G864" s="452"/>
      <c r="H864" s="452"/>
      <c r="I864" s="452"/>
      <c r="J864" s="452"/>
      <c r="K864" s="452"/>
      <c r="L864" s="452"/>
      <c r="M864" s="452"/>
      <c r="N864" s="452"/>
      <c r="O864" s="452"/>
      <c r="P864" s="452"/>
      <c r="Q864" s="452"/>
      <c r="R864" s="452"/>
      <c r="S864" s="452"/>
      <c r="T864" s="452"/>
      <c r="U864" s="452"/>
      <c r="V864" s="452"/>
      <c r="W864" s="452"/>
      <c r="X864" s="452"/>
      <c r="Y864" s="452"/>
    </row>
    <row r="865" spans="1:25" ht="15.6">
      <c r="A865" s="452"/>
      <c r="B865" s="452"/>
      <c r="C865" s="452"/>
      <c r="D865" s="452"/>
      <c r="E865" s="452"/>
      <c r="F865" s="452"/>
      <c r="G865" s="452"/>
      <c r="H865" s="452"/>
      <c r="I865" s="452"/>
      <c r="J865" s="452"/>
      <c r="K865" s="452"/>
      <c r="L865" s="452"/>
      <c r="M865" s="452"/>
      <c r="N865" s="452"/>
      <c r="O865" s="452"/>
      <c r="P865" s="452"/>
      <c r="Q865" s="452"/>
      <c r="R865" s="452"/>
      <c r="S865" s="452"/>
      <c r="T865" s="452"/>
      <c r="U865" s="452"/>
      <c r="V865" s="452"/>
      <c r="W865" s="452"/>
      <c r="X865" s="452"/>
      <c r="Y865" s="452"/>
    </row>
    <row r="866" spans="1:25" ht="15.6">
      <c r="A866" s="452"/>
      <c r="B866" s="452"/>
      <c r="C866" s="452"/>
      <c r="D866" s="452"/>
      <c r="E866" s="452"/>
      <c r="F866" s="452"/>
      <c r="G866" s="452"/>
      <c r="H866" s="452"/>
      <c r="I866" s="452"/>
      <c r="J866" s="452"/>
      <c r="K866" s="452"/>
      <c r="L866" s="452"/>
      <c r="M866" s="452"/>
      <c r="N866" s="452"/>
      <c r="O866" s="452"/>
      <c r="P866" s="452"/>
      <c r="Q866" s="452"/>
      <c r="R866" s="452"/>
      <c r="S866" s="452"/>
      <c r="T866" s="452"/>
      <c r="U866" s="452"/>
      <c r="V866" s="452"/>
      <c r="W866" s="452"/>
      <c r="X866" s="452"/>
      <c r="Y866" s="452"/>
    </row>
    <row r="867" spans="1:25" ht="15.6">
      <c r="A867" s="452"/>
      <c r="B867" s="452"/>
      <c r="C867" s="452"/>
      <c r="D867" s="452"/>
      <c r="E867" s="452"/>
      <c r="F867" s="452"/>
      <c r="G867" s="452"/>
      <c r="H867" s="452"/>
      <c r="I867" s="452"/>
      <c r="J867" s="452"/>
      <c r="K867" s="452"/>
      <c r="L867" s="452"/>
      <c r="M867" s="452"/>
      <c r="N867" s="452"/>
      <c r="O867" s="452"/>
      <c r="P867" s="452"/>
      <c r="Q867" s="452"/>
      <c r="R867" s="452"/>
      <c r="S867" s="452"/>
      <c r="T867" s="452"/>
      <c r="U867" s="452"/>
      <c r="V867" s="452"/>
      <c r="W867" s="452"/>
      <c r="X867" s="452"/>
      <c r="Y867" s="452"/>
    </row>
    <row r="868" spans="1:25" ht="15.6">
      <c r="A868" s="452"/>
      <c r="B868" s="452"/>
      <c r="C868" s="452"/>
      <c r="D868" s="452"/>
      <c r="E868" s="452"/>
      <c r="F868" s="452"/>
      <c r="G868" s="452"/>
      <c r="H868" s="452"/>
      <c r="I868" s="452"/>
      <c r="J868" s="452"/>
      <c r="K868" s="452"/>
      <c r="L868" s="452"/>
      <c r="M868" s="452"/>
      <c r="N868" s="452"/>
      <c r="O868" s="452"/>
      <c r="P868" s="452"/>
      <c r="Q868" s="452"/>
      <c r="R868" s="452"/>
      <c r="S868" s="452"/>
      <c r="T868" s="452"/>
      <c r="U868" s="452"/>
      <c r="V868" s="452"/>
      <c r="W868" s="452"/>
      <c r="X868" s="452"/>
      <c r="Y868" s="452"/>
    </row>
    <row r="869" spans="1:25" ht="15.6">
      <c r="A869" s="452"/>
      <c r="B869" s="452"/>
      <c r="C869" s="452"/>
      <c r="D869" s="452"/>
      <c r="E869" s="452"/>
      <c r="F869" s="452"/>
      <c r="G869" s="452"/>
      <c r="H869" s="452"/>
      <c r="I869" s="452"/>
      <c r="J869" s="452"/>
      <c r="K869" s="452"/>
      <c r="L869" s="452"/>
      <c r="M869" s="452"/>
      <c r="N869" s="452"/>
      <c r="O869" s="452"/>
      <c r="P869" s="452"/>
      <c r="Q869" s="452"/>
      <c r="R869" s="452"/>
      <c r="S869" s="452"/>
      <c r="T869" s="452"/>
      <c r="U869" s="452"/>
      <c r="V869" s="452"/>
      <c r="W869" s="452"/>
      <c r="X869" s="452"/>
      <c r="Y869" s="452"/>
    </row>
    <row r="870" spans="1:25" ht="15.6">
      <c r="A870" s="452"/>
      <c r="B870" s="452"/>
      <c r="C870" s="452"/>
      <c r="D870" s="452"/>
      <c r="E870" s="452"/>
      <c r="F870" s="452"/>
      <c r="G870" s="452"/>
      <c r="H870" s="452"/>
      <c r="I870" s="452"/>
      <c r="J870" s="452"/>
      <c r="K870" s="452"/>
      <c r="L870" s="452"/>
      <c r="M870" s="452"/>
      <c r="N870" s="452"/>
      <c r="O870" s="452"/>
      <c r="P870" s="452"/>
      <c r="Q870" s="452"/>
      <c r="R870" s="452"/>
      <c r="S870" s="452"/>
      <c r="T870" s="452"/>
      <c r="U870" s="452"/>
      <c r="V870" s="452"/>
      <c r="W870" s="452"/>
      <c r="X870" s="452"/>
      <c r="Y870" s="452"/>
    </row>
    <row r="871" spans="1:25" ht="15.6">
      <c r="A871" s="452"/>
      <c r="B871" s="452"/>
      <c r="C871" s="452"/>
      <c r="D871" s="452"/>
      <c r="E871" s="452"/>
      <c r="F871" s="452"/>
      <c r="G871" s="452"/>
      <c r="H871" s="452"/>
      <c r="I871" s="452"/>
      <c r="J871" s="452"/>
      <c r="K871" s="452"/>
      <c r="L871" s="452"/>
      <c r="M871" s="452"/>
      <c r="N871" s="452"/>
      <c r="O871" s="452"/>
      <c r="P871" s="452"/>
      <c r="Q871" s="452"/>
      <c r="R871" s="452"/>
      <c r="S871" s="452"/>
      <c r="T871" s="452"/>
      <c r="U871" s="452"/>
      <c r="V871" s="452"/>
      <c r="W871" s="452"/>
      <c r="X871" s="452"/>
      <c r="Y871" s="452"/>
    </row>
    <row r="872" spans="1:25" ht="15.6">
      <c r="A872" s="452"/>
      <c r="B872" s="452"/>
      <c r="C872" s="452"/>
      <c r="D872" s="452"/>
      <c r="E872" s="452"/>
      <c r="F872" s="452"/>
      <c r="G872" s="452"/>
      <c r="H872" s="452"/>
      <c r="I872" s="452"/>
      <c r="J872" s="452"/>
      <c r="K872" s="452"/>
      <c r="L872" s="452"/>
      <c r="M872" s="452"/>
      <c r="N872" s="452"/>
      <c r="O872" s="452"/>
      <c r="P872" s="452"/>
      <c r="Q872" s="452"/>
      <c r="R872" s="452"/>
      <c r="S872" s="452"/>
      <c r="T872" s="452"/>
      <c r="U872" s="452"/>
      <c r="V872" s="452"/>
      <c r="W872" s="452"/>
      <c r="X872" s="452"/>
      <c r="Y872" s="452"/>
    </row>
    <row r="873" spans="1:25" ht="15.6">
      <c r="A873" s="452"/>
      <c r="B873" s="452"/>
      <c r="C873" s="452"/>
      <c r="D873" s="452"/>
      <c r="E873" s="452"/>
      <c r="F873" s="452"/>
      <c r="G873" s="452"/>
      <c r="H873" s="452"/>
      <c r="I873" s="452"/>
      <c r="J873" s="452"/>
      <c r="K873" s="452"/>
      <c r="L873" s="452"/>
      <c r="M873" s="452"/>
      <c r="N873" s="452"/>
      <c r="O873" s="452"/>
      <c r="P873" s="452"/>
      <c r="Q873" s="452"/>
      <c r="R873" s="452"/>
      <c r="S873" s="452"/>
      <c r="T873" s="452"/>
      <c r="U873" s="452"/>
      <c r="V873" s="452"/>
      <c r="W873" s="452"/>
      <c r="X873" s="452"/>
      <c r="Y873" s="452"/>
    </row>
    <row r="874" spans="1:25" ht="15.6">
      <c r="A874" s="452"/>
      <c r="B874" s="452"/>
      <c r="C874" s="452"/>
      <c r="D874" s="452"/>
      <c r="E874" s="452"/>
      <c r="F874" s="452"/>
      <c r="G874" s="452"/>
      <c r="H874" s="452"/>
      <c r="I874" s="452"/>
      <c r="J874" s="452"/>
      <c r="K874" s="452"/>
      <c r="L874" s="452"/>
      <c r="M874" s="452"/>
      <c r="N874" s="452"/>
      <c r="O874" s="452"/>
      <c r="P874" s="452"/>
      <c r="Q874" s="452"/>
      <c r="R874" s="452"/>
      <c r="S874" s="452"/>
      <c r="T874" s="452"/>
      <c r="U874" s="452"/>
      <c r="V874" s="452"/>
      <c r="W874" s="452"/>
      <c r="X874" s="452"/>
      <c r="Y874" s="452"/>
    </row>
    <row r="875" spans="1:25" ht="15.6">
      <c r="A875" s="452"/>
      <c r="B875" s="452"/>
      <c r="C875" s="452"/>
      <c r="D875" s="452"/>
      <c r="E875" s="452"/>
      <c r="F875" s="452"/>
      <c r="G875" s="452"/>
      <c r="H875" s="452"/>
      <c r="I875" s="452"/>
      <c r="J875" s="452"/>
      <c r="K875" s="452"/>
      <c r="L875" s="452"/>
      <c r="M875" s="452"/>
      <c r="N875" s="452"/>
      <c r="O875" s="452"/>
      <c r="P875" s="452"/>
      <c r="Q875" s="452"/>
      <c r="R875" s="452"/>
      <c r="S875" s="452"/>
      <c r="T875" s="452"/>
      <c r="U875" s="452"/>
      <c r="V875" s="452"/>
      <c r="W875" s="452"/>
      <c r="X875" s="452"/>
      <c r="Y875" s="452"/>
    </row>
    <row r="876" spans="1:25" ht="15.6">
      <c r="A876" s="452"/>
      <c r="B876" s="452"/>
      <c r="C876" s="452"/>
      <c r="D876" s="452"/>
      <c r="E876" s="452"/>
      <c r="F876" s="452"/>
      <c r="G876" s="452"/>
      <c r="H876" s="452"/>
      <c r="I876" s="452"/>
      <c r="J876" s="452"/>
      <c r="K876" s="452"/>
      <c r="L876" s="452"/>
      <c r="M876" s="452"/>
      <c r="N876" s="452"/>
      <c r="O876" s="452"/>
      <c r="P876" s="452"/>
      <c r="Q876" s="452"/>
      <c r="R876" s="452"/>
      <c r="S876" s="452"/>
      <c r="T876" s="452"/>
      <c r="U876" s="452"/>
      <c r="V876" s="452"/>
      <c r="W876" s="452"/>
      <c r="X876" s="452"/>
      <c r="Y876" s="452"/>
    </row>
    <row r="877" spans="1:25" ht="15.6">
      <c r="A877" s="452"/>
      <c r="B877" s="452"/>
      <c r="C877" s="452"/>
      <c r="D877" s="452"/>
      <c r="E877" s="452"/>
      <c r="F877" s="452"/>
      <c r="G877" s="452"/>
      <c r="H877" s="452"/>
      <c r="I877" s="452"/>
      <c r="J877" s="452"/>
      <c r="K877" s="452"/>
      <c r="L877" s="452"/>
      <c r="M877" s="452"/>
      <c r="N877" s="452"/>
      <c r="O877" s="452"/>
      <c r="P877" s="452"/>
      <c r="Q877" s="452"/>
      <c r="R877" s="452"/>
      <c r="S877" s="452"/>
      <c r="T877" s="452"/>
      <c r="U877" s="452"/>
      <c r="V877" s="452"/>
      <c r="W877" s="452"/>
      <c r="X877" s="452"/>
      <c r="Y877" s="452"/>
    </row>
    <row r="878" spans="1:25" ht="15.6">
      <c r="A878" s="452"/>
      <c r="B878" s="452"/>
      <c r="C878" s="452"/>
      <c r="D878" s="452"/>
      <c r="E878" s="452"/>
      <c r="F878" s="452"/>
      <c r="G878" s="452"/>
      <c r="H878" s="452"/>
      <c r="I878" s="452"/>
      <c r="J878" s="452"/>
      <c r="K878" s="452"/>
      <c r="L878" s="452"/>
      <c r="M878" s="452"/>
      <c r="N878" s="452"/>
      <c r="O878" s="452"/>
      <c r="P878" s="452"/>
      <c r="Q878" s="452"/>
      <c r="R878" s="452"/>
      <c r="S878" s="452"/>
      <c r="T878" s="452"/>
      <c r="U878" s="452"/>
      <c r="V878" s="452"/>
      <c r="W878" s="452"/>
      <c r="X878" s="452"/>
      <c r="Y878" s="452"/>
    </row>
    <row r="879" spans="1:25" ht="15.6">
      <c r="A879" s="452"/>
      <c r="B879" s="452"/>
      <c r="C879" s="452"/>
      <c r="D879" s="452"/>
      <c r="E879" s="452"/>
      <c r="F879" s="452"/>
      <c r="G879" s="452"/>
      <c r="H879" s="452"/>
      <c r="I879" s="452"/>
      <c r="J879" s="452"/>
      <c r="K879" s="452"/>
      <c r="L879" s="452"/>
      <c r="M879" s="452"/>
      <c r="N879" s="452"/>
      <c r="O879" s="452"/>
      <c r="P879" s="452"/>
      <c r="Q879" s="452"/>
      <c r="R879" s="452"/>
      <c r="S879" s="452"/>
      <c r="T879" s="452"/>
      <c r="U879" s="452"/>
      <c r="V879" s="452"/>
      <c r="W879" s="452"/>
      <c r="X879" s="452"/>
      <c r="Y879" s="452"/>
    </row>
    <row r="880" spans="1:25" ht="15.6">
      <c r="A880" s="452"/>
      <c r="B880" s="452"/>
      <c r="C880" s="452"/>
      <c r="D880" s="452"/>
      <c r="E880" s="452"/>
      <c r="F880" s="452"/>
      <c r="G880" s="452"/>
      <c r="H880" s="452"/>
      <c r="I880" s="452"/>
      <c r="J880" s="452"/>
      <c r="K880" s="452"/>
      <c r="L880" s="452"/>
      <c r="M880" s="452"/>
      <c r="N880" s="452"/>
      <c r="O880" s="452"/>
      <c r="P880" s="452"/>
      <c r="Q880" s="452"/>
      <c r="R880" s="452"/>
      <c r="S880" s="452"/>
      <c r="T880" s="452"/>
      <c r="U880" s="452"/>
      <c r="V880" s="452"/>
      <c r="W880" s="452"/>
      <c r="X880" s="452"/>
      <c r="Y880" s="452"/>
    </row>
    <row r="881" spans="1:25" ht="15.6">
      <c r="A881" s="452"/>
      <c r="B881" s="452"/>
      <c r="C881" s="452"/>
      <c r="D881" s="452"/>
      <c r="E881" s="452"/>
      <c r="F881" s="452"/>
      <c r="G881" s="452"/>
      <c r="H881" s="452"/>
      <c r="I881" s="452"/>
      <c r="J881" s="452"/>
      <c r="K881" s="452"/>
      <c r="L881" s="452"/>
      <c r="M881" s="452"/>
      <c r="N881" s="452"/>
      <c r="O881" s="452"/>
      <c r="P881" s="452"/>
      <c r="Q881" s="452"/>
      <c r="R881" s="452"/>
      <c r="S881" s="452"/>
      <c r="T881" s="452"/>
      <c r="U881" s="452"/>
      <c r="V881" s="452"/>
      <c r="W881" s="452"/>
      <c r="X881" s="452"/>
      <c r="Y881" s="452"/>
    </row>
    <row r="882" spans="1:25" ht="15.6">
      <c r="A882" s="452"/>
      <c r="B882" s="452"/>
      <c r="C882" s="452"/>
      <c r="D882" s="452"/>
      <c r="E882" s="452"/>
      <c r="F882" s="452"/>
      <c r="G882" s="452"/>
      <c r="H882" s="452"/>
      <c r="I882" s="452"/>
      <c r="J882" s="452"/>
      <c r="K882" s="452"/>
      <c r="L882" s="452"/>
      <c r="M882" s="452"/>
      <c r="N882" s="452"/>
      <c r="O882" s="452"/>
      <c r="P882" s="452"/>
      <c r="Q882" s="452"/>
      <c r="R882" s="452"/>
      <c r="S882" s="452"/>
      <c r="T882" s="452"/>
      <c r="U882" s="452"/>
      <c r="V882" s="452"/>
      <c r="W882" s="452"/>
      <c r="X882" s="452"/>
      <c r="Y882" s="452"/>
    </row>
    <row r="883" spans="1:25" ht="15.6">
      <c r="A883" s="452"/>
      <c r="B883" s="452"/>
      <c r="C883" s="452"/>
      <c r="D883" s="452"/>
      <c r="E883" s="452"/>
      <c r="F883" s="452"/>
      <c r="G883" s="452"/>
      <c r="H883" s="452"/>
      <c r="I883" s="452"/>
      <c r="J883" s="452"/>
      <c r="K883" s="452"/>
      <c r="L883" s="452"/>
      <c r="M883" s="452"/>
      <c r="N883" s="452"/>
      <c r="O883" s="452"/>
      <c r="P883" s="452"/>
      <c r="Q883" s="452"/>
      <c r="R883" s="452"/>
      <c r="S883" s="452"/>
      <c r="T883" s="452"/>
      <c r="U883" s="452"/>
      <c r="V883" s="452"/>
      <c r="W883" s="452"/>
      <c r="X883" s="452"/>
      <c r="Y883" s="452"/>
    </row>
    <row r="884" spans="1:25" ht="15.6">
      <c r="A884" s="452"/>
      <c r="B884" s="452"/>
      <c r="C884" s="452"/>
      <c r="D884" s="452"/>
      <c r="E884" s="452"/>
      <c r="F884" s="452"/>
      <c r="G884" s="452"/>
      <c r="H884" s="452"/>
      <c r="I884" s="452"/>
      <c r="J884" s="452"/>
      <c r="K884" s="452"/>
      <c r="L884" s="452"/>
      <c r="M884" s="452"/>
      <c r="N884" s="452"/>
      <c r="O884" s="452"/>
      <c r="P884" s="452"/>
      <c r="Q884" s="452"/>
      <c r="R884" s="452"/>
      <c r="S884" s="452"/>
      <c r="T884" s="452"/>
      <c r="U884" s="452"/>
      <c r="V884" s="452"/>
      <c r="W884" s="452"/>
      <c r="X884" s="452"/>
      <c r="Y884" s="452"/>
    </row>
    <row r="885" spans="1:25" ht="15.6">
      <c r="A885" s="452"/>
      <c r="B885" s="452"/>
      <c r="C885" s="452"/>
      <c r="D885" s="452"/>
      <c r="E885" s="452"/>
      <c r="F885" s="452"/>
      <c r="G885" s="452"/>
      <c r="H885" s="452"/>
      <c r="I885" s="452"/>
      <c r="J885" s="452"/>
      <c r="K885" s="452"/>
      <c r="L885" s="452"/>
      <c r="M885" s="452"/>
      <c r="N885" s="452"/>
      <c r="O885" s="452"/>
      <c r="P885" s="452"/>
      <c r="Q885" s="452"/>
      <c r="R885" s="452"/>
      <c r="S885" s="452"/>
      <c r="T885" s="452"/>
      <c r="U885" s="452"/>
      <c r="V885" s="452"/>
      <c r="W885" s="452"/>
      <c r="X885" s="452"/>
      <c r="Y885" s="452"/>
    </row>
    <row r="886" spans="1:25" ht="15.6">
      <c r="A886" s="452"/>
      <c r="B886" s="452"/>
      <c r="C886" s="452"/>
      <c r="D886" s="452"/>
      <c r="E886" s="452"/>
      <c r="F886" s="452"/>
      <c r="G886" s="452"/>
      <c r="H886" s="452"/>
      <c r="I886" s="452"/>
      <c r="J886" s="452"/>
      <c r="K886" s="452"/>
      <c r="L886" s="452"/>
      <c r="M886" s="452"/>
      <c r="N886" s="452"/>
      <c r="O886" s="452"/>
      <c r="P886" s="452"/>
      <c r="Q886" s="452"/>
      <c r="R886" s="452"/>
      <c r="S886" s="452"/>
      <c r="T886" s="452"/>
      <c r="U886" s="452"/>
      <c r="V886" s="452"/>
      <c r="W886" s="452"/>
      <c r="X886" s="452"/>
      <c r="Y886" s="452"/>
    </row>
    <row r="887" spans="1:25" ht="15.6">
      <c r="A887" s="452"/>
      <c r="B887" s="452"/>
      <c r="C887" s="452"/>
      <c r="D887" s="452"/>
      <c r="E887" s="452"/>
      <c r="F887" s="452"/>
      <c r="G887" s="452"/>
      <c r="H887" s="452"/>
      <c r="I887" s="452"/>
      <c r="J887" s="452"/>
      <c r="K887" s="452"/>
      <c r="L887" s="452"/>
      <c r="M887" s="452"/>
      <c r="N887" s="452"/>
      <c r="O887" s="452"/>
      <c r="P887" s="452"/>
      <c r="Q887" s="452"/>
      <c r="R887" s="452"/>
      <c r="S887" s="452"/>
      <c r="T887" s="452"/>
      <c r="U887" s="452"/>
      <c r="V887" s="452"/>
      <c r="W887" s="452"/>
      <c r="X887" s="452"/>
      <c r="Y887" s="452"/>
    </row>
    <row r="888" spans="1:25" ht="15.6">
      <c r="A888" s="452"/>
      <c r="B888" s="452"/>
      <c r="C888" s="452"/>
      <c r="D888" s="452"/>
      <c r="E888" s="452"/>
      <c r="F888" s="452"/>
      <c r="G888" s="452"/>
      <c r="H888" s="452"/>
      <c r="I888" s="452"/>
      <c r="J888" s="452"/>
      <c r="K888" s="452"/>
      <c r="L888" s="452"/>
      <c r="M888" s="452"/>
      <c r="N888" s="452"/>
      <c r="O888" s="452"/>
      <c r="P888" s="452"/>
      <c r="Q888" s="452"/>
      <c r="R888" s="452"/>
      <c r="S888" s="452"/>
      <c r="T888" s="452"/>
      <c r="U888" s="452"/>
      <c r="V888" s="452"/>
      <c r="W888" s="452"/>
      <c r="X888" s="452"/>
      <c r="Y888" s="452"/>
    </row>
    <row r="889" spans="1:25" ht="15.6">
      <c r="A889" s="452"/>
      <c r="B889" s="452"/>
      <c r="C889" s="452"/>
      <c r="D889" s="452"/>
      <c r="E889" s="452"/>
      <c r="F889" s="452"/>
      <c r="G889" s="452"/>
      <c r="H889" s="452"/>
      <c r="I889" s="452"/>
      <c r="J889" s="452"/>
      <c r="K889" s="452"/>
      <c r="L889" s="452"/>
      <c r="M889" s="452"/>
      <c r="N889" s="452"/>
      <c r="O889" s="452"/>
      <c r="P889" s="452"/>
      <c r="Q889" s="452"/>
      <c r="R889" s="452"/>
      <c r="S889" s="452"/>
      <c r="T889" s="452"/>
      <c r="U889" s="452"/>
      <c r="V889" s="452"/>
      <c r="W889" s="452"/>
      <c r="X889" s="452"/>
      <c r="Y889" s="452"/>
    </row>
    <row r="890" spans="1:25" ht="15.6">
      <c r="A890" s="452"/>
      <c r="B890" s="452"/>
      <c r="C890" s="452"/>
      <c r="D890" s="452"/>
      <c r="E890" s="452"/>
      <c r="F890" s="452"/>
      <c r="G890" s="452"/>
      <c r="H890" s="452"/>
      <c r="I890" s="452"/>
      <c r="J890" s="452"/>
      <c r="K890" s="452"/>
      <c r="L890" s="452"/>
      <c r="M890" s="452"/>
      <c r="N890" s="452"/>
      <c r="O890" s="452"/>
      <c r="P890" s="452"/>
      <c r="Q890" s="452"/>
      <c r="R890" s="452"/>
      <c r="S890" s="452"/>
      <c r="T890" s="452"/>
      <c r="U890" s="452"/>
      <c r="V890" s="452"/>
      <c r="W890" s="452"/>
      <c r="X890" s="452"/>
      <c r="Y890" s="452"/>
    </row>
    <row r="891" spans="1:25" ht="15.6">
      <c r="A891" s="452"/>
      <c r="B891" s="452"/>
      <c r="C891" s="452"/>
      <c r="D891" s="452"/>
      <c r="E891" s="452"/>
      <c r="F891" s="452"/>
      <c r="G891" s="452"/>
      <c r="H891" s="452"/>
      <c r="I891" s="452"/>
      <c r="J891" s="452"/>
      <c r="K891" s="452"/>
      <c r="L891" s="452"/>
      <c r="M891" s="452"/>
      <c r="N891" s="452"/>
      <c r="O891" s="452"/>
      <c r="P891" s="452"/>
      <c r="Q891" s="452"/>
      <c r="R891" s="452"/>
      <c r="S891" s="452"/>
      <c r="T891" s="452"/>
      <c r="U891" s="452"/>
      <c r="V891" s="452"/>
      <c r="W891" s="452"/>
      <c r="X891" s="452"/>
      <c r="Y891" s="452"/>
    </row>
    <row r="892" spans="1:25" ht="15.6">
      <c r="A892" s="452"/>
      <c r="B892" s="452"/>
      <c r="C892" s="452"/>
      <c r="D892" s="452"/>
      <c r="E892" s="452"/>
      <c r="F892" s="452"/>
      <c r="G892" s="452"/>
      <c r="H892" s="452"/>
      <c r="I892" s="452"/>
      <c r="J892" s="452"/>
      <c r="K892" s="452"/>
      <c r="L892" s="452"/>
      <c r="M892" s="452"/>
      <c r="N892" s="452"/>
      <c r="O892" s="452"/>
      <c r="P892" s="452"/>
      <c r="Q892" s="452"/>
      <c r="R892" s="452"/>
      <c r="S892" s="452"/>
      <c r="T892" s="452"/>
      <c r="U892" s="452"/>
      <c r="V892" s="452"/>
      <c r="W892" s="452"/>
      <c r="X892" s="452"/>
      <c r="Y892" s="452"/>
    </row>
    <row r="893" spans="1:25" ht="15.6">
      <c r="A893" s="452"/>
      <c r="B893" s="452"/>
      <c r="C893" s="452"/>
      <c r="D893" s="452"/>
      <c r="E893" s="452"/>
      <c r="F893" s="452"/>
      <c r="G893" s="452"/>
      <c r="H893" s="452"/>
      <c r="I893" s="452"/>
      <c r="J893" s="452"/>
      <c r="K893" s="452"/>
      <c r="L893" s="452"/>
      <c r="M893" s="452"/>
      <c r="N893" s="452"/>
      <c r="O893" s="452"/>
      <c r="P893" s="452"/>
      <c r="Q893" s="452"/>
      <c r="R893" s="452"/>
      <c r="S893" s="452"/>
      <c r="T893" s="452"/>
      <c r="U893" s="452"/>
      <c r="V893" s="452"/>
      <c r="W893" s="452"/>
      <c r="X893" s="452"/>
      <c r="Y893" s="452"/>
    </row>
    <row r="894" spans="1:25" ht="15.6">
      <c r="A894" s="452"/>
      <c r="B894" s="452"/>
      <c r="C894" s="452"/>
      <c r="D894" s="452"/>
      <c r="E894" s="452"/>
      <c r="F894" s="452"/>
      <c r="G894" s="452"/>
      <c r="H894" s="452"/>
      <c r="I894" s="452"/>
      <c r="J894" s="452"/>
      <c r="K894" s="452"/>
      <c r="L894" s="452"/>
      <c r="M894" s="452"/>
      <c r="N894" s="452"/>
      <c r="O894" s="452"/>
      <c r="P894" s="452"/>
      <c r="Q894" s="452"/>
      <c r="R894" s="452"/>
      <c r="S894" s="452"/>
      <c r="T894" s="452"/>
      <c r="U894" s="452"/>
      <c r="V894" s="452"/>
      <c r="W894" s="452"/>
      <c r="X894" s="452"/>
      <c r="Y894" s="452"/>
    </row>
    <row r="895" spans="1:25" ht="15.6">
      <c r="A895" s="452"/>
      <c r="B895" s="452"/>
      <c r="C895" s="452"/>
      <c r="D895" s="452"/>
      <c r="E895" s="452"/>
      <c r="F895" s="452"/>
      <c r="G895" s="452"/>
      <c r="H895" s="452"/>
      <c r="I895" s="452"/>
      <c r="J895" s="452"/>
      <c r="K895" s="452"/>
      <c r="L895" s="452"/>
      <c r="M895" s="452"/>
      <c r="N895" s="452"/>
      <c r="O895" s="452"/>
      <c r="P895" s="452"/>
      <c r="Q895" s="452"/>
      <c r="R895" s="452"/>
      <c r="S895" s="452"/>
      <c r="T895" s="452"/>
      <c r="U895" s="452"/>
      <c r="V895" s="452"/>
      <c r="W895" s="452"/>
      <c r="X895" s="452"/>
      <c r="Y895" s="452"/>
    </row>
    <row r="896" spans="1:25" ht="15.6">
      <c r="A896" s="452"/>
      <c r="B896" s="452"/>
      <c r="C896" s="452"/>
      <c r="D896" s="452"/>
      <c r="E896" s="452"/>
      <c r="F896" s="452"/>
      <c r="G896" s="452"/>
      <c r="H896" s="452"/>
      <c r="I896" s="452"/>
      <c r="J896" s="452"/>
      <c r="K896" s="452"/>
      <c r="L896" s="452"/>
      <c r="M896" s="452"/>
      <c r="N896" s="452"/>
      <c r="O896" s="452"/>
      <c r="P896" s="452"/>
      <c r="Q896" s="452"/>
      <c r="R896" s="452"/>
      <c r="S896" s="452"/>
      <c r="T896" s="452"/>
      <c r="U896" s="452"/>
      <c r="V896" s="452"/>
      <c r="W896" s="452"/>
      <c r="X896" s="452"/>
      <c r="Y896" s="452"/>
    </row>
    <row r="897" spans="1:25" ht="15.6">
      <c r="A897" s="452"/>
      <c r="B897" s="452"/>
      <c r="C897" s="452"/>
      <c r="D897" s="452"/>
      <c r="E897" s="452"/>
      <c r="F897" s="452"/>
      <c r="G897" s="452"/>
      <c r="H897" s="452"/>
      <c r="I897" s="452"/>
      <c r="J897" s="452"/>
      <c r="K897" s="452"/>
      <c r="L897" s="452"/>
      <c r="M897" s="452"/>
      <c r="N897" s="452"/>
      <c r="O897" s="452"/>
      <c r="P897" s="452"/>
      <c r="Q897" s="452"/>
      <c r="R897" s="452"/>
      <c r="S897" s="452"/>
      <c r="T897" s="452"/>
      <c r="U897" s="452"/>
      <c r="V897" s="452"/>
      <c r="W897" s="452"/>
      <c r="X897" s="452"/>
      <c r="Y897" s="452"/>
    </row>
    <row r="898" spans="1:25" ht="15.6">
      <c r="A898" s="452"/>
      <c r="B898" s="452"/>
      <c r="C898" s="452"/>
      <c r="D898" s="452"/>
      <c r="E898" s="452"/>
      <c r="F898" s="452"/>
      <c r="G898" s="452"/>
      <c r="H898" s="452"/>
      <c r="I898" s="452"/>
      <c r="J898" s="452"/>
      <c r="K898" s="452"/>
      <c r="L898" s="452"/>
      <c r="M898" s="452"/>
      <c r="N898" s="452"/>
      <c r="O898" s="452"/>
      <c r="P898" s="452"/>
      <c r="Q898" s="452"/>
      <c r="R898" s="452"/>
      <c r="S898" s="452"/>
      <c r="T898" s="452"/>
      <c r="U898" s="452"/>
      <c r="V898" s="452"/>
      <c r="W898" s="452"/>
      <c r="X898" s="452"/>
      <c r="Y898" s="452"/>
    </row>
    <row r="899" spans="1:25" ht="15.6">
      <c r="A899" s="452"/>
      <c r="B899" s="452"/>
      <c r="C899" s="452"/>
      <c r="D899" s="452"/>
      <c r="E899" s="452"/>
      <c r="F899" s="452"/>
      <c r="G899" s="452"/>
      <c r="H899" s="452"/>
      <c r="I899" s="452"/>
      <c r="J899" s="452"/>
      <c r="K899" s="452"/>
      <c r="L899" s="452"/>
      <c r="M899" s="452"/>
      <c r="N899" s="452"/>
      <c r="O899" s="452"/>
      <c r="P899" s="452"/>
      <c r="Q899" s="452"/>
      <c r="R899" s="452"/>
      <c r="S899" s="452"/>
      <c r="T899" s="452"/>
      <c r="U899" s="452"/>
      <c r="V899" s="452"/>
      <c r="W899" s="452"/>
      <c r="X899" s="452"/>
      <c r="Y899" s="452"/>
    </row>
    <row r="900" spans="1:25" ht="15.6">
      <c r="A900" s="452"/>
      <c r="B900" s="452"/>
      <c r="C900" s="452"/>
      <c r="D900" s="452"/>
      <c r="E900" s="452"/>
      <c r="F900" s="452"/>
      <c r="G900" s="452"/>
      <c r="H900" s="452"/>
      <c r="I900" s="452"/>
      <c r="J900" s="452"/>
      <c r="K900" s="452"/>
      <c r="L900" s="452"/>
      <c r="M900" s="452"/>
      <c r="N900" s="452"/>
      <c r="O900" s="452"/>
      <c r="P900" s="452"/>
      <c r="Q900" s="452"/>
      <c r="R900" s="452"/>
      <c r="S900" s="452"/>
      <c r="T900" s="452"/>
      <c r="U900" s="452"/>
      <c r="V900" s="452"/>
      <c r="W900" s="452"/>
      <c r="X900" s="452"/>
      <c r="Y900" s="452"/>
    </row>
    <row r="901" spans="1:25" ht="15.6">
      <c r="A901" s="452"/>
      <c r="B901" s="452"/>
      <c r="C901" s="452"/>
      <c r="D901" s="452"/>
      <c r="E901" s="452"/>
      <c r="F901" s="452"/>
      <c r="G901" s="452"/>
      <c r="H901" s="452"/>
      <c r="I901" s="452"/>
      <c r="J901" s="452"/>
      <c r="K901" s="452"/>
      <c r="L901" s="452"/>
      <c r="M901" s="452"/>
      <c r="N901" s="452"/>
      <c r="O901" s="452"/>
      <c r="P901" s="452"/>
      <c r="Q901" s="452"/>
      <c r="R901" s="452"/>
      <c r="S901" s="452"/>
      <c r="T901" s="452"/>
      <c r="U901" s="452"/>
      <c r="V901" s="452"/>
      <c r="W901" s="452"/>
      <c r="X901" s="452"/>
      <c r="Y901" s="452"/>
    </row>
    <row r="902" spans="1:25" ht="15.6">
      <c r="A902" s="452"/>
      <c r="B902" s="452"/>
      <c r="C902" s="452"/>
      <c r="D902" s="452"/>
      <c r="E902" s="452"/>
      <c r="F902" s="452"/>
      <c r="G902" s="452"/>
      <c r="H902" s="452"/>
      <c r="I902" s="452"/>
      <c r="J902" s="452"/>
      <c r="K902" s="452"/>
      <c r="L902" s="452"/>
      <c r="M902" s="452"/>
      <c r="N902" s="452"/>
      <c r="O902" s="452"/>
      <c r="P902" s="452"/>
      <c r="Q902" s="452"/>
      <c r="R902" s="452"/>
      <c r="S902" s="452"/>
      <c r="T902" s="452"/>
      <c r="U902" s="452"/>
      <c r="V902" s="452"/>
      <c r="W902" s="452"/>
      <c r="X902" s="452"/>
      <c r="Y902" s="452"/>
    </row>
    <row r="903" spans="1:25" ht="15.6">
      <c r="A903" s="452"/>
      <c r="B903" s="452"/>
      <c r="C903" s="452"/>
      <c r="D903" s="452"/>
      <c r="E903" s="452"/>
      <c r="F903" s="452"/>
      <c r="G903" s="452"/>
      <c r="H903" s="452"/>
      <c r="I903" s="452"/>
      <c r="J903" s="452"/>
      <c r="K903" s="452"/>
      <c r="L903" s="452"/>
      <c r="M903" s="452"/>
      <c r="N903" s="452"/>
      <c r="O903" s="452"/>
      <c r="P903" s="452"/>
      <c r="Q903" s="452"/>
      <c r="R903" s="452"/>
      <c r="S903" s="452"/>
      <c r="T903" s="452"/>
      <c r="U903" s="452"/>
      <c r="V903" s="452"/>
      <c r="W903" s="452"/>
      <c r="X903" s="452"/>
      <c r="Y903" s="452"/>
    </row>
    <row r="904" spans="1:25" ht="15.6">
      <c r="A904" s="452"/>
      <c r="B904" s="452"/>
      <c r="C904" s="452"/>
      <c r="D904" s="452"/>
      <c r="E904" s="452"/>
      <c r="F904" s="452"/>
      <c r="G904" s="452"/>
      <c r="H904" s="452"/>
      <c r="I904" s="452"/>
      <c r="J904" s="452"/>
      <c r="K904" s="452"/>
      <c r="L904" s="452"/>
      <c r="M904" s="452"/>
      <c r="N904" s="452"/>
      <c r="O904" s="452"/>
      <c r="P904" s="452"/>
      <c r="Q904" s="452"/>
      <c r="R904" s="452"/>
      <c r="S904" s="452"/>
      <c r="T904" s="452"/>
      <c r="U904" s="452"/>
      <c r="V904" s="452"/>
      <c r="W904" s="452"/>
      <c r="X904" s="452"/>
      <c r="Y904" s="452"/>
    </row>
    <row r="905" spans="1:25" ht="15.6">
      <c r="A905" s="452"/>
      <c r="B905" s="452"/>
      <c r="C905" s="452"/>
      <c r="D905" s="452"/>
      <c r="E905" s="452"/>
      <c r="F905" s="452"/>
      <c r="G905" s="452"/>
      <c r="H905" s="452"/>
      <c r="I905" s="452"/>
      <c r="J905" s="452"/>
      <c r="K905" s="452"/>
      <c r="L905" s="452"/>
      <c r="M905" s="452"/>
      <c r="N905" s="452"/>
      <c r="O905" s="452"/>
      <c r="P905" s="452"/>
      <c r="Q905" s="452"/>
      <c r="R905" s="452"/>
      <c r="S905" s="452"/>
      <c r="T905" s="452"/>
      <c r="U905" s="452"/>
      <c r="V905" s="452"/>
      <c r="W905" s="452"/>
      <c r="X905" s="452"/>
      <c r="Y905" s="452"/>
    </row>
    <row r="906" spans="1:25" ht="15.6">
      <c r="A906" s="452"/>
      <c r="B906" s="452"/>
      <c r="C906" s="452"/>
      <c r="D906" s="452"/>
      <c r="E906" s="452"/>
      <c r="F906" s="452"/>
      <c r="G906" s="452"/>
      <c r="H906" s="452"/>
      <c r="I906" s="452"/>
      <c r="J906" s="452"/>
      <c r="K906" s="452"/>
      <c r="L906" s="452"/>
      <c r="M906" s="452"/>
      <c r="N906" s="452"/>
      <c r="O906" s="452"/>
      <c r="P906" s="452"/>
      <c r="Q906" s="452"/>
      <c r="R906" s="452"/>
      <c r="S906" s="452"/>
      <c r="T906" s="452"/>
      <c r="U906" s="452"/>
      <c r="V906" s="452"/>
      <c r="W906" s="452"/>
      <c r="X906" s="452"/>
      <c r="Y906" s="452"/>
    </row>
    <row r="907" spans="1:25" ht="15.6">
      <c r="A907" s="452"/>
      <c r="B907" s="452"/>
      <c r="C907" s="452"/>
      <c r="D907" s="452"/>
      <c r="E907" s="452"/>
      <c r="F907" s="452"/>
      <c r="G907" s="452"/>
      <c r="H907" s="452"/>
      <c r="I907" s="452"/>
      <c r="J907" s="452"/>
      <c r="K907" s="452"/>
      <c r="L907" s="452"/>
      <c r="M907" s="452"/>
      <c r="N907" s="452"/>
      <c r="O907" s="452"/>
      <c r="P907" s="452"/>
      <c r="Q907" s="452"/>
      <c r="R907" s="452"/>
      <c r="S907" s="452"/>
      <c r="T907" s="452"/>
      <c r="U907" s="452"/>
      <c r="V907" s="452"/>
      <c r="W907" s="452"/>
      <c r="X907" s="452"/>
      <c r="Y907" s="452"/>
    </row>
    <row r="908" spans="1:25" ht="15.6">
      <c r="A908" s="452"/>
      <c r="B908" s="452"/>
      <c r="C908" s="452"/>
      <c r="D908" s="452"/>
      <c r="E908" s="452"/>
      <c r="F908" s="452"/>
      <c r="G908" s="452"/>
      <c r="H908" s="452"/>
      <c r="I908" s="452"/>
      <c r="J908" s="452"/>
      <c r="K908" s="452"/>
      <c r="L908" s="452"/>
      <c r="M908" s="452"/>
      <c r="N908" s="452"/>
      <c r="O908" s="452"/>
      <c r="P908" s="452"/>
      <c r="Q908" s="452"/>
      <c r="R908" s="452"/>
      <c r="S908" s="452"/>
      <c r="T908" s="452"/>
      <c r="U908" s="452"/>
      <c r="V908" s="452"/>
      <c r="W908" s="452"/>
      <c r="X908" s="452"/>
      <c r="Y908" s="452"/>
    </row>
    <row r="909" spans="1:25" ht="15.6">
      <c r="A909" s="452"/>
      <c r="B909" s="452"/>
      <c r="C909" s="452"/>
      <c r="D909" s="452"/>
      <c r="E909" s="452"/>
      <c r="F909" s="452"/>
      <c r="G909" s="452"/>
      <c r="H909" s="452"/>
      <c r="I909" s="452"/>
      <c r="J909" s="452"/>
      <c r="K909" s="452"/>
      <c r="L909" s="452"/>
      <c r="M909" s="452"/>
      <c r="N909" s="452"/>
      <c r="O909" s="452"/>
      <c r="P909" s="452"/>
      <c r="Q909" s="452"/>
      <c r="R909" s="452"/>
      <c r="S909" s="452"/>
      <c r="T909" s="452"/>
      <c r="U909" s="452"/>
      <c r="V909" s="452"/>
      <c r="W909" s="452"/>
      <c r="X909" s="452"/>
      <c r="Y909" s="452"/>
    </row>
    <row r="910" spans="1:25" ht="15.6">
      <c r="A910" s="452"/>
      <c r="B910" s="452"/>
      <c r="C910" s="452"/>
      <c r="D910" s="452"/>
      <c r="E910" s="452"/>
      <c r="F910" s="452"/>
      <c r="G910" s="452"/>
      <c r="H910" s="452"/>
      <c r="I910" s="452"/>
      <c r="J910" s="452"/>
      <c r="K910" s="452"/>
      <c r="L910" s="452"/>
      <c r="M910" s="452"/>
      <c r="N910" s="452"/>
      <c r="O910" s="452"/>
      <c r="P910" s="452"/>
      <c r="Q910" s="452"/>
      <c r="R910" s="452"/>
      <c r="S910" s="452"/>
      <c r="T910" s="452"/>
      <c r="U910" s="452"/>
      <c r="V910" s="452"/>
      <c r="W910" s="452"/>
      <c r="X910" s="452"/>
      <c r="Y910" s="452"/>
    </row>
    <row r="911" spans="1:25" ht="15.6">
      <c r="A911" s="452"/>
      <c r="B911" s="452"/>
      <c r="C911" s="452"/>
      <c r="D911" s="452"/>
      <c r="E911" s="452"/>
      <c r="F911" s="452"/>
      <c r="G911" s="452"/>
      <c r="H911" s="452"/>
      <c r="I911" s="452"/>
      <c r="J911" s="452"/>
      <c r="K911" s="452"/>
      <c r="L911" s="452"/>
      <c r="M911" s="452"/>
      <c r="N911" s="452"/>
      <c r="O911" s="452"/>
      <c r="P911" s="452"/>
      <c r="Q911" s="452"/>
      <c r="R911" s="452"/>
      <c r="S911" s="452"/>
      <c r="T911" s="452"/>
      <c r="U911" s="452"/>
      <c r="V911" s="452"/>
      <c r="W911" s="452"/>
      <c r="X911" s="452"/>
      <c r="Y911" s="452"/>
    </row>
    <row r="912" spans="1:25" ht="15.6">
      <c r="A912" s="452"/>
      <c r="B912" s="452"/>
      <c r="C912" s="452"/>
      <c r="D912" s="452"/>
      <c r="E912" s="452"/>
      <c r="F912" s="452"/>
      <c r="G912" s="452"/>
      <c r="H912" s="452"/>
      <c r="I912" s="452"/>
      <c r="J912" s="452"/>
      <c r="K912" s="452"/>
      <c r="L912" s="452"/>
      <c r="M912" s="452"/>
      <c r="N912" s="452"/>
      <c r="O912" s="452"/>
      <c r="P912" s="452"/>
      <c r="Q912" s="452"/>
      <c r="R912" s="452"/>
      <c r="S912" s="452"/>
      <c r="T912" s="452"/>
      <c r="U912" s="452"/>
      <c r="V912" s="452"/>
      <c r="W912" s="452"/>
      <c r="X912" s="452"/>
      <c r="Y912" s="452"/>
    </row>
    <row r="913" spans="1:25" ht="15.6">
      <c r="A913" s="452"/>
      <c r="B913" s="452"/>
      <c r="C913" s="452"/>
      <c r="D913" s="452"/>
      <c r="E913" s="452"/>
      <c r="F913" s="452"/>
      <c r="G913" s="452"/>
      <c r="H913" s="452"/>
      <c r="I913" s="452"/>
      <c r="J913" s="452"/>
      <c r="K913" s="452"/>
      <c r="L913" s="452"/>
      <c r="M913" s="452"/>
      <c r="N913" s="452"/>
      <c r="O913" s="452"/>
      <c r="P913" s="452"/>
      <c r="Q913" s="452"/>
      <c r="R913" s="452"/>
      <c r="S913" s="452"/>
      <c r="T913" s="452"/>
      <c r="U913" s="452"/>
      <c r="V913" s="452"/>
      <c r="W913" s="452"/>
      <c r="X913" s="452"/>
      <c r="Y913" s="452"/>
    </row>
    <row r="914" spans="1:25" ht="15.6">
      <c r="A914" s="452"/>
      <c r="B914" s="452"/>
      <c r="C914" s="452"/>
      <c r="D914" s="452"/>
      <c r="E914" s="452"/>
      <c r="F914" s="452"/>
      <c r="G914" s="452"/>
      <c r="H914" s="452"/>
      <c r="I914" s="452"/>
      <c r="J914" s="452"/>
      <c r="K914" s="452"/>
      <c r="L914" s="452"/>
      <c r="M914" s="452"/>
      <c r="N914" s="452"/>
      <c r="O914" s="452"/>
      <c r="P914" s="452"/>
      <c r="Q914" s="452"/>
      <c r="R914" s="452"/>
      <c r="S914" s="452"/>
      <c r="T914" s="452"/>
      <c r="U914" s="452"/>
      <c r="V914" s="452"/>
      <c r="W914" s="452"/>
      <c r="X914" s="452"/>
      <c r="Y914" s="452"/>
    </row>
    <row r="915" spans="1:25" ht="15.6">
      <c r="A915" s="452"/>
      <c r="B915" s="452"/>
      <c r="C915" s="452"/>
      <c r="D915" s="452"/>
      <c r="E915" s="452"/>
      <c r="F915" s="452"/>
      <c r="G915" s="452"/>
      <c r="H915" s="452"/>
      <c r="I915" s="452"/>
      <c r="J915" s="452"/>
      <c r="K915" s="452"/>
      <c r="L915" s="452"/>
      <c r="M915" s="452"/>
      <c r="N915" s="452"/>
      <c r="O915" s="452"/>
      <c r="P915" s="452"/>
      <c r="Q915" s="452"/>
      <c r="R915" s="452"/>
      <c r="S915" s="452"/>
      <c r="T915" s="452"/>
      <c r="U915" s="452"/>
      <c r="V915" s="452"/>
      <c r="W915" s="452"/>
      <c r="X915" s="452"/>
      <c r="Y915" s="452"/>
    </row>
    <row r="916" spans="1:25" ht="15.6">
      <c r="A916" s="452"/>
      <c r="B916" s="452"/>
      <c r="C916" s="452"/>
      <c r="D916" s="452"/>
      <c r="E916" s="452"/>
      <c r="F916" s="452"/>
      <c r="G916" s="452"/>
      <c r="H916" s="452"/>
      <c r="I916" s="452"/>
      <c r="J916" s="452"/>
      <c r="K916" s="452"/>
      <c r="L916" s="452"/>
      <c r="M916" s="452"/>
      <c r="N916" s="452"/>
      <c r="O916" s="452"/>
      <c r="P916" s="452"/>
      <c r="Q916" s="452"/>
      <c r="R916" s="452"/>
      <c r="S916" s="452"/>
      <c r="T916" s="452"/>
      <c r="U916" s="452"/>
      <c r="V916" s="452"/>
      <c r="W916" s="452"/>
      <c r="X916" s="452"/>
      <c r="Y916" s="452"/>
    </row>
    <row r="917" spans="1:25" ht="15.6">
      <c r="A917" s="452"/>
      <c r="B917" s="452"/>
      <c r="C917" s="452"/>
      <c r="D917" s="452"/>
      <c r="E917" s="452"/>
      <c r="F917" s="452"/>
      <c r="G917" s="452"/>
      <c r="H917" s="452"/>
      <c r="I917" s="452"/>
      <c r="J917" s="452"/>
      <c r="K917" s="452"/>
      <c r="L917" s="452"/>
      <c r="M917" s="452"/>
      <c r="N917" s="452"/>
      <c r="O917" s="452"/>
      <c r="P917" s="452"/>
      <c r="Q917" s="452"/>
      <c r="R917" s="452"/>
      <c r="S917" s="452"/>
      <c r="T917" s="452"/>
      <c r="U917" s="452"/>
      <c r="V917" s="452"/>
      <c r="W917" s="452"/>
      <c r="X917" s="452"/>
      <c r="Y917" s="452"/>
    </row>
    <row r="918" spans="1:25" ht="15.6">
      <c r="A918" s="452"/>
      <c r="B918" s="452"/>
      <c r="C918" s="452"/>
      <c r="D918" s="452"/>
      <c r="E918" s="452"/>
      <c r="F918" s="452"/>
      <c r="G918" s="452"/>
      <c r="H918" s="452"/>
      <c r="I918" s="452"/>
      <c r="J918" s="452"/>
      <c r="K918" s="452"/>
      <c r="L918" s="452"/>
      <c r="M918" s="452"/>
      <c r="N918" s="452"/>
      <c r="O918" s="452"/>
      <c r="P918" s="452"/>
      <c r="Q918" s="452"/>
      <c r="R918" s="452"/>
      <c r="S918" s="452"/>
      <c r="T918" s="452"/>
      <c r="U918" s="452"/>
      <c r="V918" s="452"/>
      <c r="W918" s="452"/>
      <c r="X918" s="452"/>
      <c r="Y918" s="452"/>
    </row>
    <row r="919" spans="1:25" ht="15.6">
      <c r="A919" s="452"/>
      <c r="B919" s="452"/>
      <c r="C919" s="452"/>
      <c r="D919" s="452"/>
      <c r="E919" s="452"/>
      <c r="F919" s="452"/>
      <c r="G919" s="452"/>
      <c r="H919" s="452"/>
      <c r="I919" s="452"/>
      <c r="J919" s="452"/>
      <c r="K919" s="452"/>
      <c r="L919" s="452"/>
      <c r="M919" s="452"/>
      <c r="N919" s="452"/>
      <c r="O919" s="452"/>
      <c r="P919" s="452"/>
      <c r="Q919" s="452"/>
      <c r="R919" s="452"/>
      <c r="S919" s="452"/>
      <c r="T919" s="452"/>
      <c r="U919" s="452"/>
      <c r="V919" s="452"/>
      <c r="W919" s="452"/>
      <c r="X919" s="452"/>
      <c r="Y919" s="452"/>
    </row>
    <row r="920" spans="1:25" ht="15.6">
      <c r="A920" s="452"/>
      <c r="B920" s="452"/>
      <c r="C920" s="452"/>
      <c r="D920" s="452"/>
      <c r="E920" s="452"/>
      <c r="F920" s="452"/>
      <c r="G920" s="452"/>
      <c r="H920" s="452"/>
      <c r="I920" s="452"/>
      <c r="J920" s="452"/>
      <c r="K920" s="452"/>
      <c r="L920" s="452"/>
      <c r="M920" s="452"/>
      <c r="N920" s="452"/>
      <c r="O920" s="452"/>
      <c r="P920" s="452"/>
      <c r="Q920" s="452"/>
      <c r="R920" s="452"/>
      <c r="S920" s="452"/>
      <c r="T920" s="452"/>
      <c r="U920" s="452"/>
      <c r="V920" s="452"/>
      <c r="W920" s="452"/>
      <c r="X920" s="452"/>
      <c r="Y920" s="452"/>
    </row>
    <row r="921" spans="1:25" ht="15.6">
      <c r="A921" s="452"/>
      <c r="B921" s="452"/>
      <c r="C921" s="452"/>
      <c r="D921" s="452"/>
      <c r="E921" s="452"/>
      <c r="F921" s="452"/>
      <c r="G921" s="452"/>
      <c r="H921" s="452"/>
      <c r="I921" s="452"/>
      <c r="J921" s="452"/>
      <c r="K921" s="452"/>
      <c r="L921" s="452"/>
      <c r="M921" s="452"/>
      <c r="N921" s="452"/>
      <c r="O921" s="452"/>
      <c r="P921" s="452"/>
      <c r="Q921" s="452"/>
      <c r="R921" s="452"/>
      <c r="S921" s="452"/>
      <c r="T921" s="452"/>
      <c r="U921" s="452"/>
      <c r="V921" s="452"/>
      <c r="W921" s="452"/>
      <c r="X921" s="452"/>
      <c r="Y921" s="452"/>
    </row>
    <row r="922" spans="1:25" ht="15.6">
      <c r="A922" s="452"/>
      <c r="B922" s="452"/>
      <c r="C922" s="452"/>
      <c r="D922" s="452"/>
      <c r="E922" s="452"/>
      <c r="F922" s="452"/>
      <c r="G922" s="452"/>
      <c r="H922" s="452"/>
      <c r="I922" s="452"/>
      <c r="J922" s="452"/>
      <c r="K922" s="452"/>
      <c r="L922" s="452"/>
      <c r="M922" s="452"/>
      <c r="N922" s="452"/>
      <c r="O922" s="452"/>
      <c r="P922" s="452"/>
      <c r="Q922" s="452"/>
      <c r="R922" s="452"/>
      <c r="S922" s="452"/>
      <c r="T922" s="452"/>
      <c r="U922" s="452"/>
      <c r="V922" s="452"/>
      <c r="W922" s="452"/>
      <c r="X922" s="452"/>
      <c r="Y922" s="452"/>
    </row>
    <row r="923" spans="1:25" ht="15.6">
      <c r="A923" s="452"/>
      <c r="B923" s="452"/>
      <c r="C923" s="452"/>
      <c r="D923" s="452"/>
      <c r="E923" s="452"/>
      <c r="F923" s="452"/>
      <c r="G923" s="452"/>
      <c r="H923" s="452"/>
      <c r="I923" s="452"/>
      <c r="J923" s="452"/>
      <c r="K923" s="452"/>
      <c r="L923" s="452"/>
      <c r="M923" s="452"/>
      <c r="N923" s="452"/>
      <c r="O923" s="452"/>
      <c r="P923" s="452"/>
      <c r="Q923" s="452"/>
      <c r="R923" s="452"/>
      <c r="S923" s="452"/>
      <c r="T923" s="452"/>
      <c r="U923" s="452"/>
      <c r="V923" s="452"/>
      <c r="W923" s="452"/>
      <c r="X923" s="452"/>
      <c r="Y923" s="452"/>
    </row>
    <row r="924" spans="1:25" ht="15.6">
      <c r="A924" s="452"/>
      <c r="B924" s="452"/>
      <c r="C924" s="452"/>
      <c r="D924" s="452"/>
      <c r="E924" s="452"/>
      <c r="F924" s="452"/>
      <c r="G924" s="452"/>
      <c r="H924" s="452"/>
      <c r="I924" s="452"/>
      <c r="J924" s="452"/>
      <c r="K924" s="452"/>
      <c r="L924" s="452"/>
      <c r="M924" s="452"/>
      <c r="N924" s="452"/>
      <c r="O924" s="452"/>
      <c r="P924" s="452"/>
      <c r="Q924" s="452"/>
      <c r="R924" s="452"/>
      <c r="S924" s="452"/>
      <c r="T924" s="452"/>
      <c r="U924" s="452"/>
      <c r="V924" s="452"/>
      <c r="W924" s="452"/>
      <c r="X924" s="452"/>
      <c r="Y924" s="452"/>
    </row>
    <row r="925" spans="1:25" ht="15.6">
      <c r="A925" s="452"/>
      <c r="B925" s="452"/>
      <c r="C925" s="452"/>
      <c r="D925" s="452"/>
      <c r="E925" s="452"/>
      <c r="F925" s="452"/>
      <c r="G925" s="452"/>
      <c r="H925" s="452"/>
      <c r="I925" s="452"/>
      <c r="J925" s="452"/>
      <c r="K925" s="452"/>
      <c r="L925" s="452"/>
      <c r="M925" s="452"/>
      <c r="N925" s="452"/>
      <c r="O925" s="452"/>
      <c r="P925" s="452"/>
      <c r="Q925" s="452"/>
      <c r="R925" s="452"/>
      <c r="S925" s="452"/>
      <c r="T925" s="452"/>
      <c r="U925" s="452"/>
      <c r="V925" s="452"/>
      <c r="W925" s="452"/>
      <c r="X925" s="452"/>
      <c r="Y925" s="452"/>
    </row>
    <row r="926" spans="1:25" ht="15.6">
      <c r="A926" s="452"/>
      <c r="B926" s="452"/>
      <c r="C926" s="452"/>
      <c r="D926" s="452"/>
      <c r="E926" s="452"/>
      <c r="F926" s="452"/>
      <c r="G926" s="452"/>
      <c r="H926" s="452"/>
      <c r="I926" s="452"/>
      <c r="J926" s="452"/>
      <c r="K926" s="452"/>
      <c r="L926" s="452"/>
      <c r="M926" s="452"/>
      <c r="N926" s="452"/>
      <c r="O926" s="452"/>
      <c r="P926" s="452"/>
      <c r="Q926" s="452"/>
      <c r="R926" s="452"/>
      <c r="S926" s="452"/>
      <c r="T926" s="452"/>
      <c r="U926" s="452"/>
      <c r="V926" s="452"/>
      <c r="W926" s="452"/>
      <c r="X926" s="452"/>
      <c r="Y926" s="452"/>
    </row>
    <row r="927" spans="1:25" ht="15.6">
      <c r="A927" s="452"/>
      <c r="B927" s="452"/>
      <c r="C927" s="452"/>
      <c r="D927" s="452"/>
      <c r="E927" s="452"/>
      <c r="F927" s="452"/>
      <c r="G927" s="452"/>
      <c r="H927" s="452"/>
      <c r="I927" s="452"/>
      <c r="J927" s="452"/>
      <c r="K927" s="452"/>
      <c r="L927" s="452"/>
      <c r="M927" s="452"/>
      <c r="N927" s="452"/>
      <c r="O927" s="452"/>
      <c r="P927" s="452"/>
      <c r="Q927" s="452"/>
      <c r="R927" s="452"/>
      <c r="S927" s="452"/>
      <c r="T927" s="452"/>
      <c r="U927" s="452"/>
      <c r="V927" s="452"/>
      <c r="W927" s="452"/>
      <c r="X927" s="452"/>
      <c r="Y927" s="452"/>
    </row>
    <row r="928" spans="1:25" ht="15.6">
      <c r="A928" s="452"/>
      <c r="B928" s="452"/>
      <c r="C928" s="452"/>
      <c r="D928" s="452"/>
      <c r="E928" s="452"/>
      <c r="F928" s="452"/>
      <c r="G928" s="452"/>
      <c r="H928" s="452"/>
      <c r="I928" s="452"/>
      <c r="J928" s="452"/>
      <c r="K928" s="452"/>
      <c r="L928" s="452"/>
      <c r="M928" s="452"/>
      <c r="N928" s="452"/>
      <c r="O928" s="452"/>
      <c r="P928" s="452"/>
      <c r="Q928" s="452"/>
      <c r="R928" s="452"/>
      <c r="S928" s="452"/>
      <c r="T928" s="452"/>
      <c r="U928" s="452"/>
      <c r="V928" s="452"/>
      <c r="W928" s="452"/>
      <c r="X928" s="452"/>
      <c r="Y928" s="452"/>
    </row>
    <row r="929" spans="1:25" ht="15.6">
      <c r="A929" s="452"/>
      <c r="B929" s="452"/>
      <c r="C929" s="452"/>
      <c r="D929" s="452"/>
      <c r="E929" s="452"/>
      <c r="F929" s="452"/>
      <c r="G929" s="452"/>
      <c r="H929" s="452"/>
      <c r="I929" s="452"/>
      <c r="J929" s="452"/>
      <c r="K929" s="452"/>
      <c r="L929" s="452"/>
      <c r="M929" s="452"/>
      <c r="N929" s="452"/>
      <c r="O929" s="452"/>
      <c r="P929" s="452"/>
      <c r="Q929" s="452"/>
      <c r="R929" s="452"/>
      <c r="S929" s="452"/>
      <c r="T929" s="452"/>
      <c r="U929" s="452"/>
      <c r="V929" s="452"/>
      <c r="W929" s="452"/>
      <c r="X929" s="452"/>
      <c r="Y929" s="452"/>
    </row>
    <row r="930" spans="1:25" ht="15.6">
      <c r="A930" s="452"/>
      <c r="B930" s="452"/>
      <c r="C930" s="452"/>
      <c r="D930" s="452"/>
      <c r="E930" s="452"/>
      <c r="F930" s="452"/>
      <c r="G930" s="452"/>
      <c r="H930" s="452"/>
      <c r="I930" s="452"/>
      <c r="J930" s="452"/>
      <c r="K930" s="452"/>
      <c r="L930" s="452"/>
      <c r="M930" s="452"/>
      <c r="N930" s="452"/>
      <c r="O930" s="452"/>
      <c r="P930" s="452"/>
      <c r="Q930" s="452"/>
      <c r="R930" s="452"/>
      <c r="S930" s="452"/>
      <c r="T930" s="452"/>
      <c r="U930" s="452"/>
      <c r="V930" s="452"/>
      <c r="W930" s="452"/>
      <c r="X930" s="452"/>
      <c r="Y930" s="452"/>
    </row>
    <row r="931" spans="1:25" ht="15.6">
      <c r="A931" s="452"/>
      <c r="B931" s="452"/>
      <c r="C931" s="452"/>
      <c r="D931" s="452"/>
      <c r="E931" s="452"/>
      <c r="F931" s="452"/>
      <c r="G931" s="452"/>
      <c r="H931" s="452"/>
      <c r="I931" s="452"/>
      <c r="J931" s="452"/>
      <c r="K931" s="452"/>
      <c r="L931" s="452"/>
      <c r="M931" s="452"/>
      <c r="N931" s="452"/>
      <c r="O931" s="452"/>
      <c r="P931" s="452"/>
      <c r="Q931" s="452"/>
      <c r="R931" s="452"/>
      <c r="S931" s="452"/>
      <c r="T931" s="452"/>
      <c r="U931" s="452"/>
      <c r="V931" s="452"/>
      <c r="W931" s="452"/>
      <c r="X931" s="452"/>
      <c r="Y931" s="452"/>
    </row>
    <row r="932" spans="1:25" ht="15.6">
      <c r="A932" s="452"/>
      <c r="B932" s="452"/>
      <c r="C932" s="452"/>
      <c r="D932" s="452"/>
      <c r="E932" s="452"/>
      <c r="F932" s="452"/>
      <c r="G932" s="452"/>
      <c r="H932" s="452"/>
      <c r="I932" s="452"/>
      <c r="J932" s="452"/>
      <c r="K932" s="452"/>
      <c r="L932" s="452"/>
      <c r="M932" s="452"/>
      <c r="N932" s="452"/>
      <c r="O932" s="452"/>
      <c r="P932" s="452"/>
      <c r="Q932" s="452"/>
      <c r="R932" s="452"/>
      <c r="S932" s="452"/>
      <c r="T932" s="452"/>
      <c r="U932" s="452"/>
      <c r="V932" s="452"/>
      <c r="W932" s="452"/>
      <c r="X932" s="452"/>
      <c r="Y932" s="452"/>
    </row>
    <row r="933" spans="1:25" ht="15.6">
      <c r="A933" s="452"/>
      <c r="B933" s="452"/>
      <c r="C933" s="452"/>
      <c r="D933" s="452"/>
      <c r="E933" s="452"/>
      <c r="F933" s="452"/>
      <c r="G933" s="452"/>
      <c r="H933" s="452"/>
      <c r="I933" s="452"/>
      <c r="J933" s="452"/>
      <c r="K933" s="452"/>
      <c r="L933" s="452"/>
      <c r="M933" s="452"/>
      <c r="N933" s="452"/>
      <c r="O933" s="452"/>
      <c r="P933" s="452"/>
      <c r="Q933" s="452"/>
      <c r="R933" s="452"/>
      <c r="S933" s="452"/>
      <c r="T933" s="452"/>
      <c r="U933" s="452"/>
      <c r="V933" s="452"/>
      <c r="W933" s="452"/>
      <c r="X933" s="452"/>
      <c r="Y933" s="452"/>
    </row>
    <row r="934" spans="1:25" ht="15.6">
      <c r="A934" s="452"/>
      <c r="B934" s="452"/>
      <c r="C934" s="452"/>
      <c r="D934" s="452"/>
      <c r="E934" s="452"/>
      <c r="F934" s="452"/>
      <c r="G934" s="452"/>
      <c r="H934" s="452"/>
      <c r="I934" s="452"/>
      <c r="J934" s="452"/>
      <c r="K934" s="452"/>
      <c r="L934" s="452"/>
      <c r="M934" s="452"/>
      <c r="N934" s="452"/>
      <c r="O934" s="452"/>
      <c r="P934" s="452"/>
      <c r="Q934" s="452"/>
      <c r="R934" s="452"/>
      <c r="S934" s="452"/>
      <c r="T934" s="452"/>
      <c r="U934" s="452"/>
      <c r="V934" s="452"/>
      <c r="W934" s="452"/>
      <c r="X934" s="452"/>
      <c r="Y934" s="452"/>
    </row>
    <row r="935" spans="1:25" ht="15.6">
      <c r="A935" s="452"/>
      <c r="B935" s="452"/>
      <c r="C935" s="452"/>
      <c r="D935" s="452"/>
      <c r="E935" s="452"/>
      <c r="F935" s="452"/>
      <c r="G935" s="452"/>
      <c r="H935" s="452"/>
      <c r="I935" s="452"/>
      <c r="J935" s="452"/>
      <c r="K935" s="452"/>
      <c r="L935" s="452"/>
      <c r="M935" s="452"/>
      <c r="N935" s="452"/>
      <c r="O935" s="452"/>
      <c r="P935" s="452"/>
      <c r="Q935" s="452"/>
      <c r="R935" s="452"/>
      <c r="S935" s="452"/>
      <c r="T935" s="452"/>
      <c r="U935" s="452"/>
      <c r="V935" s="452"/>
      <c r="W935" s="452"/>
      <c r="X935" s="452"/>
      <c r="Y935" s="452"/>
    </row>
    <row r="936" spans="1:25" ht="15.6">
      <c r="A936" s="452"/>
      <c r="B936" s="452"/>
      <c r="C936" s="452"/>
      <c r="D936" s="452"/>
      <c r="E936" s="452"/>
      <c r="F936" s="452"/>
      <c r="G936" s="452"/>
      <c r="H936" s="452"/>
      <c r="I936" s="452"/>
      <c r="J936" s="452"/>
      <c r="K936" s="452"/>
      <c r="L936" s="452"/>
      <c r="M936" s="452"/>
      <c r="N936" s="452"/>
      <c r="O936" s="452"/>
      <c r="P936" s="452"/>
      <c r="Q936" s="452"/>
      <c r="R936" s="452"/>
      <c r="S936" s="452"/>
      <c r="T936" s="452"/>
      <c r="U936" s="452"/>
      <c r="V936" s="452"/>
      <c r="W936" s="452"/>
      <c r="X936" s="452"/>
      <c r="Y936" s="452"/>
    </row>
    <row r="937" spans="1:25" ht="15.6">
      <c r="A937" s="452"/>
      <c r="B937" s="452"/>
      <c r="C937" s="452"/>
      <c r="D937" s="452"/>
      <c r="E937" s="452"/>
      <c r="F937" s="452"/>
      <c r="G937" s="452"/>
      <c r="H937" s="452"/>
      <c r="I937" s="452"/>
      <c r="J937" s="452"/>
      <c r="K937" s="452"/>
      <c r="L937" s="452"/>
      <c r="M937" s="452"/>
      <c r="N937" s="452"/>
      <c r="O937" s="452"/>
      <c r="P937" s="452"/>
      <c r="Q937" s="452"/>
      <c r="R937" s="452"/>
      <c r="S937" s="452"/>
      <c r="T937" s="452"/>
      <c r="U937" s="452"/>
      <c r="V937" s="452"/>
      <c r="W937" s="452"/>
      <c r="X937" s="452"/>
      <c r="Y937" s="452"/>
    </row>
    <row r="938" spans="1:25" ht="15.6">
      <c r="A938" s="452"/>
      <c r="B938" s="452"/>
      <c r="C938" s="452"/>
      <c r="D938" s="452"/>
      <c r="E938" s="452"/>
      <c r="F938" s="452"/>
      <c r="G938" s="452"/>
      <c r="H938" s="452"/>
      <c r="I938" s="452"/>
      <c r="J938" s="452"/>
      <c r="K938" s="452"/>
      <c r="L938" s="452"/>
      <c r="M938" s="452"/>
      <c r="N938" s="452"/>
      <c r="O938" s="452"/>
      <c r="P938" s="452"/>
      <c r="Q938" s="452"/>
      <c r="R938" s="452"/>
      <c r="S938" s="452"/>
      <c r="T938" s="452"/>
      <c r="U938" s="452"/>
      <c r="V938" s="452"/>
      <c r="W938" s="452"/>
      <c r="X938" s="452"/>
      <c r="Y938" s="452"/>
    </row>
    <row r="939" spans="1:25" ht="15.6">
      <c r="A939" s="452"/>
      <c r="B939" s="452"/>
      <c r="C939" s="452"/>
      <c r="D939" s="452"/>
      <c r="E939" s="452"/>
      <c r="F939" s="452"/>
      <c r="G939" s="452"/>
      <c r="H939" s="452"/>
      <c r="I939" s="452"/>
      <c r="J939" s="452"/>
      <c r="K939" s="452"/>
      <c r="L939" s="452"/>
      <c r="M939" s="452"/>
      <c r="N939" s="452"/>
      <c r="O939" s="452"/>
      <c r="P939" s="452"/>
      <c r="Q939" s="452"/>
      <c r="R939" s="452"/>
      <c r="S939" s="452"/>
      <c r="T939" s="452"/>
      <c r="U939" s="452"/>
      <c r="V939" s="452"/>
      <c r="W939" s="452"/>
      <c r="X939" s="452"/>
      <c r="Y939" s="452"/>
    </row>
    <row r="940" spans="1:25" ht="15.6">
      <c r="A940" s="452"/>
      <c r="B940" s="452"/>
      <c r="C940" s="452"/>
      <c r="D940" s="452"/>
      <c r="E940" s="452"/>
      <c r="F940" s="452"/>
      <c r="G940" s="452"/>
      <c r="H940" s="452"/>
      <c r="I940" s="452"/>
      <c r="J940" s="452"/>
      <c r="K940" s="452"/>
      <c r="L940" s="452"/>
      <c r="M940" s="452"/>
      <c r="N940" s="452"/>
      <c r="O940" s="452"/>
      <c r="P940" s="452"/>
      <c r="Q940" s="452"/>
      <c r="R940" s="452"/>
      <c r="S940" s="452"/>
      <c r="T940" s="452"/>
      <c r="U940" s="452"/>
      <c r="V940" s="452"/>
      <c r="W940" s="452"/>
      <c r="X940" s="452"/>
      <c r="Y940" s="452"/>
    </row>
    <row r="941" spans="1:25" ht="15.6">
      <c r="A941" s="452"/>
      <c r="B941" s="452"/>
      <c r="C941" s="452"/>
      <c r="D941" s="452"/>
      <c r="E941" s="452"/>
      <c r="F941" s="452"/>
      <c r="G941" s="452"/>
      <c r="H941" s="452"/>
      <c r="I941" s="452"/>
      <c r="J941" s="452"/>
      <c r="K941" s="452"/>
      <c r="L941" s="452"/>
      <c r="M941" s="452"/>
      <c r="N941" s="452"/>
      <c r="O941" s="452"/>
      <c r="P941" s="452"/>
      <c r="Q941" s="452"/>
      <c r="R941" s="452"/>
      <c r="S941" s="452"/>
      <c r="T941" s="452"/>
      <c r="U941" s="452"/>
      <c r="V941" s="452"/>
      <c r="W941" s="452"/>
      <c r="X941" s="452"/>
      <c r="Y941" s="452"/>
    </row>
    <row r="942" spans="1:25" ht="15.6">
      <c r="A942" s="452"/>
      <c r="B942" s="452"/>
      <c r="C942" s="452"/>
      <c r="D942" s="452"/>
      <c r="E942" s="452"/>
      <c r="F942" s="452"/>
      <c r="G942" s="452"/>
      <c r="H942" s="452"/>
      <c r="I942" s="452"/>
      <c r="J942" s="452"/>
      <c r="K942" s="452"/>
      <c r="L942" s="452"/>
      <c r="M942" s="452"/>
      <c r="N942" s="452"/>
      <c r="O942" s="452"/>
      <c r="P942" s="452"/>
      <c r="Q942" s="452"/>
      <c r="R942" s="452"/>
      <c r="S942" s="452"/>
      <c r="T942" s="452"/>
      <c r="U942" s="452"/>
      <c r="V942" s="452"/>
      <c r="W942" s="452"/>
      <c r="X942" s="452"/>
      <c r="Y942" s="452"/>
    </row>
    <row r="943" spans="1:25" ht="15.6">
      <c r="A943" s="452"/>
      <c r="B943" s="452"/>
      <c r="C943" s="452"/>
      <c r="D943" s="452"/>
      <c r="E943" s="452"/>
      <c r="F943" s="452"/>
      <c r="G943" s="452"/>
      <c r="H943" s="452"/>
      <c r="I943" s="452"/>
      <c r="J943" s="452"/>
      <c r="K943" s="452"/>
      <c r="L943" s="452"/>
      <c r="M943" s="452"/>
      <c r="N943" s="452"/>
      <c r="O943" s="452"/>
      <c r="P943" s="452"/>
      <c r="Q943" s="452"/>
      <c r="R943" s="452"/>
      <c r="S943" s="452"/>
      <c r="T943" s="452"/>
      <c r="U943" s="452"/>
      <c r="V943" s="452"/>
      <c r="W943" s="452"/>
      <c r="X943" s="452"/>
      <c r="Y943" s="452"/>
    </row>
    <row r="944" spans="1:25" ht="15.6">
      <c r="A944" s="452"/>
      <c r="B944" s="452"/>
      <c r="C944" s="452"/>
      <c r="D944" s="452"/>
      <c r="E944" s="452"/>
      <c r="F944" s="452"/>
      <c r="G944" s="452"/>
      <c r="H944" s="452"/>
      <c r="I944" s="452"/>
      <c r="J944" s="452"/>
      <c r="K944" s="452"/>
      <c r="L944" s="452"/>
      <c r="M944" s="452"/>
      <c r="N944" s="452"/>
      <c r="O944" s="452"/>
      <c r="P944" s="452"/>
      <c r="Q944" s="452"/>
      <c r="R944" s="452"/>
      <c r="S944" s="452"/>
      <c r="T944" s="452"/>
      <c r="U944" s="452"/>
      <c r="V944" s="452"/>
      <c r="W944" s="452"/>
      <c r="X944" s="452"/>
      <c r="Y944" s="452"/>
    </row>
    <row r="945" spans="1:25" ht="15.6">
      <c r="A945" s="452"/>
      <c r="B945" s="452"/>
      <c r="C945" s="452"/>
      <c r="D945" s="452"/>
      <c r="E945" s="452"/>
      <c r="F945" s="452"/>
      <c r="G945" s="452"/>
      <c r="H945" s="452"/>
      <c r="I945" s="452"/>
      <c r="J945" s="452"/>
      <c r="K945" s="452"/>
      <c r="L945" s="452"/>
      <c r="M945" s="452"/>
      <c r="N945" s="452"/>
      <c r="O945" s="452"/>
      <c r="P945" s="452"/>
      <c r="Q945" s="452"/>
      <c r="R945" s="452"/>
      <c r="S945" s="452"/>
      <c r="T945" s="452"/>
      <c r="U945" s="452"/>
      <c r="V945" s="452"/>
      <c r="W945" s="452"/>
      <c r="X945" s="452"/>
      <c r="Y945" s="452"/>
    </row>
    <row r="946" spans="1:25" ht="15.6">
      <c r="A946" s="452"/>
      <c r="B946" s="452"/>
      <c r="C946" s="452"/>
      <c r="D946" s="452"/>
      <c r="E946" s="452"/>
      <c r="F946" s="452"/>
      <c r="G946" s="452"/>
      <c r="H946" s="452"/>
      <c r="I946" s="452"/>
      <c r="J946" s="452"/>
      <c r="K946" s="452"/>
      <c r="L946" s="452"/>
      <c r="M946" s="452"/>
      <c r="N946" s="452"/>
      <c r="O946" s="452"/>
      <c r="P946" s="452"/>
      <c r="Q946" s="452"/>
      <c r="R946" s="452"/>
      <c r="S946" s="452"/>
      <c r="T946" s="452"/>
      <c r="U946" s="452"/>
      <c r="V946" s="452"/>
      <c r="W946" s="452"/>
      <c r="X946" s="452"/>
      <c r="Y946" s="452"/>
    </row>
    <row r="947" spans="1:25" ht="15.6">
      <c r="A947" s="452"/>
      <c r="B947" s="452"/>
      <c r="C947" s="452"/>
      <c r="D947" s="452"/>
      <c r="E947" s="452"/>
      <c r="F947" s="452"/>
      <c r="G947" s="452"/>
      <c r="H947" s="452"/>
      <c r="I947" s="452"/>
      <c r="J947" s="452"/>
      <c r="K947" s="452"/>
      <c r="L947" s="452"/>
      <c r="M947" s="452"/>
      <c r="N947" s="452"/>
      <c r="O947" s="452"/>
      <c r="P947" s="452"/>
      <c r="Q947" s="452"/>
      <c r="R947" s="452"/>
      <c r="S947" s="452"/>
      <c r="T947" s="452"/>
      <c r="U947" s="452"/>
      <c r="V947" s="452"/>
      <c r="W947" s="452"/>
      <c r="X947" s="452"/>
      <c r="Y947" s="452"/>
    </row>
    <row r="948" spans="1:25" ht="15.6">
      <c r="A948" s="452"/>
      <c r="B948" s="452"/>
      <c r="C948" s="452"/>
      <c r="D948" s="452"/>
      <c r="E948" s="452"/>
      <c r="F948" s="452"/>
      <c r="G948" s="452"/>
      <c r="H948" s="452"/>
      <c r="I948" s="452"/>
      <c r="J948" s="452"/>
      <c r="K948" s="452"/>
      <c r="L948" s="452"/>
      <c r="M948" s="452"/>
      <c r="N948" s="452"/>
      <c r="O948" s="452"/>
      <c r="P948" s="452"/>
      <c r="Q948" s="452"/>
      <c r="R948" s="452"/>
      <c r="S948" s="452"/>
      <c r="T948" s="452"/>
      <c r="U948" s="452"/>
      <c r="V948" s="452"/>
      <c r="W948" s="452"/>
      <c r="X948" s="452"/>
      <c r="Y948" s="452"/>
    </row>
    <row r="949" spans="1:25" ht="15.6">
      <c r="A949" s="452"/>
      <c r="B949" s="452"/>
      <c r="C949" s="452"/>
      <c r="D949" s="452"/>
      <c r="E949" s="452"/>
      <c r="F949" s="452"/>
      <c r="G949" s="452"/>
      <c r="H949" s="452"/>
      <c r="I949" s="452"/>
      <c r="J949" s="452"/>
      <c r="K949" s="452"/>
      <c r="L949" s="452"/>
      <c r="M949" s="452"/>
      <c r="N949" s="452"/>
      <c r="O949" s="452"/>
      <c r="P949" s="452"/>
      <c r="Q949" s="452"/>
      <c r="R949" s="452"/>
      <c r="S949" s="452"/>
      <c r="T949" s="452"/>
      <c r="U949" s="452"/>
      <c r="V949" s="452"/>
      <c r="W949" s="452"/>
      <c r="X949" s="452"/>
      <c r="Y949" s="452"/>
    </row>
    <row r="950" spans="1:25" ht="15.6">
      <c r="A950" s="452"/>
      <c r="B950" s="452"/>
      <c r="C950" s="452"/>
      <c r="D950" s="452"/>
      <c r="E950" s="452"/>
      <c r="F950" s="452"/>
      <c r="G950" s="452"/>
      <c r="H950" s="452"/>
      <c r="I950" s="452"/>
      <c r="J950" s="452"/>
      <c r="K950" s="452"/>
      <c r="L950" s="452"/>
      <c r="M950" s="452"/>
      <c r="N950" s="452"/>
      <c r="O950" s="452"/>
      <c r="P950" s="452"/>
      <c r="Q950" s="452"/>
      <c r="R950" s="452"/>
      <c r="S950" s="452"/>
      <c r="T950" s="452"/>
      <c r="U950" s="452"/>
      <c r="V950" s="452"/>
      <c r="W950" s="452"/>
      <c r="X950" s="452"/>
      <c r="Y950" s="452"/>
    </row>
    <row r="951" spans="1:25" ht="15.6">
      <c r="A951" s="452"/>
      <c r="B951" s="452"/>
      <c r="C951" s="452"/>
      <c r="D951" s="452"/>
      <c r="E951" s="452"/>
      <c r="F951" s="452"/>
      <c r="G951" s="452"/>
      <c r="H951" s="452"/>
      <c r="I951" s="452"/>
      <c r="J951" s="452"/>
      <c r="K951" s="452"/>
      <c r="L951" s="452"/>
      <c r="M951" s="452"/>
      <c r="N951" s="452"/>
      <c r="O951" s="452"/>
      <c r="P951" s="452"/>
      <c r="Q951" s="452"/>
      <c r="R951" s="452"/>
      <c r="S951" s="452"/>
      <c r="T951" s="452"/>
      <c r="U951" s="452"/>
      <c r="V951" s="452"/>
      <c r="W951" s="452"/>
      <c r="X951" s="452"/>
      <c r="Y951" s="452"/>
    </row>
    <row r="952" spans="1:25" ht="15.6">
      <c r="A952" s="452"/>
      <c r="B952" s="452"/>
      <c r="C952" s="452"/>
      <c r="D952" s="452"/>
      <c r="E952" s="452"/>
      <c r="F952" s="452"/>
      <c r="G952" s="452"/>
      <c r="H952" s="452"/>
      <c r="I952" s="452"/>
      <c r="J952" s="452"/>
      <c r="K952" s="452"/>
      <c r="L952" s="452"/>
      <c r="M952" s="452"/>
      <c r="N952" s="452"/>
      <c r="O952" s="452"/>
      <c r="P952" s="452"/>
      <c r="Q952" s="452"/>
      <c r="R952" s="452"/>
      <c r="S952" s="452"/>
      <c r="T952" s="452"/>
      <c r="U952" s="452"/>
      <c r="V952" s="452"/>
      <c r="W952" s="452"/>
      <c r="X952" s="452"/>
      <c r="Y952" s="452"/>
    </row>
    <row r="953" spans="1:25" ht="15.6">
      <c r="A953" s="452"/>
      <c r="B953" s="452"/>
      <c r="C953" s="452"/>
      <c r="D953" s="452"/>
      <c r="E953" s="452"/>
      <c r="F953" s="452"/>
      <c r="G953" s="452"/>
      <c r="H953" s="452"/>
      <c r="I953" s="452"/>
      <c r="J953" s="452"/>
      <c r="K953" s="452"/>
      <c r="L953" s="452"/>
      <c r="M953" s="452"/>
      <c r="N953" s="452"/>
      <c r="O953" s="452"/>
      <c r="P953" s="452"/>
      <c r="Q953" s="452"/>
      <c r="R953" s="452"/>
      <c r="S953" s="452"/>
      <c r="T953" s="452"/>
      <c r="U953" s="452"/>
      <c r="V953" s="452"/>
      <c r="W953" s="452"/>
      <c r="X953" s="452"/>
      <c r="Y953" s="452"/>
    </row>
    <row r="954" spans="1:25" ht="15.6">
      <c r="A954" s="452"/>
      <c r="B954" s="452"/>
      <c r="C954" s="452"/>
      <c r="D954" s="452"/>
      <c r="E954" s="452"/>
      <c r="F954" s="452"/>
      <c r="G954" s="452"/>
      <c r="H954" s="452"/>
      <c r="I954" s="452"/>
      <c r="J954" s="452"/>
      <c r="K954" s="452"/>
      <c r="L954" s="452"/>
      <c r="M954" s="452"/>
      <c r="N954" s="452"/>
      <c r="O954" s="452"/>
      <c r="P954" s="452"/>
      <c r="Q954" s="452"/>
      <c r="R954" s="452"/>
      <c r="S954" s="452"/>
      <c r="T954" s="452"/>
      <c r="U954" s="452"/>
      <c r="V954" s="452"/>
      <c r="W954" s="452"/>
      <c r="X954" s="452"/>
      <c r="Y954" s="452"/>
    </row>
    <row r="955" spans="1:25" ht="15.6">
      <c r="A955" s="452"/>
      <c r="B955" s="452"/>
      <c r="C955" s="452"/>
      <c r="D955" s="452"/>
      <c r="E955" s="452"/>
      <c r="F955" s="452"/>
      <c r="G955" s="452"/>
      <c r="H955" s="452"/>
      <c r="I955" s="452"/>
      <c r="J955" s="452"/>
      <c r="K955" s="452"/>
      <c r="L955" s="452"/>
      <c r="M955" s="452"/>
      <c r="N955" s="452"/>
      <c r="O955" s="452"/>
      <c r="P955" s="452"/>
      <c r="Q955" s="452"/>
      <c r="R955" s="452"/>
      <c r="S955" s="452"/>
      <c r="T955" s="452"/>
      <c r="U955" s="452"/>
      <c r="V955" s="452"/>
      <c r="W955" s="452"/>
      <c r="X955" s="452"/>
      <c r="Y955" s="452"/>
    </row>
    <row r="956" spans="1:25" ht="15.6">
      <c r="A956" s="452"/>
      <c r="B956" s="452"/>
      <c r="C956" s="452"/>
      <c r="D956" s="452"/>
      <c r="E956" s="452"/>
      <c r="F956" s="452"/>
      <c r="G956" s="452"/>
      <c r="H956" s="452"/>
      <c r="I956" s="452"/>
      <c r="J956" s="452"/>
      <c r="K956" s="452"/>
      <c r="L956" s="452"/>
      <c r="M956" s="452"/>
      <c r="N956" s="452"/>
      <c r="O956" s="452"/>
      <c r="P956" s="452"/>
      <c r="Q956" s="452"/>
      <c r="R956" s="452"/>
      <c r="S956" s="452"/>
      <c r="T956" s="452"/>
      <c r="U956" s="452"/>
      <c r="V956" s="452"/>
      <c r="W956" s="452"/>
      <c r="X956" s="452"/>
      <c r="Y956" s="452"/>
    </row>
    <row r="957" spans="1:25" ht="15.6">
      <c r="A957" s="452"/>
      <c r="B957" s="452"/>
      <c r="C957" s="452"/>
      <c r="D957" s="452"/>
      <c r="E957" s="452"/>
      <c r="F957" s="452"/>
      <c r="G957" s="452"/>
      <c r="H957" s="452"/>
      <c r="I957" s="452"/>
      <c r="J957" s="452"/>
      <c r="K957" s="452"/>
      <c r="L957" s="452"/>
      <c r="M957" s="452"/>
      <c r="N957" s="452"/>
      <c r="O957" s="452"/>
      <c r="P957" s="452"/>
      <c r="Q957" s="452"/>
      <c r="R957" s="452"/>
      <c r="S957" s="452"/>
      <c r="T957" s="452"/>
      <c r="U957" s="452"/>
      <c r="V957" s="452"/>
      <c r="W957" s="452"/>
      <c r="X957" s="452"/>
      <c r="Y957" s="452"/>
    </row>
    <row r="958" spans="1:25" ht="15.6">
      <c r="A958" s="452"/>
      <c r="B958" s="452"/>
      <c r="C958" s="452"/>
      <c r="D958" s="452"/>
      <c r="E958" s="452"/>
      <c r="F958" s="452"/>
      <c r="G958" s="452"/>
      <c r="H958" s="452"/>
      <c r="I958" s="452"/>
      <c r="J958" s="452"/>
      <c r="K958" s="452"/>
      <c r="L958" s="452"/>
      <c r="M958" s="452"/>
      <c r="N958" s="452"/>
      <c r="O958" s="452"/>
      <c r="P958" s="452"/>
      <c r="Q958" s="452"/>
      <c r="R958" s="452"/>
      <c r="S958" s="452"/>
      <c r="T958" s="452"/>
      <c r="U958" s="452"/>
      <c r="V958" s="452"/>
      <c r="W958" s="452"/>
      <c r="X958" s="452"/>
      <c r="Y958" s="452"/>
    </row>
    <row r="959" spans="1:25" ht="15.6">
      <c r="A959" s="452"/>
      <c r="B959" s="452"/>
      <c r="C959" s="452"/>
      <c r="D959" s="452"/>
      <c r="E959" s="452"/>
      <c r="F959" s="452"/>
      <c r="G959" s="452"/>
      <c r="H959" s="452"/>
      <c r="I959" s="452"/>
      <c r="J959" s="452"/>
      <c r="K959" s="452"/>
      <c r="L959" s="452"/>
      <c r="M959" s="452"/>
      <c r="N959" s="452"/>
      <c r="O959" s="452"/>
      <c r="P959" s="452"/>
      <c r="Q959" s="452"/>
      <c r="R959" s="452"/>
      <c r="S959" s="452"/>
      <c r="T959" s="452"/>
      <c r="U959" s="452"/>
      <c r="V959" s="452"/>
      <c r="W959" s="452"/>
      <c r="X959" s="452"/>
      <c r="Y959" s="452"/>
    </row>
    <row r="960" spans="1:25" ht="15.6">
      <c r="A960" s="452"/>
      <c r="B960" s="452"/>
      <c r="C960" s="452"/>
      <c r="D960" s="452"/>
      <c r="E960" s="452"/>
      <c r="F960" s="452"/>
      <c r="G960" s="452"/>
      <c r="H960" s="452"/>
      <c r="I960" s="452"/>
      <c r="J960" s="452"/>
      <c r="K960" s="452"/>
      <c r="L960" s="452"/>
      <c r="M960" s="452"/>
      <c r="N960" s="452"/>
      <c r="O960" s="452"/>
      <c r="P960" s="452"/>
      <c r="Q960" s="452"/>
      <c r="R960" s="452"/>
      <c r="S960" s="452"/>
      <c r="T960" s="452"/>
      <c r="U960" s="452"/>
      <c r="V960" s="452"/>
      <c r="W960" s="452"/>
      <c r="X960" s="452"/>
      <c r="Y960" s="452"/>
    </row>
    <row r="961" spans="1:25" ht="15.6">
      <c r="A961" s="452"/>
      <c r="B961" s="452"/>
      <c r="C961" s="452"/>
      <c r="D961" s="452"/>
      <c r="E961" s="452"/>
      <c r="F961" s="452"/>
      <c r="G961" s="452"/>
      <c r="H961" s="452"/>
      <c r="I961" s="452"/>
      <c r="J961" s="452"/>
      <c r="K961" s="452"/>
      <c r="L961" s="452"/>
      <c r="M961" s="452"/>
      <c r="N961" s="452"/>
      <c r="O961" s="452"/>
      <c r="P961" s="452"/>
      <c r="Q961" s="452"/>
      <c r="R961" s="452"/>
      <c r="S961" s="452"/>
      <c r="T961" s="452"/>
      <c r="U961" s="452"/>
      <c r="V961" s="452"/>
      <c r="W961" s="452"/>
      <c r="X961" s="452"/>
      <c r="Y961" s="452"/>
    </row>
    <row r="962" spans="1:25" ht="15.6">
      <c r="A962" s="452"/>
      <c r="B962" s="452"/>
      <c r="C962" s="452"/>
      <c r="D962" s="452"/>
      <c r="E962" s="452"/>
      <c r="F962" s="452"/>
      <c r="G962" s="452"/>
      <c r="H962" s="452"/>
      <c r="I962" s="452"/>
      <c r="J962" s="452"/>
      <c r="K962" s="452"/>
      <c r="L962" s="452"/>
      <c r="M962" s="452"/>
      <c r="N962" s="452"/>
      <c r="O962" s="452"/>
      <c r="P962" s="452"/>
      <c r="Q962" s="452"/>
      <c r="R962" s="452"/>
      <c r="S962" s="452"/>
      <c r="T962" s="452"/>
      <c r="U962" s="452"/>
      <c r="V962" s="452"/>
      <c r="W962" s="452"/>
      <c r="X962" s="452"/>
      <c r="Y962" s="452"/>
    </row>
    <row r="963" spans="1:25" ht="15.6">
      <c r="A963" s="452"/>
      <c r="B963" s="452"/>
      <c r="C963" s="452"/>
      <c r="D963" s="452"/>
      <c r="E963" s="452"/>
      <c r="F963" s="452"/>
      <c r="G963" s="452"/>
      <c r="H963" s="452"/>
      <c r="I963" s="452"/>
      <c r="J963" s="452"/>
      <c r="K963" s="452"/>
      <c r="L963" s="452"/>
      <c r="M963" s="452"/>
      <c r="N963" s="452"/>
      <c r="O963" s="452"/>
      <c r="P963" s="452"/>
      <c r="Q963" s="452"/>
      <c r="R963" s="452"/>
      <c r="S963" s="452"/>
      <c r="T963" s="452"/>
      <c r="U963" s="452"/>
      <c r="V963" s="452"/>
      <c r="W963" s="452"/>
      <c r="X963" s="452"/>
      <c r="Y963" s="452"/>
    </row>
    <row r="964" spans="1:25" ht="15.6">
      <c r="A964" s="452"/>
      <c r="B964" s="452"/>
      <c r="C964" s="452"/>
      <c r="D964" s="452"/>
      <c r="E964" s="452"/>
      <c r="F964" s="452"/>
      <c r="G964" s="452"/>
      <c r="H964" s="452"/>
      <c r="I964" s="452"/>
      <c r="J964" s="452"/>
      <c r="K964" s="452"/>
      <c r="L964" s="452"/>
      <c r="M964" s="452"/>
      <c r="N964" s="452"/>
      <c r="O964" s="452"/>
      <c r="P964" s="452"/>
      <c r="Q964" s="452"/>
      <c r="R964" s="452"/>
      <c r="S964" s="452"/>
      <c r="T964" s="452"/>
      <c r="U964" s="452"/>
      <c r="V964" s="452"/>
      <c r="W964" s="452"/>
      <c r="X964" s="452"/>
      <c r="Y964" s="452"/>
    </row>
    <row r="965" spans="1:25" ht="15.6">
      <c r="A965" s="452"/>
      <c r="B965" s="452"/>
      <c r="C965" s="452"/>
      <c r="D965" s="452"/>
      <c r="E965" s="452"/>
      <c r="F965" s="452"/>
      <c r="G965" s="452"/>
      <c r="H965" s="452"/>
      <c r="I965" s="452"/>
      <c r="J965" s="452"/>
      <c r="K965" s="452"/>
      <c r="L965" s="452"/>
      <c r="M965" s="452"/>
      <c r="N965" s="452"/>
      <c r="O965" s="452"/>
      <c r="P965" s="452"/>
      <c r="Q965" s="452"/>
      <c r="R965" s="452"/>
      <c r="S965" s="452"/>
      <c r="T965" s="452"/>
      <c r="U965" s="452"/>
      <c r="V965" s="452"/>
      <c r="W965" s="452"/>
      <c r="X965" s="452"/>
      <c r="Y965" s="452"/>
    </row>
    <row r="966" spans="1:25" ht="15.6">
      <c r="A966" s="452"/>
      <c r="B966" s="452"/>
      <c r="C966" s="452"/>
      <c r="D966" s="452"/>
      <c r="E966" s="452"/>
      <c r="F966" s="452"/>
      <c r="G966" s="452"/>
      <c r="H966" s="452"/>
      <c r="I966" s="452"/>
      <c r="J966" s="452"/>
      <c r="K966" s="452"/>
      <c r="L966" s="452"/>
      <c r="M966" s="452"/>
      <c r="N966" s="452"/>
      <c r="O966" s="452"/>
      <c r="P966" s="452"/>
      <c r="Q966" s="452"/>
      <c r="R966" s="452"/>
      <c r="S966" s="452"/>
      <c r="T966" s="452"/>
      <c r="U966" s="452"/>
      <c r="V966" s="452"/>
      <c r="W966" s="452"/>
      <c r="X966" s="452"/>
      <c r="Y966" s="452"/>
    </row>
    <row r="967" spans="1:25" ht="15.6">
      <c r="A967" s="452"/>
      <c r="B967" s="452"/>
      <c r="C967" s="452"/>
      <c r="D967" s="452"/>
      <c r="E967" s="452"/>
      <c r="F967" s="452"/>
      <c r="G967" s="452"/>
      <c r="H967" s="452"/>
      <c r="I967" s="452"/>
      <c r="J967" s="452"/>
      <c r="K967" s="452"/>
      <c r="L967" s="452"/>
      <c r="M967" s="452"/>
      <c r="N967" s="452"/>
      <c r="O967" s="452"/>
      <c r="P967" s="452"/>
      <c r="Q967" s="452"/>
      <c r="R967" s="452"/>
      <c r="S967" s="452"/>
      <c r="T967" s="452"/>
      <c r="U967" s="452"/>
      <c r="V967" s="452"/>
      <c r="W967" s="452"/>
      <c r="X967" s="452"/>
      <c r="Y967" s="452"/>
    </row>
    <row r="968" spans="1:25" ht="15.6">
      <c r="A968" s="452"/>
      <c r="B968" s="452"/>
      <c r="C968" s="452"/>
      <c r="D968" s="452"/>
      <c r="E968" s="452"/>
      <c r="F968" s="452"/>
      <c r="G968" s="452"/>
      <c r="H968" s="452"/>
      <c r="I968" s="452"/>
      <c r="J968" s="452"/>
      <c r="K968" s="452"/>
      <c r="L968" s="452"/>
      <c r="M968" s="452"/>
      <c r="N968" s="452"/>
      <c r="O968" s="452"/>
      <c r="P968" s="452"/>
      <c r="Q968" s="452"/>
      <c r="R968" s="452"/>
      <c r="S968" s="452"/>
      <c r="T968" s="452"/>
      <c r="U968" s="452"/>
      <c r="V968" s="452"/>
      <c r="W968" s="452"/>
      <c r="X968" s="452"/>
      <c r="Y968" s="452"/>
    </row>
    <row r="969" spans="1:25" ht="15.6">
      <c r="A969" s="452"/>
      <c r="B969" s="452"/>
      <c r="C969" s="452"/>
      <c r="D969" s="452"/>
      <c r="E969" s="452"/>
      <c r="F969" s="452"/>
      <c r="G969" s="452"/>
      <c r="H969" s="452"/>
      <c r="I969" s="452"/>
      <c r="J969" s="452"/>
      <c r="K969" s="452"/>
      <c r="L969" s="452"/>
      <c r="M969" s="452"/>
      <c r="N969" s="452"/>
      <c r="O969" s="452"/>
      <c r="P969" s="452"/>
      <c r="Q969" s="452"/>
      <c r="R969" s="452"/>
      <c r="S969" s="452"/>
      <c r="T969" s="452"/>
      <c r="U969" s="452"/>
      <c r="V969" s="452"/>
      <c r="W969" s="452"/>
      <c r="X969" s="452"/>
      <c r="Y969" s="452"/>
    </row>
    <row r="970" spans="1:25" ht="15.6">
      <c r="A970" s="452"/>
      <c r="B970" s="452"/>
      <c r="C970" s="452"/>
      <c r="D970" s="452"/>
      <c r="E970" s="452"/>
      <c r="F970" s="452"/>
      <c r="G970" s="452"/>
      <c r="H970" s="452"/>
      <c r="I970" s="452"/>
      <c r="J970" s="452"/>
      <c r="K970" s="452"/>
      <c r="L970" s="452"/>
      <c r="M970" s="452"/>
      <c r="N970" s="452"/>
      <c r="O970" s="452"/>
      <c r="P970" s="452"/>
      <c r="Q970" s="452"/>
      <c r="R970" s="452"/>
      <c r="S970" s="452"/>
      <c r="T970" s="452"/>
      <c r="U970" s="452"/>
      <c r="V970" s="452"/>
      <c r="W970" s="452"/>
      <c r="X970" s="452"/>
      <c r="Y970" s="452"/>
    </row>
    <row r="971" spans="1:25" ht="15.6">
      <c r="A971" s="452"/>
      <c r="B971" s="452"/>
      <c r="C971" s="452"/>
      <c r="D971" s="452"/>
      <c r="E971" s="452"/>
      <c r="F971" s="452"/>
      <c r="G971" s="452"/>
      <c r="H971" s="452"/>
      <c r="I971" s="452"/>
      <c r="J971" s="452"/>
      <c r="K971" s="452"/>
      <c r="L971" s="452"/>
      <c r="M971" s="452"/>
      <c r="N971" s="452"/>
      <c r="O971" s="452"/>
      <c r="P971" s="452"/>
      <c r="Q971" s="452"/>
      <c r="R971" s="452"/>
      <c r="S971" s="452"/>
      <c r="T971" s="452"/>
      <c r="U971" s="452"/>
      <c r="V971" s="452"/>
      <c r="W971" s="452"/>
      <c r="X971" s="452"/>
      <c r="Y971" s="452"/>
    </row>
    <row r="972" spans="1:25" ht="15.6">
      <c r="A972" s="452"/>
      <c r="B972" s="452"/>
      <c r="C972" s="452"/>
      <c r="D972" s="452"/>
      <c r="E972" s="452"/>
      <c r="F972" s="452"/>
      <c r="G972" s="452"/>
      <c r="H972" s="452"/>
      <c r="I972" s="452"/>
      <c r="J972" s="452"/>
      <c r="K972" s="452"/>
      <c r="L972" s="452"/>
      <c r="M972" s="452"/>
      <c r="N972" s="452"/>
      <c r="O972" s="452"/>
      <c r="P972" s="452"/>
      <c r="Q972" s="452"/>
      <c r="R972" s="452"/>
      <c r="S972" s="452"/>
      <c r="T972" s="452"/>
      <c r="U972" s="452"/>
      <c r="V972" s="452"/>
      <c r="W972" s="452"/>
      <c r="X972" s="452"/>
      <c r="Y972" s="452"/>
    </row>
    <row r="973" spans="1:25" ht="15.6">
      <c r="A973" s="452"/>
      <c r="B973" s="452"/>
      <c r="C973" s="452"/>
      <c r="D973" s="452"/>
      <c r="E973" s="452"/>
      <c r="F973" s="452"/>
      <c r="G973" s="452"/>
      <c r="H973" s="452"/>
      <c r="I973" s="452"/>
      <c r="J973" s="452"/>
      <c r="K973" s="452"/>
      <c r="L973" s="452"/>
      <c r="M973" s="452"/>
      <c r="N973" s="452"/>
      <c r="O973" s="452"/>
      <c r="P973" s="452"/>
      <c r="Q973" s="452"/>
      <c r="R973" s="452"/>
      <c r="S973" s="452"/>
      <c r="T973" s="452"/>
      <c r="U973" s="452"/>
      <c r="V973" s="452"/>
      <c r="W973" s="452"/>
      <c r="X973" s="452"/>
      <c r="Y973" s="452"/>
    </row>
    <row r="974" spans="1:25" ht="15.6">
      <c r="A974" s="452"/>
      <c r="B974" s="452"/>
      <c r="C974" s="452"/>
      <c r="D974" s="452"/>
      <c r="E974" s="452"/>
      <c r="F974" s="452"/>
      <c r="G974" s="452"/>
      <c r="H974" s="452"/>
      <c r="I974" s="452"/>
      <c r="J974" s="452"/>
      <c r="K974" s="452"/>
      <c r="L974" s="452"/>
      <c r="M974" s="452"/>
      <c r="N974" s="452"/>
      <c r="O974" s="452"/>
      <c r="P974" s="452"/>
      <c r="Q974" s="452"/>
      <c r="R974" s="452"/>
      <c r="S974" s="452"/>
      <c r="T974" s="452"/>
      <c r="U974" s="452"/>
      <c r="V974" s="452"/>
      <c r="W974" s="452"/>
      <c r="X974" s="452"/>
      <c r="Y974" s="452"/>
    </row>
    <row r="975" spans="1:25" ht="15.6">
      <c r="A975" s="452"/>
      <c r="B975" s="452"/>
      <c r="C975" s="452"/>
      <c r="D975" s="452"/>
      <c r="E975" s="452"/>
      <c r="F975" s="452"/>
      <c r="G975" s="452"/>
      <c r="H975" s="452"/>
      <c r="I975" s="452"/>
      <c r="J975" s="452"/>
      <c r="K975" s="452"/>
      <c r="L975" s="452"/>
      <c r="M975" s="452"/>
      <c r="N975" s="452"/>
      <c r="O975" s="452"/>
      <c r="P975" s="452"/>
      <c r="Q975" s="452"/>
      <c r="R975" s="452"/>
      <c r="S975" s="452"/>
      <c r="T975" s="452"/>
      <c r="U975" s="452"/>
      <c r="V975" s="452"/>
      <c r="W975" s="452"/>
      <c r="X975" s="452"/>
      <c r="Y975" s="452"/>
    </row>
    <row r="976" spans="1:25" ht="15.6">
      <c r="A976" s="452"/>
      <c r="B976" s="452"/>
      <c r="C976" s="452"/>
      <c r="D976" s="452"/>
      <c r="E976" s="452"/>
      <c r="F976" s="452"/>
      <c r="G976" s="452"/>
      <c r="H976" s="452"/>
      <c r="I976" s="452"/>
      <c r="J976" s="452"/>
      <c r="K976" s="452"/>
      <c r="L976" s="452"/>
      <c r="M976" s="452"/>
      <c r="N976" s="452"/>
      <c r="O976" s="452"/>
      <c r="P976" s="452"/>
      <c r="Q976" s="452"/>
      <c r="R976" s="452"/>
      <c r="S976" s="452"/>
      <c r="T976" s="452"/>
      <c r="U976" s="452"/>
      <c r="V976" s="452"/>
      <c r="W976" s="452"/>
      <c r="X976" s="452"/>
      <c r="Y976" s="452"/>
    </row>
    <row r="977" spans="1:25" ht="15.6">
      <c r="A977" s="452"/>
      <c r="B977" s="452"/>
      <c r="C977" s="452"/>
      <c r="D977" s="452"/>
      <c r="E977" s="452"/>
      <c r="F977" s="452"/>
      <c r="G977" s="452"/>
      <c r="H977" s="452"/>
      <c r="I977" s="452"/>
      <c r="J977" s="452"/>
      <c r="K977" s="452"/>
      <c r="L977" s="452"/>
      <c r="M977" s="452"/>
      <c r="N977" s="452"/>
      <c r="O977" s="452"/>
      <c r="P977" s="452"/>
      <c r="Q977" s="452"/>
      <c r="R977" s="452"/>
      <c r="S977" s="452"/>
      <c r="T977" s="452"/>
      <c r="U977" s="452"/>
      <c r="V977" s="452"/>
      <c r="W977" s="452"/>
      <c r="X977" s="452"/>
      <c r="Y977" s="452"/>
    </row>
    <row r="978" spans="1:25" ht="15.6">
      <c r="A978" s="452"/>
      <c r="B978" s="452"/>
      <c r="C978" s="452"/>
      <c r="D978" s="452"/>
      <c r="E978" s="452"/>
      <c r="F978" s="452"/>
      <c r="G978" s="452"/>
      <c r="H978" s="452"/>
      <c r="I978" s="452"/>
      <c r="J978" s="452"/>
      <c r="K978" s="452"/>
      <c r="L978" s="452"/>
      <c r="M978" s="452"/>
      <c r="N978" s="452"/>
      <c r="O978" s="452"/>
      <c r="P978" s="452"/>
      <c r="Q978" s="452"/>
      <c r="R978" s="452"/>
      <c r="S978" s="452"/>
      <c r="T978" s="452"/>
      <c r="U978" s="452"/>
      <c r="V978" s="452"/>
      <c r="W978" s="452"/>
      <c r="X978" s="452"/>
      <c r="Y978" s="452"/>
    </row>
    <row r="979" spans="1:25" ht="15.6">
      <c r="A979" s="452"/>
      <c r="B979" s="452"/>
      <c r="C979" s="452"/>
      <c r="D979" s="452"/>
      <c r="E979" s="452"/>
      <c r="F979" s="452"/>
      <c r="G979" s="452"/>
      <c r="H979" s="452"/>
      <c r="I979" s="452"/>
      <c r="J979" s="452"/>
      <c r="K979" s="452"/>
      <c r="L979" s="452"/>
      <c r="M979" s="452"/>
      <c r="N979" s="452"/>
      <c r="O979" s="452"/>
      <c r="P979" s="452"/>
      <c r="Q979" s="452"/>
      <c r="R979" s="452"/>
      <c r="S979" s="452"/>
      <c r="T979" s="452"/>
      <c r="U979" s="452"/>
      <c r="V979" s="452"/>
      <c r="W979" s="452"/>
      <c r="X979" s="452"/>
      <c r="Y979" s="452"/>
    </row>
    <row r="980" spans="1:25" ht="15.6">
      <c r="A980" s="452"/>
      <c r="B980" s="452"/>
      <c r="C980" s="452"/>
      <c r="D980" s="452"/>
      <c r="E980" s="452"/>
      <c r="F980" s="452"/>
      <c r="G980" s="452"/>
      <c r="H980" s="452"/>
      <c r="I980" s="452"/>
      <c r="J980" s="452"/>
      <c r="K980" s="452"/>
      <c r="L980" s="452"/>
      <c r="M980" s="452"/>
      <c r="N980" s="452"/>
      <c r="O980" s="452"/>
      <c r="P980" s="452"/>
      <c r="Q980" s="452"/>
      <c r="R980" s="452"/>
      <c r="S980" s="452"/>
      <c r="T980" s="452"/>
      <c r="U980" s="452"/>
      <c r="V980" s="452"/>
      <c r="W980" s="452"/>
      <c r="X980" s="452"/>
      <c r="Y980" s="452"/>
    </row>
    <row r="981" spans="1:25" ht="15.6">
      <c r="A981" s="452"/>
      <c r="B981" s="452"/>
      <c r="C981" s="452"/>
      <c r="D981" s="452"/>
      <c r="E981" s="452"/>
      <c r="F981" s="452"/>
      <c r="G981" s="452"/>
      <c r="H981" s="452"/>
      <c r="I981" s="452"/>
      <c r="J981" s="452"/>
      <c r="K981" s="452"/>
      <c r="L981" s="452"/>
      <c r="M981" s="452"/>
      <c r="N981" s="452"/>
      <c r="O981" s="452"/>
      <c r="P981" s="452"/>
      <c r="Q981" s="452"/>
      <c r="R981" s="452"/>
      <c r="S981" s="452"/>
      <c r="T981" s="452"/>
      <c r="U981" s="452"/>
      <c r="V981" s="452"/>
      <c r="W981" s="452"/>
      <c r="X981" s="452"/>
      <c r="Y981" s="452"/>
    </row>
    <row r="982" spans="1:25" ht="15.6">
      <c r="A982" s="452"/>
      <c r="B982" s="452"/>
      <c r="C982" s="452"/>
      <c r="D982" s="452"/>
      <c r="E982" s="452"/>
      <c r="F982" s="452"/>
      <c r="G982" s="452"/>
      <c r="H982" s="452"/>
      <c r="I982" s="452"/>
      <c r="J982" s="452"/>
      <c r="K982" s="452"/>
      <c r="L982" s="452"/>
      <c r="M982" s="452"/>
      <c r="N982" s="452"/>
      <c r="O982" s="452"/>
      <c r="P982" s="452"/>
      <c r="Q982" s="452"/>
      <c r="R982" s="452"/>
      <c r="S982" s="452"/>
      <c r="T982" s="452"/>
      <c r="U982" s="452"/>
      <c r="V982" s="452"/>
      <c r="W982" s="452"/>
      <c r="X982" s="452"/>
      <c r="Y982" s="452"/>
    </row>
    <row r="983" spans="1:25" ht="15.6">
      <c r="A983" s="452"/>
      <c r="B983" s="452"/>
      <c r="C983" s="452"/>
      <c r="D983" s="452"/>
      <c r="E983" s="452"/>
      <c r="F983" s="452"/>
      <c r="G983" s="452"/>
      <c r="H983" s="452"/>
      <c r="I983" s="452"/>
      <c r="J983" s="452"/>
      <c r="K983" s="452"/>
      <c r="L983" s="452"/>
      <c r="M983" s="452"/>
      <c r="N983" s="452"/>
      <c r="O983" s="452"/>
      <c r="P983" s="452"/>
      <c r="Q983" s="452"/>
      <c r="R983" s="452"/>
      <c r="S983" s="452"/>
      <c r="T983" s="452"/>
      <c r="U983" s="452"/>
      <c r="V983" s="452"/>
      <c r="W983" s="452"/>
      <c r="X983" s="452"/>
      <c r="Y983" s="452"/>
    </row>
    <row r="984" spans="1:25" ht="15.6">
      <c r="A984" s="452"/>
      <c r="B984" s="452"/>
      <c r="C984" s="452"/>
      <c r="D984" s="452"/>
      <c r="E984" s="452"/>
      <c r="F984" s="452"/>
      <c r="G984" s="452"/>
      <c r="H984" s="452"/>
      <c r="I984" s="452"/>
      <c r="J984" s="452"/>
      <c r="K984" s="452"/>
      <c r="L984" s="452"/>
      <c r="M984" s="452"/>
      <c r="N984" s="452"/>
      <c r="O984" s="452"/>
      <c r="P984" s="452"/>
      <c r="Q984" s="452"/>
      <c r="R984" s="452"/>
      <c r="S984" s="452"/>
      <c r="T984" s="452"/>
      <c r="U984" s="452"/>
      <c r="V984" s="452"/>
      <c r="W984" s="452"/>
      <c r="X984" s="452"/>
      <c r="Y984" s="452"/>
    </row>
    <row r="985" spans="1:25" ht="15.6">
      <c r="A985" s="452"/>
      <c r="B985" s="452"/>
      <c r="C985" s="452"/>
      <c r="D985" s="452"/>
      <c r="E985" s="452"/>
      <c r="F985" s="452"/>
      <c r="G985" s="452"/>
      <c r="H985" s="452"/>
      <c r="I985" s="452"/>
      <c r="J985" s="452"/>
      <c r="K985" s="452"/>
      <c r="L985" s="452"/>
      <c r="M985" s="452"/>
      <c r="N985" s="452"/>
      <c r="O985" s="452"/>
      <c r="P985" s="452"/>
      <c r="Q985" s="452"/>
      <c r="R985" s="452"/>
      <c r="S985" s="452"/>
      <c r="T985" s="452"/>
      <c r="U985" s="452"/>
      <c r="V985" s="452"/>
      <c r="W985" s="452"/>
      <c r="X985" s="452"/>
      <c r="Y985" s="452"/>
    </row>
    <row r="986" spans="1:25" ht="15.6">
      <c r="A986" s="452"/>
      <c r="B986" s="452"/>
      <c r="C986" s="452"/>
      <c r="D986" s="452"/>
      <c r="E986" s="452"/>
      <c r="F986" s="452"/>
      <c r="G986" s="452"/>
      <c r="H986" s="452"/>
      <c r="I986" s="452"/>
      <c r="J986" s="452"/>
      <c r="K986" s="452"/>
      <c r="L986" s="452"/>
      <c r="M986" s="452"/>
      <c r="N986" s="452"/>
      <c r="O986" s="452"/>
      <c r="P986" s="452"/>
      <c r="Q986" s="452"/>
      <c r="R986" s="452"/>
      <c r="S986" s="452"/>
      <c r="T986" s="452"/>
      <c r="U986" s="452"/>
      <c r="V986" s="452"/>
      <c r="W986" s="452"/>
      <c r="X986" s="452"/>
      <c r="Y986" s="452"/>
    </row>
    <row r="987" spans="1:25" ht="15.6">
      <c r="A987" s="452"/>
      <c r="B987" s="452"/>
      <c r="C987" s="452"/>
      <c r="D987" s="452"/>
      <c r="E987" s="452"/>
      <c r="F987" s="452"/>
      <c r="G987" s="452"/>
      <c r="H987" s="452"/>
      <c r="I987" s="452"/>
      <c r="J987" s="452"/>
      <c r="K987" s="452"/>
      <c r="L987" s="452"/>
      <c r="M987" s="452"/>
      <c r="N987" s="452"/>
      <c r="O987" s="452"/>
      <c r="P987" s="452"/>
      <c r="Q987" s="452"/>
      <c r="R987" s="452"/>
      <c r="S987" s="452"/>
      <c r="T987" s="452"/>
      <c r="U987" s="452"/>
      <c r="V987" s="452"/>
      <c r="W987" s="452"/>
      <c r="X987" s="452"/>
      <c r="Y987" s="452"/>
    </row>
    <row r="988" spans="1:25" ht="15.6">
      <c r="A988" s="452"/>
      <c r="B988" s="452"/>
      <c r="C988" s="452"/>
      <c r="D988" s="452"/>
      <c r="E988" s="452"/>
      <c r="F988" s="452"/>
      <c r="G988" s="452"/>
      <c r="H988" s="452"/>
      <c r="I988" s="452"/>
      <c r="J988" s="452"/>
      <c r="K988" s="452"/>
      <c r="L988" s="452"/>
      <c r="M988" s="452"/>
      <c r="N988" s="452"/>
      <c r="O988" s="452"/>
      <c r="P988" s="452"/>
      <c r="Q988" s="452"/>
      <c r="R988" s="452"/>
      <c r="S988" s="452"/>
      <c r="T988" s="452"/>
      <c r="U988" s="452"/>
      <c r="V988" s="452"/>
      <c r="W988" s="452"/>
      <c r="X988" s="452"/>
      <c r="Y988" s="452"/>
    </row>
    <row r="989" spans="1:25" ht="15.6">
      <c r="A989" s="452"/>
      <c r="B989" s="452"/>
      <c r="C989" s="452"/>
      <c r="D989" s="452"/>
      <c r="E989" s="452"/>
      <c r="F989" s="452"/>
      <c r="G989" s="452"/>
      <c r="H989" s="452"/>
      <c r="I989" s="452"/>
      <c r="J989" s="452"/>
      <c r="K989" s="452"/>
      <c r="L989" s="452"/>
      <c r="M989" s="452"/>
      <c r="N989" s="452"/>
      <c r="O989" s="452"/>
      <c r="P989" s="452"/>
      <c r="Q989" s="452"/>
      <c r="R989" s="452"/>
      <c r="S989" s="452"/>
      <c r="T989" s="452"/>
      <c r="U989" s="452"/>
      <c r="V989" s="452"/>
      <c r="W989" s="452"/>
      <c r="X989" s="452"/>
      <c r="Y989" s="452"/>
    </row>
    <row r="990" spans="1:25" ht="15.6">
      <c r="A990" s="452"/>
      <c r="B990" s="452"/>
      <c r="C990" s="452"/>
      <c r="D990" s="452"/>
      <c r="E990" s="452"/>
      <c r="F990" s="452"/>
      <c r="G990" s="452"/>
      <c r="H990" s="452"/>
      <c r="I990" s="452"/>
      <c r="J990" s="452"/>
      <c r="K990" s="452"/>
      <c r="L990" s="452"/>
      <c r="M990" s="452"/>
      <c r="N990" s="452"/>
      <c r="O990" s="452"/>
      <c r="P990" s="452"/>
      <c r="Q990" s="452"/>
      <c r="R990" s="452"/>
      <c r="S990" s="452"/>
      <c r="T990" s="452"/>
      <c r="U990" s="452"/>
      <c r="V990" s="452"/>
      <c r="W990" s="452"/>
      <c r="X990" s="452"/>
      <c r="Y990" s="452"/>
    </row>
    <row r="991" spans="1:25" ht="15.6">
      <c r="A991" s="452"/>
      <c r="B991" s="452"/>
      <c r="C991" s="452"/>
      <c r="D991" s="452"/>
      <c r="E991" s="452"/>
      <c r="F991" s="452"/>
      <c r="G991" s="452"/>
      <c r="H991" s="452"/>
      <c r="I991" s="452"/>
      <c r="J991" s="452"/>
      <c r="K991" s="452"/>
      <c r="L991" s="452"/>
      <c r="M991" s="452"/>
      <c r="N991" s="452"/>
      <c r="O991" s="452"/>
      <c r="P991" s="452"/>
      <c r="Q991" s="452"/>
      <c r="R991" s="452"/>
      <c r="S991" s="452"/>
      <c r="T991" s="452"/>
      <c r="U991" s="452"/>
      <c r="V991" s="452"/>
      <c r="W991" s="452"/>
      <c r="X991" s="452"/>
      <c r="Y991" s="452"/>
    </row>
    <row r="992" spans="1:25" ht="15.6">
      <c r="A992" s="452"/>
      <c r="B992" s="452"/>
      <c r="C992" s="452"/>
      <c r="D992" s="452"/>
      <c r="E992" s="452"/>
      <c r="F992" s="452"/>
      <c r="G992" s="452"/>
      <c r="H992" s="452"/>
      <c r="I992" s="452"/>
      <c r="J992" s="452"/>
      <c r="K992" s="452"/>
      <c r="L992" s="452"/>
      <c r="M992" s="452"/>
      <c r="N992" s="452"/>
      <c r="O992" s="452"/>
      <c r="P992" s="452"/>
      <c r="Q992" s="452"/>
      <c r="R992" s="452"/>
      <c r="S992" s="452"/>
      <c r="T992" s="452"/>
      <c r="U992" s="452"/>
      <c r="V992" s="452"/>
      <c r="W992" s="452"/>
      <c r="X992" s="452"/>
      <c r="Y992" s="452"/>
    </row>
    <row r="993" spans="1:25" ht="15.6">
      <c r="A993" s="452"/>
      <c r="B993" s="452"/>
      <c r="C993" s="452"/>
      <c r="D993" s="452"/>
      <c r="E993" s="452"/>
      <c r="F993" s="452"/>
      <c r="G993" s="452"/>
      <c r="H993" s="452"/>
      <c r="I993" s="452"/>
      <c r="J993" s="452"/>
      <c r="K993" s="452"/>
      <c r="L993" s="452"/>
      <c r="M993" s="452"/>
      <c r="N993" s="452"/>
      <c r="O993" s="452"/>
      <c r="P993" s="452"/>
      <c r="Q993" s="452"/>
      <c r="R993" s="452"/>
      <c r="S993" s="452"/>
      <c r="T993" s="452"/>
      <c r="U993" s="452"/>
      <c r="V993" s="452"/>
      <c r="W993" s="452"/>
      <c r="X993" s="452"/>
      <c r="Y993" s="452"/>
    </row>
    <row r="994" spans="1:25" ht="15.6">
      <c r="A994" s="452"/>
      <c r="B994" s="452"/>
      <c r="C994" s="452"/>
      <c r="D994" s="452"/>
      <c r="E994" s="452"/>
      <c r="F994" s="452"/>
      <c r="G994" s="452"/>
      <c r="H994" s="452"/>
      <c r="I994" s="452"/>
      <c r="J994" s="452"/>
      <c r="K994" s="452"/>
      <c r="L994" s="452"/>
      <c r="M994" s="452"/>
      <c r="N994" s="452"/>
      <c r="O994" s="452"/>
      <c r="P994" s="452"/>
      <c r="Q994" s="452"/>
      <c r="R994" s="452"/>
      <c r="S994" s="452"/>
      <c r="T994" s="452"/>
      <c r="U994" s="452"/>
      <c r="V994" s="452"/>
      <c r="W994" s="452"/>
      <c r="X994" s="452"/>
      <c r="Y994" s="452"/>
    </row>
    <row r="995" spans="1:25" ht="15.6">
      <c r="A995" s="452"/>
      <c r="B995" s="452"/>
      <c r="C995" s="452"/>
      <c r="D995" s="452"/>
      <c r="E995" s="452"/>
      <c r="F995" s="452"/>
      <c r="G995" s="452"/>
      <c r="H995" s="452"/>
      <c r="I995" s="452"/>
      <c r="J995" s="452"/>
      <c r="K995" s="452"/>
      <c r="L995" s="452"/>
      <c r="M995" s="452"/>
      <c r="N995" s="452"/>
      <c r="O995" s="452"/>
      <c r="P995" s="452"/>
      <c r="Q995" s="452"/>
      <c r="R995" s="452"/>
      <c r="S995" s="452"/>
      <c r="T995" s="452"/>
      <c r="U995" s="452"/>
      <c r="V995" s="452"/>
      <c r="W995" s="452"/>
      <c r="X995" s="452"/>
      <c r="Y995" s="452"/>
    </row>
    <row r="996" spans="1:25" ht="15.6">
      <c r="A996" s="452"/>
      <c r="B996" s="452"/>
      <c r="C996" s="452"/>
      <c r="D996" s="452"/>
      <c r="E996" s="452"/>
      <c r="F996" s="452"/>
      <c r="G996" s="452"/>
      <c r="H996" s="452"/>
      <c r="I996" s="452"/>
      <c r="J996" s="452"/>
      <c r="K996" s="452"/>
      <c r="L996" s="452"/>
      <c r="M996" s="452"/>
      <c r="N996" s="452"/>
      <c r="O996" s="452"/>
      <c r="P996" s="452"/>
      <c r="Q996" s="452"/>
      <c r="R996" s="452"/>
      <c r="S996" s="452"/>
      <c r="T996" s="452"/>
      <c r="U996" s="452"/>
      <c r="V996" s="452"/>
      <c r="W996" s="452"/>
      <c r="X996" s="452"/>
      <c r="Y996" s="452"/>
    </row>
    <row r="997" spans="1:25" ht="15.6">
      <c r="A997" s="452"/>
      <c r="B997" s="452"/>
      <c r="C997" s="452"/>
      <c r="D997" s="452"/>
      <c r="E997" s="452"/>
      <c r="F997" s="452"/>
      <c r="G997" s="452"/>
      <c r="H997" s="452"/>
      <c r="I997" s="452"/>
      <c r="J997" s="452"/>
      <c r="K997" s="452"/>
      <c r="L997" s="452"/>
      <c r="M997" s="452"/>
      <c r="N997" s="452"/>
      <c r="O997" s="452"/>
      <c r="P997" s="452"/>
      <c r="Q997" s="452"/>
      <c r="R997" s="452"/>
      <c r="S997" s="452"/>
      <c r="T997" s="452"/>
      <c r="U997" s="452"/>
      <c r="V997" s="452"/>
      <c r="W997" s="452"/>
      <c r="X997" s="452"/>
      <c r="Y997" s="452"/>
    </row>
    <row r="998" spans="1:25" ht="15.6">
      <c r="A998" s="452"/>
      <c r="B998" s="452"/>
      <c r="C998" s="452"/>
      <c r="D998" s="452"/>
      <c r="E998" s="452"/>
      <c r="F998" s="452"/>
      <c r="G998" s="452"/>
      <c r="H998" s="452"/>
      <c r="I998" s="452"/>
      <c r="J998" s="452"/>
      <c r="K998" s="452"/>
      <c r="L998" s="452"/>
      <c r="M998" s="452"/>
      <c r="N998" s="452"/>
      <c r="O998" s="452"/>
      <c r="P998" s="452"/>
      <c r="Q998" s="452"/>
      <c r="R998" s="452"/>
      <c r="S998" s="452"/>
      <c r="T998" s="452"/>
      <c r="U998" s="452"/>
      <c r="V998" s="452"/>
      <c r="W998" s="452"/>
      <c r="X998" s="452"/>
      <c r="Y998" s="452"/>
    </row>
    <row r="999" spans="1:25" ht="15.6">
      <c r="A999" s="452"/>
      <c r="B999" s="452"/>
      <c r="C999" s="452"/>
      <c r="D999" s="452"/>
      <c r="E999" s="452"/>
      <c r="F999" s="452"/>
      <c r="G999" s="452"/>
      <c r="H999" s="452"/>
      <c r="I999" s="452"/>
      <c r="J999" s="452"/>
      <c r="K999" s="452"/>
      <c r="L999" s="452"/>
      <c r="M999" s="452"/>
      <c r="N999" s="452"/>
      <c r="O999" s="452"/>
      <c r="P999" s="452"/>
      <c r="Q999" s="452"/>
      <c r="R999" s="452"/>
      <c r="S999" s="452"/>
      <c r="T999" s="452"/>
      <c r="U999" s="452"/>
      <c r="V999" s="452"/>
      <c r="W999" s="452"/>
      <c r="X999" s="452"/>
      <c r="Y999" s="452"/>
    </row>
    <row r="1000" spans="1:25" ht="15.6">
      <c r="A1000" s="452"/>
      <c r="B1000" s="452"/>
      <c r="C1000" s="452"/>
      <c r="D1000" s="452"/>
      <c r="E1000" s="452"/>
      <c r="F1000" s="452"/>
      <c r="G1000" s="452"/>
      <c r="H1000" s="452"/>
      <c r="I1000" s="452"/>
      <c r="J1000" s="452"/>
      <c r="K1000" s="452"/>
      <c r="L1000" s="452"/>
      <c r="M1000" s="452"/>
      <c r="N1000" s="452"/>
      <c r="O1000" s="452"/>
      <c r="P1000" s="452"/>
      <c r="Q1000" s="452"/>
      <c r="R1000" s="452"/>
      <c r="S1000" s="452"/>
      <c r="T1000" s="452"/>
      <c r="U1000" s="452"/>
      <c r="V1000" s="452"/>
      <c r="W1000" s="452"/>
      <c r="X1000" s="452"/>
      <c r="Y1000" s="452"/>
    </row>
    <row r="1001" spans="1:25" ht="15.6">
      <c r="A1001" s="452"/>
      <c r="B1001" s="452"/>
      <c r="C1001" s="452"/>
      <c r="D1001" s="452"/>
      <c r="E1001" s="452"/>
      <c r="F1001" s="452"/>
      <c r="G1001" s="452"/>
      <c r="H1001" s="452"/>
      <c r="I1001" s="452"/>
      <c r="J1001" s="452"/>
      <c r="K1001" s="452"/>
      <c r="L1001" s="452"/>
      <c r="M1001" s="452"/>
      <c r="N1001" s="452"/>
      <c r="O1001" s="452"/>
      <c r="P1001" s="452"/>
      <c r="Q1001" s="452"/>
      <c r="R1001" s="452"/>
      <c r="S1001" s="452"/>
      <c r="T1001" s="452"/>
      <c r="U1001" s="452"/>
      <c r="V1001" s="452"/>
      <c r="W1001" s="452"/>
      <c r="X1001" s="452"/>
      <c r="Y1001" s="45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970"/>
  <sheetViews>
    <sheetView topLeftCell="B1" workbookViewId="0">
      <pane ySplit="2" topLeftCell="A3" activePane="bottomLeft" state="frozen"/>
      <selection pane="bottomLeft" activeCell="B10" sqref="B10"/>
    </sheetView>
  </sheetViews>
  <sheetFormatPr defaultColWidth="11.19921875" defaultRowHeight="15" customHeight="1"/>
  <cols>
    <col min="1" max="1" width="21.3984375" bestFit="1" customWidth="1"/>
    <col min="2" max="2" width="34.796875" bestFit="1" customWidth="1"/>
    <col min="3" max="3" width="11.59765625" customWidth="1"/>
    <col min="4" max="4" width="15.3984375" customWidth="1"/>
    <col min="5" max="5" width="10.09765625" customWidth="1"/>
    <col min="6" max="6" width="13.296875" bestFit="1" customWidth="1"/>
    <col min="7" max="7" width="14.3984375" customWidth="1"/>
    <col min="8" max="9" width="13.3984375" customWidth="1"/>
    <col min="10" max="10" width="14.3984375" customWidth="1"/>
    <col min="11" max="14" width="13.59765625" bestFit="1" customWidth="1"/>
    <col min="15" max="15" width="11" hidden="1" customWidth="1"/>
  </cols>
  <sheetData>
    <row r="1" spans="1:15" ht="33" customHeight="1">
      <c r="A1" s="839" t="s">
        <v>378</v>
      </c>
      <c r="B1" s="790"/>
      <c r="C1" s="226"/>
      <c r="D1" s="487"/>
      <c r="E1" s="67"/>
      <c r="F1" s="67"/>
      <c r="G1" s="67"/>
      <c r="H1" s="67"/>
      <c r="I1" s="67"/>
      <c r="J1" s="67"/>
      <c r="K1" s="67"/>
      <c r="L1" s="67"/>
      <c r="M1" s="67"/>
      <c r="N1" s="67"/>
      <c r="O1" s="6"/>
    </row>
    <row r="2" spans="1:15" ht="15.6">
      <c r="A2" s="488" t="s">
        <v>379</v>
      </c>
      <c r="B2" s="14"/>
      <c r="C2" s="762" t="s">
        <v>671</v>
      </c>
      <c r="D2" s="489">
        <f t="shared" ref="D2:E2" si="0">E2-1</f>
        <v>2015</v>
      </c>
      <c r="E2" s="489">
        <f t="shared" si="0"/>
        <v>2016</v>
      </c>
      <c r="F2" s="489">
        <v>2017</v>
      </c>
      <c r="G2" s="490">
        <v>2018</v>
      </c>
      <c r="H2" s="490">
        <v>2019</v>
      </c>
      <c r="I2" s="490">
        <v>2020</v>
      </c>
      <c r="J2" s="491">
        <v>2021</v>
      </c>
      <c r="K2" s="491">
        <v>2022</v>
      </c>
      <c r="L2" s="491">
        <v>2023</v>
      </c>
      <c r="M2" s="491">
        <v>2024</v>
      </c>
      <c r="N2" s="492">
        <v>2025</v>
      </c>
      <c r="O2" s="493">
        <v>2026</v>
      </c>
    </row>
    <row r="3" spans="1:15" ht="15.6">
      <c r="A3" s="494" t="s">
        <v>380</v>
      </c>
      <c r="B3" s="495" t="s">
        <v>381</v>
      </c>
      <c r="C3" s="496"/>
      <c r="D3" s="497">
        <v>77281115</v>
      </c>
      <c r="E3" s="498">
        <f t="shared" ref="E3:O3" si="1">E5</f>
        <v>74210115</v>
      </c>
      <c r="F3" s="498">
        <f t="shared" si="1"/>
        <v>68735115</v>
      </c>
      <c r="G3" s="498">
        <f t="shared" si="1"/>
        <v>62780115</v>
      </c>
      <c r="H3" s="498">
        <f t="shared" si="1"/>
        <v>56302115</v>
      </c>
      <c r="I3" s="499">
        <f t="shared" si="1"/>
        <v>49256115</v>
      </c>
      <c r="J3" s="500">
        <f t="shared" si="1"/>
        <v>39404892</v>
      </c>
      <c r="K3" s="500">
        <f t="shared" si="1"/>
        <v>31523913.600000001</v>
      </c>
      <c r="L3" s="500">
        <f t="shared" si="1"/>
        <v>23642935.200000003</v>
      </c>
      <c r="M3" s="500">
        <f t="shared" si="1"/>
        <v>15761956.800000001</v>
      </c>
      <c r="N3" s="501">
        <f t="shared" si="1"/>
        <v>7880978.4000000004</v>
      </c>
      <c r="O3" s="502">
        <f t="shared" si="1"/>
        <v>0</v>
      </c>
    </row>
    <row r="4" spans="1:15" ht="15.6">
      <c r="A4" s="840" t="s">
        <v>382</v>
      </c>
      <c r="B4" s="503"/>
      <c r="C4" s="504"/>
      <c r="D4" s="231"/>
      <c r="E4" s="505"/>
      <c r="F4" s="505"/>
      <c r="G4" s="268"/>
      <c r="H4" s="505"/>
      <c r="I4" s="506"/>
      <c r="J4" s="507"/>
      <c r="K4" s="507"/>
      <c r="L4" s="507"/>
      <c r="M4" s="507"/>
      <c r="N4" s="508"/>
      <c r="O4" s="509"/>
    </row>
    <row r="5" spans="1:15" ht="15.6">
      <c r="A5" s="801"/>
      <c r="B5" s="503" t="s">
        <v>383</v>
      </c>
      <c r="C5" s="504" t="s">
        <v>658</v>
      </c>
      <c r="D5" s="510">
        <v>77281115</v>
      </c>
      <c r="E5" s="110">
        <v>74210115</v>
      </c>
      <c r="F5" s="110">
        <v>68735115</v>
      </c>
      <c r="G5" s="110">
        <v>62780115</v>
      </c>
      <c r="H5" s="110">
        <v>56302115</v>
      </c>
      <c r="I5" s="111">
        <v>49256115</v>
      </c>
      <c r="J5" s="265">
        <f t="shared" ref="J5:O5" si="2">I5-J6</f>
        <v>39404892</v>
      </c>
      <c r="K5" s="265">
        <f t="shared" si="2"/>
        <v>31523913.600000001</v>
      </c>
      <c r="L5" s="265">
        <f t="shared" si="2"/>
        <v>23642935.200000003</v>
      </c>
      <c r="M5" s="265">
        <f t="shared" si="2"/>
        <v>15761956.800000001</v>
      </c>
      <c r="N5" s="267">
        <f t="shared" si="2"/>
        <v>7880978.4000000004</v>
      </c>
      <c r="O5" s="511">
        <f t="shared" si="2"/>
        <v>0</v>
      </c>
    </row>
    <row r="6" spans="1:15" ht="15.6">
      <c r="A6" s="801"/>
      <c r="B6" s="503" t="s">
        <v>384</v>
      </c>
      <c r="C6" s="504" t="s">
        <v>658</v>
      </c>
      <c r="D6" s="106"/>
      <c r="E6" s="110">
        <f t="shared" ref="E6:I6" si="3">D5-E5</f>
        <v>3071000</v>
      </c>
      <c r="F6" s="110">
        <f t="shared" si="3"/>
        <v>5475000</v>
      </c>
      <c r="G6" s="110">
        <f t="shared" si="3"/>
        <v>5955000</v>
      </c>
      <c r="H6" s="110">
        <f t="shared" si="3"/>
        <v>6478000</v>
      </c>
      <c r="I6" s="111">
        <f t="shared" si="3"/>
        <v>7046000</v>
      </c>
      <c r="J6" s="265">
        <f>I5/D59</f>
        <v>9851223</v>
      </c>
      <c r="K6" s="265">
        <f>J5/5</f>
        <v>7880978.4000000004</v>
      </c>
      <c r="L6" s="265">
        <f>K5/4</f>
        <v>7880978.4000000004</v>
      </c>
      <c r="M6" s="265">
        <f>L5/3</f>
        <v>7880978.4000000013</v>
      </c>
      <c r="N6" s="267">
        <f>M5/2</f>
        <v>7880978.4000000004</v>
      </c>
      <c r="O6" s="511">
        <f>N5/1</f>
        <v>7880978.4000000004</v>
      </c>
    </row>
    <row r="7" spans="1:15" ht="15.6">
      <c r="A7" s="801"/>
      <c r="B7" s="503" t="s">
        <v>385</v>
      </c>
      <c r="C7" s="512"/>
      <c r="D7" s="231">
        <v>0.09</v>
      </c>
      <c r="E7" s="505">
        <v>0.09</v>
      </c>
      <c r="F7" s="505">
        <v>0.09</v>
      </c>
      <c r="G7" s="505">
        <v>0.09</v>
      </c>
      <c r="H7" s="505">
        <v>0.09</v>
      </c>
      <c r="I7" s="506">
        <v>0.09</v>
      </c>
      <c r="J7" s="507">
        <v>0.09</v>
      </c>
      <c r="K7" s="507">
        <v>0.09</v>
      </c>
      <c r="L7" s="507">
        <v>0.09</v>
      </c>
      <c r="M7" s="507">
        <v>0.09</v>
      </c>
      <c r="N7" s="508">
        <v>0.09</v>
      </c>
      <c r="O7" s="509">
        <v>0.09</v>
      </c>
    </row>
    <row r="8" spans="1:15" ht="15.6">
      <c r="A8" s="801"/>
      <c r="B8" s="503" t="s">
        <v>102</v>
      </c>
      <c r="C8" s="504" t="s">
        <v>658</v>
      </c>
      <c r="D8" s="106"/>
      <c r="E8" s="513">
        <f t="shared" ref="E8:O8" si="4">D5*E7</f>
        <v>6955300.3499999996</v>
      </c>
      <c r="F8" s="513">
        <f t="shared" si="4"/>
        <v>6678910.3499999996</v>
      </c>
      <c r="G8" s="513">
        <f t="shared" si="4"/>
        <v>6186160.3499999996</v>
      </c>
      <c r="H8" s="513">
        <f t="shared" si="4"/>
        <v>5650210.3499999996</v>
      </c>
      <c r="I8" s="514">
        <f t="shared" si="4"/>
        <v>5067190.3499999996</v>
      </c>
      <c r="J8" s="515">
        <f t="shared" si="4"/>
        <v>4433050.3499999996</v>
      </c>
      <c r="K8" s="515">
        <f t="shared" si="4"/>
        <v>3546440.28</v>
      </c>
      <c r="L8" s="515">
        <f t="shared" si="4"/>
        <v>2837152.2239999999</v>
      </c>
      <c r="M8" s="515">
        <f t="shared" si="4"/>
        <v>2127864.1680000001</v>
      </c>
      <c r="N8" s="516">
        <f t="shared" si="4"/>
        <v>1418576.112</v>
      </c>
      <c r="O8" s="517">
        <f t="shared" si="4"/>
        <v>709288.05599999998</v>
      </c>
    </row>
    <row r="9" spans="1:15" ht="27.75" customHeight="1">
      <c r="A9" s="837"/>
      <c r="B9" s="503"/>
      <c r="C9" s="504"/>
      <c r="D9" s="106"/>
      <c r="E9" s="268"/>
      <c r="F9" s="268"/>
      <c r="G9" s="268"/>
      <c r="H9" s="268"/>
      <c r="I9" s="89"/>
      <c r="J9" s="266"/>
      <c r="K9" s="266"/>
      <c r="L9" s="266"/>
      <c r="M9" s="266"/>
      <c r="N9" s="274"/>
      <c r="O9" s="175"/>
    </row>
    <row r="10" spans="1:15" ht="15.6">
      <c r="A10" s="518" t="s">
        <v>386</v>
      </c>
      <c r="B10" s="519" t="s">
        <v>381</v>
      </c>
      <c r="C10" s="443"/>
      <c r="D10" s="520">
        <f t="shared" ref="D10:H10" si="5">D11</f>
        <v>0</v>
      </c>
      <c r="E10" s="521">
        <f t="shared" si="5"/>
        <v>0</v>
      </c>
      <c r="F10" s="521">
        <f t="shared" si="5"/>
        <v>0</v>
      </c>
      <c r="G10" s="521">
        <f t="shared" si="5"/>
        <v>531009004</v>
      </c>
      <c r="H10" s="521">
        <f t="shared" si="5"/>
        <v>785800000</v>
      </c>
      <c r="I10" s="522">
        <f t="shared" ref="I10:I11" si="6">750400000</f>
        <v>750400000</v>
      </c>
      <c r="J10" s="303">
        <f t="shared" ref="J10:O10" si="7">J11</f>
        <v>675360000</v>
      </c>
      <c r="K10" s="303">
        <f t="shared" si="7"/>
        <v>600320000</v>
      </c>
      <c r="L10" s="303">
        <f t="shared" si="7"/>
        <v>525280000</v>
      </c>
      <c r="M10" s="303">
        <f t="shared" si="7"/>
        <v>450240000</v>
      </c>
      <c r="N10" s="304">
        <f t="shared" si="7"/>
        <v>375200000</v>
      </c>
      <c r="O10" s="502">
        <f t="shared" si="7"/>
        <v>300160000</v>
      </c>
    </row>
    <row r="11" spans="1:15" ht="23.25" customHeight="1">
      <c r="A11" s="840" t="s">
        <v>387</v>
      </c>
      <c r="B11" s="503" t="s">
        <v>383</v>
      </c>
      <c r="C11" s="504" t="s">
        <v>658</v>
      </c>
      <c r="D11" s="109"/>
      <c r="E11" s="110"/>
      <c r="F11" s="110"/>
      <c r="G11" s="110">
        <f>531009004</f>
        <v>531009004</v>
      </c>
      <c r="H11" s="110">
        <f>785800000</f>
        <v>785800000</v>
      </c>
      <c r="I11" s="522">
        <f t="shared" si="6"/>
        <v>750400000</v>
      </c>
      <c r="J11" s="265">
        <f t="shared" ref="J11:O11" si="8">I11-J12</f>
        <v>675360000</v>
      </c>
      <c r="K11" s="265">
        <f t="shared" si="8"/>
        <v>600320000</v>
      </c>
      <c r="L11" s="265">
        <f t="shared" si="8"/>
        <v>525280000</v>
      </c>
      <c r="M11" s="265">
        <f t="shared" si="8"/>
        <v>450240000</v>
      </c>
      <c r="N11" s="267">
        <f t="shared" si="8"/>
        <v>375200000</v>
      </c>
      <c r="O11" s="511">
        <f t="shared" si="8"/>
        <v>300160000</v>
      </c>
    </row>
    <row r="12" spans="1:15" ht="15.6">
      <c r="A12" s="801"/>
      <c r="B12" s="503" t="s">
        <v>388</v>
      </c>
      <c r="C12" s="504" t="s">
        <v>658</v>
      </c>
      <c r="D12" s="106"/>
      <c r="E12" s="110">
        <f t="shared" ref="E12:F12" si="9">D11-E11</f>
        <v>0</v>
      </c>
      <c r="F12" s="110">
        <f t="shared" si="9"/>
        <v>0</v>
      </c>
      <c r="G12" s="110"/>
      <c r="H12" s="110">
        <f t="shared" ref="H12:I12" si="10">MAX(G11-H11,0)</f>
        <v>0</v>
      </c>
      <c r="I12" s="111">
        <f t="shared" si="10"/>
        <v>35400000</v>
      </c>
      <c r="J12" s="265">
        <f t="shared" ref="J12:O12" si="11">$I$11/10</f>
        <v>75040000</v>
      </c>
      <c r="K12" s="265">
        <f t="shared" si="11"/>
        <v>75040000</v>
      </c>
      <c r="L12" s="265">
        <f t="shared" si="11"/>
        <v>75040000</v>
      </c>
      <c r="M12" s="265">
        <f t="shared" si="11"/>
        <v>75040000</v>
      </c>
      <c r="N12" s="267">
        <f t="shared" si="11"/>
        <v>75040000</v>
      </c>
      <c r="O12" s="511">
        <f t="shared" si="11"/>
        <v>75040000</v>
      </c>
    </row>
    <row r="13" spans="1:15" ht="15.6">
      <c r="A13" s="801"/>
      <c r="B13" s="503" t="s">
        <v>385</v>
      </c>
      <c r="C13" s="504"/>
      <c r="D13" s="106"/>
      <c r="E13" s="110"/>
      <c r="F13" s="110"/>
      <c r="G13" s="85">
        <v>7.8E-2</v>
      </c>
      <c r="H13" s="85">
        <v>7.8E-2</v>
      </c>
      <c r="I13" s="86">
        <v>9.5000000000000001E-2</v>
      </c>
      <c r="J13" s="90">
        <v>9.5000000000000001E-2</v>
      </c>
      <c r="K13" s="90">
        <v>9.5000000000000001E-2</v>
      </c>
      <c r="L13" s="90">
        <v>9.5000000000000001E-2</v>
      </c>
      <c r="M13" s="90">
        <v>9.5000000000000001E-2</v>
      </c>
      <c r="N13" s="116">
        <v>9.5000000000000001E-2</v>
      </c>
      <c r="O13" s="523">
        <v>9.5000000000000001E-2</v>
      </c>
    </row>
    <row r="14" spans="1:15" ht="15.6">
      <c r="A14" s="837"/>
      <c r="B14" s="503" t="s">
        <v>102</v>
      </c>
      <c r="C14" s="504" t="s">
        <v>658</v>
      </c>
      <c r="D14" s="106"/>
      <c r="E14" s="268"/>
      <c r="F14" s="110"/>
      <c r="G14" s="110"/>
      <c r="H14" s="110">
        <f t="shared" ref="H14:O14" si="12">G11*H13</f>
        <v>41418702.311999999</v>
      </c>
      <c r="I14" s="111">
        <f t="shared" si="12"/>
        <v>74651000</v>
      </c>
      <c r="J14" s="265">
        <f t="shared" si="12"/>
        <v>71288000</v>
      </c>
      <c r="K14" s="265">
        <f t="shared" si="12"/>
        <v>64159200</v>
      </c>
      <c r="L14" s="265">
        <f t="shared" si="12"/>
        <v>57030400</v>
      </c>
      <c r="M14" s="265">
        <f t="shared" si="12"/>
        <v>49901600</v>
      </c>
      <c r="N14" s="267">
        <f t="shared" si="12"/>
        <v>42772800</v>
      </c>
      <c r="O14" s="511">
        <f t="shared" si="12"/>
        <v>35644000</v>
      </c>
    </row>
    <row r="15" spans="1:15" ht="15.6">
      <c r="A15" s="840" t="s">
        <v>389</v>
      </c>
      <c r="B15" s="519" t="s">
        <v>381</v>
      </c>
      <c r="C15" s="504"/>
      <c r="D15" s="106">
        <f t="shared" ref="D15:O15" si="13">D16</f>
        <v>0</v>
      </c>
      <c r="E15" s="268">
        <f t="shared" si="13"/>
        <v>0</v>
      </c>
      <c r="F15" s="268">
        <f t="shared" si="13"/>
        <v>0</v>
      </c>
      <c r="G15" s="268">
        <f t="shared" si="13"/>
        <v>0</v>
      </c>
      <c r="H15" s="524">
        <f t="shared" si="13"/>
        <v>708834226</v>
      </c>
      <c r="I15" s="525">
        <f t="shared" si="13"/>
        <v>664000000</v>
      </c>
      <c r="J15" s="290">
        <f t="shared" si="13"/>
        <v>597600000</v>
      </c>
      <c r="K15" s="290">
        <f t="shared" si="13"/>
        <v>531200000</v>
      </c>
      <c r="L15" s="290">
        <f t="shared" si="13"/>
        <v>464800000</v>
      </c>
      <c r="M15" s="290">
        <f t="shared" si="13"/>
        <v>398400000</v>
      </c>
      <c r="N15" s="291">
        <f t="shared" si="13"/>
        <v>332000000</v>
      </c>
      <c r="O15" s="526">
        <f t="shared" si="13"/>
        <v>265600000</v>
      </c>
    </row>
    <row r="16" spans="1:15" ht="15.6">
      <c r="A16" s="801"/>
      <c r="B16" s="503" t="s">
        <v>383</v>
      </c>
      <c r="C16" s="504" t="s">
        <v>658</v>
      </c>
      <c r="D16" s="109"/>
      <c r="E16" s="110"/>
      <c r="F16" s="110"/>
      <c r="G16" s="110"/>
      <c r="H16" s="110">
        <v>708834226</v>
      </c>
      <c r="I16" s="111">
        <v>664000000</v>
      </c>
      <c r="J16" s="265">
        <f t="shared" ref="J16:O16" si="14">I16-J17</f>
        <v>597600000</v>
      </c>
      <c r="K16" s="265">
        <f t="shared" si="14"/>
        <v>531200000</v>
      </c>
      <c r="L16" s="265">
        <f t="shared" si="14"/>
        <v>464800000</v>
      </c>
      <c r="M16" s="265">
        <f t="shared" si="14"/>
        <v>398400000</v>
      </c>
      <c r="N16" s="267">
        <f t="shared" si="14"/>
        <v>332000000</v>
      </c>
      <c r="O16" s="511">
        <f t="shared" si="14"/>
        <v>265600000</v>
      </c>
    </row>
    <row r="17" spans="1:15" ht="15.6">
      <c r="A17" s="801"/>
      <c r="B17" s="503" t="s">
        <v>388</v>
      </c>
      <c r="C17" s="504" t="s">
        <v>658</v>
      </c>
      <c r="D17" s="106"/>
      <c r="E17" s="268"/>
      <c r="F17" s="110"/>
      <c r="G17" s="110"/>
      <c r="H17" s="110"/>
      <c r="I17" s="111">
        <f>H16-I16</f>
        <v>44834226</v>
      </c>
      <c r="J17" s="265">
        <f t="shared" ref="J17:O17" si="15">$I$16/10</f>
        <v>66400000</v>
      </c>
      <c r="K17" s="265">
        <f t="shared" si="15"/>
        <v>66400000</v>
      </c>
      <c r="L17" s="265">
        <f t="shared" si="15"/>
        <v>66400000</v>
      </c>
      <c r="M17" s="265">
        <f t="shared" si="15"/>
        <v>66400000</v>
      </c>
      <c r="N17" s="267">
        <f t="shared" si="15"/>
        <v>66400000</v>
      </c>
      <c r="O17" s="511">
        <f t="shared" si="15"/>
        <v>66400000</v>
      </c>
    </row>
    <row r="18" spans="1:15" ht="15.6">
      <c r="A18" s="801"/>
      <c r="B18" s="503" t="s">
        <v>385</v>
      </c>
      <c r="C18" s="504"/>
      <c r="D18" s="106"/>
      <c r="E18" s="268"/>
      <c r="F18" s="110"/>
      <c r="G18" s="110"/>
      <c r="H18" s="112">
        <v>7.8E-2</v>
      </c>
      <c r="I18" s="113">
        <v>0.08</v>
      </c>
      <c r="J18" s="114">
        <v>8.1000000000000003E-2</v>
      </c>
      <c r="K18" s="114">
        <v>9.0999999999999998E-2</v>
      </c>
      <c r="L18" s="114">
        <v>9.0999999999999998E-2</v>
      </c>
      <c r="M18" s="114">
        <v>9.0999999999999998E-2</v>
      </c>
      <c r="N18" s="115">
        <v>9.0999999999999998E-2</v>
      </c>
      <c r="O18" s="527">
        <v>9.0999999999999998E-2</v>
      </c>
    </row>
    <row r="19" spans="1:15" ht="15.6">
      <c r="A19" s="837"/>
      <c r="B19" s="503" t="s">
        <v>102</v>
      </c>
      <c r="C19" s="504" t="s">
        <v>658</v>
      </c>
      <c r="D19" s="106"/>
      <c r="E19" s="268"/>
      <c r="F19" s="110"/>
      <c r="G19" s="110"/>
      <c r="H19" s="110">
        <f>H18*H16</f>
        <v>55289069.627999999</v>
      </c>
      <c r="I19" s="111">
        <f t="shared" ref="I19:O19" si="16">H16*I18</f>
        <v>56706738.079999998</v>
      </c>
      <c r="J19" s="265">
        <f t="shared" si="16"/>
        <v>53784000</v>
      </c>
      <c r="K19" s="265">
        <f t="shared" si="16"/>
        <v>54381600</v>
      </c>
      <c r="L19" s="265">
        <f t="shared" si="16"/>
        <v>48339200</v>
      </c>
      <c r="M19" s="265">
        <f t="shared" si="16"/>
        <v>42296800</v>
      </c>
      <c r="N19" s="267">
        <f t="shared" si="16"/>
        <v>36254400</v>
      </c>
      <c r="O19" s="511">
        <f t="shared" si="16"/>
        <v>30212000</v>
      </c>
    </row>
    <row r="20" spans="1:15" ht="15.6">
      <c r="A20" s="841" t="s">
        <v>390</v>
      </c>
      <c r="B20" s="519" t="s">
        <v>381</v>
      </c>
      <c r="C20" s="504"/>
      <c r="D20" s="520"/>
      <c r="E20" s="521"/>
      <c r="F20" s="521"/>
      <c r="G20" s="521"/>
      <c r="H20" s="521"/>
      <c r="I20" s="26"/>
      <c r="J20" s="303">
        <f>J21+200000000</f>
        <v>1960000000</v>
      </c>
      <c r="K20" s="303">
        <f t="shared" ref="K20:O20" si="17">K21</f>
        <v>1624615384.6153846</v>
      </c>
      <c r="L20" s="303">
        <f t="shared" si="17"/>
        <v>1489230769.2307692</v>
      </c>
      <c r="M20" s="303">
        <f t="shared" si="17"/>
        <v>1353846153.8461537</v>
      </c>
      <c r="N20" s="304">
        <f t="shared" si="17"/>
        <v>1218461538.4615383</v>
      </c>
      <c r="O20" s="502">
        <f t="shared" si="17"/>
        <v>1083076923.0769229</v>
      </c>
    </row>
    <row r="21" spans="1:15" ht="15.6">
      <c r="A21" s="801"/>
      <c r="B21" s="503" t="s">
        <v>383</v>
      </c>
      <c r="C21" s="504" t="s">
        <v>658</v>
      </c>
      <c r="D21" s="520"/>
      <c r="E21" s="521"/>
      <c r="F21" s="521"/>
      <c r="G21" s="521"/>
      <c r="H21" s="521"/>
      <c r="I21" s="522"/>
      <c r="J21" s="265">
        <f>1760000000</f>
        <v>1760000000</v>
      </c>
      <c r="K21" s="265">
        <f t="shared" ref="K21:O21" si="18">J21-K22</f>
        <v>1624615384.6153846</v>
      </c>
      <c r="L21" s="265">
        <f t="shared" si="18"/>
        <v>1489230769.2307692</v>
      </c>
      <c r="M21" s="265">
        <f t="shared" si="18"/>
        <v>1353846153.8461537</v>
      </c>
      <c r="N21" s="267">
        <f t="shared" si="18"/>
        <v>1218461538.4615383</v>
      </c>
      <c r="O21" s="511">
        <f t="shared" si="18"/>
        <v>1083076923.0769229</v>
      </c>
    </row>
    <row r="22" spans="1:15" ht="15.6">
      <c r="A22" s="801"/>
      <c r="B22" s="503" t="s">
        <v>388</v>
      </c>
      <c r="C22" s="504" t="s">
        <v>658</v>
      </c>
      <c r="D22" s="520"/>
      <c r="E22" s="521"/>
      <c r="F22" s="521"/>
      <c r="G22" s="521"/>
      <c r="H22" s="521"/>
      <c r="I22" s="522"/>
      <c r="J22" s="265"/>
      <c r="K22" s="265">
        <f t="shared" ref="K22:O22" si="19">$J$21/13</f>
        <v>135384615.38461539</v>
      </c>
      <c r="L22" s="265">
        <f t="shared" si="19"/>
        <v>135384615.38461539</v>
      </c>
      <c r="M22" s="265">
        <f t="shared" si="19"/>
        <v>135384615.38461539</v>
      </c>
      <c r="N22" s="267">
        <f t="shared" si="19"/>
        <v>135384615.38461539</v>
      </c>
      <c r="O22" s="511">
        <f t="shared" si="19"/>
        <v>135384615.38461539</v>
      </c>
    </row>
    <row r="23" spans="1:15" ht="15.6">
      <c r="A23" s="801"/>
      <c r="B23" s="503" t="s">
        <v>385</v>
      </c>
      <c r="C23" s="504"/>
      <c r="D23" s="520"/>
      <c r="E23" s="521"/>
      <c r="F23" s="521"/>
      <c r="G23" s="521"/>
      <c r="H23" s="521"/>
      <c r="I23" s="522"/>
      <c r="J23" s="265"/>
      <c r="K23" s="528">
        <v>0.08</v>
      </c>
      <c r="L23" s="114">
        <v>8.5000000000000006E-2</v>
      </c>
      <c r="M23" s="114">
        <v>8.5000000000000006E-2</v>
      </c>
      <c r="N23" s="115">
        <v>8.5000000000000006E-2</v>
      </c>
      <c r="O23" s="527">
        <v>8.5000000000000006E-2</v>
      </c>
    </row>
    <row r="24" spans="1:15" ht="15.6">
      <c r="A24" s="837"/>
      <c r="B24" s="503" t="s">
        <v>102</v>
      </c>
      <c r="C24" s="504" t="s">
        <v>658</v>
      </c>
      <c r="D24" s="520"/>
      <c r="E24" s="521"/>
      <c r="F24" s="521"/>
      <c r="G24" s="521"/>
      <c r="H24" s="521"/>
      <c r="I24" s="522"/>
      <c r="J24" s="265"/>
      <c r="K24" s="265">
        <f t="shared" ref="K24:O24" si="20">K23*J21</f>
        <v>140800000</v>
      </c>
      <c r="L24" s="265">
        <f t="shared" si="20"/>
        <v>138092307.69230771</v>
      </c>
      <c r="M24" s="265">
        <f t="shared" si="20"/>
        <v>126584615.38461539</v>
      </c>
      <c r="N24" s="267">
        <f t="shared" si="20"/>
        <v>115076923.07692307</v>
      </c>
      <c r="O24" s="511">
        <f t="shared" si="20"/>
        <v>103569230.76923077</v>
      </c>
    </row>
    <row r="25" spans="1:15" ht="15.6">
      <c r="A25" s="841" t="s">
        <v>391</v>
      </c>
      <c r="B25" s="519" t="s">
        <v>381</v>
      </c>
      <c r="C25" s="443"/>
      <c r="D25" s="520">
        <f t="shared" ref="D25:O25" si="21">D26</f>
        <v>0</v>
      </c>
      <c r="E25" s="521">
        <f t="shared" si="21"/>
        <v>0</v>
      </c>
      <c r="F25" s="521">
        <f t="shared" si="21"/>
        <v>0</v>
      </c>
      <c r="G25" s="521">
        <f t="shared" si="21"/>
        <v>0</v>
      </c>
      <c r="H25" s="521">
        <f t="shared" si="21"/>
        <v>600750000</v>
      </c>
      <c r="I25" s="522">
        <f t="shared" si="21"/>
        <v>547350000</v>
      </c>
      <c r="J25" s="303">
        <f t="shared" si="21"/>
        <v>497590909.09090912</v>
      </c>
      <c r="K25" s="303">
        <f t="shared" si="21"/>
        <v>447831818.18181825</v>
      </c>
      <c r="L25" s="303">
        <f t="shared" si="21"/>
        <v>398072727.27272737</v>
      </c>
      <c r="M25" s="303">
        <f t="shared" si="21"/>
        <v>348313636.36363649</v>
      </c>
      <c r="N25" s="304">
        <f t="shared" si="21"/>
        <v>298554545.45454562</v>
      </c>
      <c r="O25" s="502">
        <f t="shared" si="21"/>
        <v>248795454.54545471</v>
      </c>
    </row>
    <row r="26" spans="1:15" ht="15.6">
      <c r="A26" s="801"/>
      <c r="B26" s="503" t="s">
        <v>383</v>
      </c>
      <c r="C26" s="504" t="s">
        <v>658</v>
      </c>
      <c r="D26" s="109"/>
      <c r="E26" s="110"/>
      <c r="F26" s="110"/>
      <c r="G26" s="110"/>
      <c r="H26" s="110">
        <v>600750000</v>
      </c>
      <c r="I26" s="111">
        <v>547350000</v>
      </c>
      <c r="J26" s="265">
        <f t="shared" ref="J26:O26" si="22">I26-J27</f>
        <v>497590909.09090912</v>
      </c>
      <c r="K26" s="265">
        <f t="shared" si="22"/>
        <v>447831818.18181825</v>
      </c>
      <c r="L26" s="265">
        <f t="shared" si="22"/>
        <v>398072727.27272737</v>
      </c>
      <c r="M26" s="265">
        <f t="shared" si="22"/>
        <v>348313636.36363649</v>
      </c>
      <c r="N26" s="267">
        <f t="shared" si="22"/>
        <v>298554545.45454562</v>
      </c>
      <c r="O26" s="511">
        <f t="shared" si="22"/>
        <v>248795454.54545471</v>
      </c>
    </row>
    <row r="27" spans="1:15" ht="15.6">
      <c r="A27" s="801"/>
      <c r="B27" s="503" t="s">
        <v>388</v>
      </c>
      <c r="C27" s="504" t="s">
        <v>658</v>
      </c>
      <c r="D27" s="109"/>
      <c r="E27" s="110"/>
      <c r="F27" s="110"/>
      <c r="G27" s="110"/>
      <c r="H27" s="110"/>
      <c r="I27" s="111">
        <f>MAX(H26-I26,0)</f>
        <v>53400000</v>
      </c>
      <c r="J27" s="265">
        <f t="shared" ref="J27:O27" si="23">$I$26/11</f>
        <v>49759090.909090906</v>
      </c>
      <c r="K27" s="265">
        <f t="shared" si="23"/>
        <v>49759090.909090906</v>
      </c>
      <c r="L27" s="265">
        <f t="shared" si="23"/>
        <v>49759090.909090906</v>
      </c>
      <c r="M27" s="265">
        <f t="shared" si="23"/>
        <v>49759090.909090906</v>
      </c>
      <c r="N27" s="267">
        <f t="shared" si="23"/>
        <v>49759090.909090906</v>
      </c>
      <c r="O27" s="511">
        <f t="shared" si="23"/>
        <v>49759090.909090906</v>
      </c>
    </row>
    <row r="28" spans="1:15" ht="15.6">
      <c r="A28" s="801"/>
      <c r="B28" s="503" t="s">
        <v>385</v>
      </c>
      <c r="C28" s="529"/>
      <c r="D28" s="109"/>
      <c r="E28" s="110"/>
      <c r="F28" s="110"/>
      <c r="G28" s="110"/>
      <c r="H28" s="112">
        <v>6.8000000000000005E-2</v>
      </c>
      <c r="I28" s="113">
        <v>7.4999999999999997E-2</v>
      </c>
      <c r="J28" s="114">
        <v>8.5000000000000006E-2</v>
      </c>
      <c r="K28" s="114">
        <v>9.5000000000000001E-2</v>
      </c>
      <c r="L28" s="114">
        <v>9.5000000000000001E-2</v>
      </c>
      <c r="M28" s="114">
        <v>9.5000000000000001E-2</v>
      </c>
      <c r="N28" s="115">
        <v>9.5000000000000001E-2</v>
      </c>
      <c r="O28" s="527">
        <v>9.5000000000000001E-2</v>
      </c>
    </row>
    <row r="29" spans="1:15" ht="15.6">
      <c r="A29" s="837"/>
      <c r="B29" s="503" t="s">
        <v>102</v>
      </c>
      <c r="C29" s="504" t="s">
        <v>658</v>
      </c>
      <c r="D29" s="109"/>
      <c r="E29" s="110"/>
      <c r="F29" s="110"/>
      <c r="G29" s="110"/>
      <c r="H29" s="110">
        <f t="shared" ref="H29:O29" si="24">H26*H28</f>
        <v>40851000</v>
      </c>
      <c r="I29" s="111">
        <f t="shared" si="24"/>
        <v>41051250</v>
      </c>
      <c r="J29" s="265">
        <f t="shared" si="24"/>
        <v>42295227.272727281</v>
      </c>
      <c r="K29" s="265">
        <f t="shared" si="24"/>
        <v>42544022.727272734</v>
      </c>
      <c r="L29" s="265">
        <f t="shared" si="24"/>
        <v>37816909.090909101</v>
      </c>
      <c r="M29" s="265">
        <f t="shared" si="24"/>
        <v>33089795.454545468</v>
      </c>
      <c r="N29" s="267">
        <f t="shared" si="24"/>
        <v>28362681.818181835</v>
      </c>
      <c r="O29" s="511">
        <f t="shared" si="24"/>
        <v>23635568.181818198</v>
      </c>
    </row>
    <row r="30" spans="1:15" ht="15.6">
      <c r="A30" s="836" t="s">
        <v>392</v>
      </c>
      <c r="B30" s="519" t="s">
        <v>381</v>
      </c>
      <c r="C30" s="504"/>
      <c r="D30" s="106">
        <f t="shared" ref="D30:M30" si="25">D31</f>
        <v>0</v>
      </c>
      <c r="E30" s="268">
        <f t="shared" si="25"/>
        <v>0</v>
      </c>
      <c r="F30" s="268">
        <f t="shared" si="25"/>
        <v>0</v>
      </c>
      <c r="G30" s="268">
        <f t="shared" si="25"/>
        <v>0</v>
      </c>
      <c r="H30" s="268">
        <f t="shared" si="25"/>
        <v>0</v>
      </c>
      <c r="I30" s="89">
        <f t="shared" si="25"/>
        <v>173128641</v>
      </c>
      <c r="J30" s="266">
        <f t="shared" si="25"/>
        <v>152143351.18181819</v>
      </c>
      <c r="K30" s="266">
        <f t="shared" si="25"/>
        <v>131158061.36363637</v>
      </c>
      <c r="L30" s="266">
        <f t="shared" si="25"/>
        <v>110172771.54545456</v>
      </c>
      <c r="M30" s="266">
        <f t="shared" si="25"/>
        <v>89187481.727272749</v>
      </c>
      <c r="N30" s="267"/>
      <c r="O30" s="511"/>
    </row>
    <row r="31" spans="1:15" ht="15.6">
      <c r="A31" s="801"/>
      <c r="B31" s="503" t="s">
        <v>383</v>
      </c>
      <c r="C31" s="504" t="s">
        <v>658</v>
      </c>
      <c r="D31" s="109"/>
      <c r="E31" s="110"/>
      <c r="F31" s="110"/>
      <c r="G31" s="110"/>
      <c r="H31" s="110"/>
      <c r="I31" s="111">
        <v>173128641</v>
      </c>
      <c r="J31" s="265">
        <f t="shared" ref="J31:O31" si="26">I31-J32</f>
        <v>152143351.18181819</v>
      </c>
      <c r="K31" s="265">
        <f t="shared" si="26"/>
        <v>131158061.36363637</v>
      </c>
      <c r="L31" s="265">
        <f t="shared" si="26"/>
        <v>110172771.54545456</v>
      </c>
      <c r="M31" s="265">
        <f t="shared" si="26"/>
        <v>89187481.727272749</v>
      </c>
      <c r="N31" s="267">
        <f t="shared" si="26"/>
        <v>68202191.909090936</v>
      </c>
      <c r="O31" s="511">
        <f t="shared" si="26"/>
        <v>47216902.090909116</v>
      </c>
    </row>
    <row r="32" spans="1:15" ht="15.6">
      <c r="A32" s="801"/>
      <c r="B32" s="503" t="s">
        <v>388</v>
      </c>
      <c r="C32" s="504" t="s">
        <v>658</v>
      </c>
      <c r="D32" s="106"/>
      <c r="E32" s="268"/>
      <c r="F32" s="110"/>
      <c r="G32" s="110"/>
      <c r="H32" s="110"/>
      <c r="I32" s="111"/>
      <c r="J32" s="265">
        <f t="shared" ref="J32:O32" si="27">($I$31/99)*12</f>
        <v>20985289.81818182</v>
      </c>
      <c r="K32" s="265">
        <f t="shared" si="27"/>
        <v>20985289.81818182</v>
      </c>
      <c r="L32" s="265">
        <f t="shared" si="27"/>
        <v>20985289.81818182</v>
      </c>
      <c r="M32" s="265">
        <f t="shared" si="27"/>
        <v>20985289.81818182</v>
      </c>
      <c r="N32" s="267">
        <f t="shared" si="27"/>
        <v>20985289.81818182</v>
      </c>
      <c r="O32" s="511">
        <f t="shared" si="27"/>
        <v>20985289.81818182</v>
      </c>
    </row>
    <row r="33" spans="1:15" ht="15.6">
      <c r="A33" s="801"/>
      <c r="B33" s="503" t="s">
        <v>385</v>
      </c>
      <c r="C33" s="504"/>
      <c r="D33" s="106"/>
      <c r="E33" s="268"/>
      <c r="F33" s="110"/>
      <c r="G33" s="110"/>
      <c r="H33" s="112"/>
      <c r="I33" s="113"/>
      <c r="J33" s="528">
        <v>0.08</v>
      </c>
      <c r="K33" s="528">
        <v>0.08</v>
      </c>
      <c r="L33" s="528">
        <v>0.08</v>
      </c>
      <c r="M33" s="528">
        <v>0.08</v>
      </c>
      <c r="N33" s="530">
        <v>0.08</v>
      </c>
      <c r="O33" s="531">
        <v>0.08</v>
      </c>
    </row>
    <row r="34" spans="1:15" ht="15.6">
      <c r="A34" s="837"/>
      <c r="B34" s="503" t="s">
        <v>102</v>
      </c>
      <c r="C34" s="504" t="s">
        <v>658</v>
      </c>
      <c r="D34" s="106"/>
      <c r="E34" s="268"/>
      <c r="F34" s="110"/>
      <c r="G34" s="110"/>
      <c r="H34" s="110"/>
      <c r="I34" s="111">
        <f t="shared" ref="I34:O34" si="28">H31*I33</f>
        <v>0</v>
      </c>
      <c r="J34" s="265">
        <f t="shared" si="28"/>
        <v>13850291.280000001</v>
      </c>
      <c r="K34" s="265">
        <f t="shared" si="28"/>
        <v>12171468.094545456</v>
      </c>
      <c r="L34" s="265">
        <f t="shared" si="28"/>
        <v>10492644.90909091</v>
      </c>
      <c r="M34" s="265">
        <f t="shared" si="28"/>
        <v>8813821.7236363646</v>
      </c>
      <c r="N34" s="267">
        <f t="shared" si="28"/>
        <v>7134998.53818182</v>
      </c>
      <c r="O34" s="511">
        <f t="shared" si="28"/>
        <v>5456175.3527272753</v>
      </c>
    </row>
    <row r="35" spans="1:15" ht="15.6">
      <c r="A35" s="532"/>
      <c r="B35" s="503"/>
      <c r="C35" s="504"/>
      <c r="D35" s="106"/>
      <c r="E35" s="268"/>
      <c r="F35" s="110"/>
      <c r="G35" s="110"/>
      <c r="H35" s="110"/>
      <c r="I35" s="111"/>
      <c r="J35" s="265"/>
      <c r="K35" s="265"/>
      <c r="L35" s="265"/>
      <c r="M35" s="265"/>
      <c r="N35" s="267"/>
      <c r="O35" s="511"/>
    </row>
    <row r="36" spans="1:15" ht="15.6">
      <c r="A36" s="836" t="s">
        <v>393</v>
      </c>
      <c r="B36" s="503" t="s">
        <v>381</v>
      </c>
      <c r="C36" s="504" t="s">
        <v>658</v>
      </c>
      <c r="D36" s="533"/>
      <c r="E36" s="534"/>
      <c r="F36" s="534"/>
      <c r="G36" s="535">
        <v>415498000</v>
      </c>
      <c r="H36" s="521">
        <v>462000000</v>
      </c>
      <c r="I36" s="522">
        <v>431000000</v>
      </c>
      <c r="J36" s="536">
        <f t="shared" ref="J36:O36" si="29">I36-J37</f>
        <v>377125000</v>
      </c>
      <c r="K36" s="536">
        <f t="shared" si="29"/>
        <v>323250000</v>
      </c>
      <c r="L36" s="536">
        <f t="shared" si="29"/>
        <v>269375000</v>
      </c>
      <c r="M36" s="536">
        <f t="shared" si="29"/>
        <v>215500000</v>
      </c>
      <c r="N36" s="537">
        <f t="shared" si="29"/>
        <v>161625000</v>
      </c>
      <c r="O36" s="538">
        <f t="shared" si="29"/>
        <v>107750000</v>
      </c>
    </row>
    <row r="37" spans="1:15" ht="15.6">
      <c r="A37" s="801"/>
      <c r="B37" s="503" t="s">
        <v>388</v>
      </c>
      <c r="C37" s="504" t="s">
        <v>658</v>
      </c>
      <c r="D37" s="539"/>
      <c r="E37" s="534"/>
      <c r="F37" s="534">
        <f>E36-F36</f>
        <v>0</v>
      </c>
      <c r="G37" s="540"/>
      <c r="H37" s="540">
        <f t="shared" ref="H37:I37" si="30">MAX(G36-H36,0)</f>
        <v>0</v>
      </c>
      <c r="I37" s="541">
        <f t="shared" si="30"/>
        <v>31000000</v>
      </c>
      <c r="J37" s="536">
        <f t="shared" ref="J37:O37" si="31">$I$36/$D$66</f>
        <v>53875000</v>
      </c>
      <c r="K37" s="536">
        <f t="shared" si="31"/>
        <v>53875000</v>
      </c>
      <c r="L37" s="536">
        <f t="shared" si="31"/>
        <v>53875000</v>
      </c>
      <c r="M37" s="536">
        <f t="shared" si="31"/>
        <v>53875000</v>
      </c>
      <c r="N37" s="537">
        <f t="shared" si="31"/>
        <v>53875000</v>
      </c>
      <c r="O37" s="538">
        <f t="shared" si="31"/>
        <v>53875000</v>
      </c>
    </row>
    <row r="38" spans="1:15" ht="15.6">
      <c r="A38" s="801"/>
      <c r="B38" s="503" t="s">
        <v>385</v>
      </c>
      <c r="C38" s="529"/>
      <c r="D38" s="231"/>
      <c r="E38" s="542"/>
      <c r="F38" s="85"/>
      <c r="G38" s="85">
        <f>F38</f>
        <v>0</v>
      </c>
      <c r="H38" s="85">
        <f>(6.8+2.5)%</f>
        <v>9.3000000000000013E-2</v>
      </c>
      <c r="I38" s="86">
        <f>(6.8+2.7)%</f>
        <v>9.5000000000000001E-2</v>
      </c>
      <c r="J38" s="90">
        <f t="shared" ref="J38:O38" si="32">(4.9+2.7)%</f>
        <v>7.6000000000000012E-2</v>
      </c>
      <c r="K38" s="90">
        <f t="shared" si="32"/>
        <v>7.6000000000000012E-2</v>
      </c>
      <c r="L38" s="90">
        <f t="shared" si="32"/>
        <v>7.6000000000000012E-2</v>
      </c>
      <c r="M38" s="90">
        <f t="shared" si="32"/>
        <v>7.6000000000000012E-2</v>
      </c>
      <c r="N38" s="116">
        <f t="shared" si="32"/>
        <v>7.6000000000000012E-2</v>
      </c>
      <c r="O38" s="523">
        <f t="shared" si="32"/>
        <v>7.6000000000000012E-2</v>
      </c>
    </row>
    <row r="39" spans="1:15" ht="15.6">
      <c r="A39" s="837"/>
      <c r="B39" s="503" t="s">
        <v>102</v>
      </c>
      <c r="C39" s="504" t="s">
        <v>658</v>
      </c>
      <c r="D39" s="533"/>
      <c r="E39" s="534"/>
      <c r="F39" s="540"/>
      <c r="G39" s="540"/>
      <c r="H39" s="540">
        <f t="shared" ref="H39:O39" si="33">G36*H38</f>
        <v>38641314.000000007</v>
      </c>
      <c r="I39" s="541">
        <f t="shared" si="33"/>
        <v>43890000</v>
      </c>
      <c r="J39" s="536">
        <f t="shared" si="33"/>
        <v>32756000.000000004</v>
      </c>
      <c r="K39" s="536">
        <f t="shared" si="33"/>
        <v>28661500.000000004</v>
      </c>
      <c r="L39" s="536">
        <f t="shared" si="33"/>
        <v>24567000.000000004</v>
      </c>
      <c r="M39" s="536">
        <f t="shared" si="33"/>
        <v>20472500.000000004</v>
      </c>
      <c r="N39" s="537">
        <f t="shared" si="33"/>
        <v>16378000.000000002</v>
      </c>
      <c r="O39" s="538">
        <f t="shared" si="33"/>
        <v>12283500.000000002</v>
      </c>
    </row>
    <row r="40" spans="1:15" ht="15.6">
      <c r="A40" s="532"/>
      <c r="B40" s="503"/>
      <c r="C40" s="504"/>
      <c r="D40" s="231"/>
      <c r="E40" s="505"/>
      <c r="F40" s="505"/>
      <c r="G40" s="268"/>
      <c r="H40" s="505"/>
      <c r="I40" s="506"/>
      <c r="J40" s="507"/>
      <c r="K40" s="507"/>
      <c r="L40" s="507"/>
      <c r="M40" s="507"/>
      <c r="N40" s="508"/>
      <c r="O40" s="509"/>
    </row>
    <row r="41" spans="1:15" ht="15.6">
      <c r="A41" s="836" t="s">
        <v>394</v>
      </c>
      <c r="B41" s="503" t="s">
        <v>383</v>
      </c>
      <c r="C41" s="504" t="s">
        <v>658</v>
      </c>
      <c r="D41" s="109"/>
      <c r="E41" s="110"/>
      <c r="F41" s="110"/>
      <c r="G41" s="110"/>
      <c r="H41" s="110"/>
      <c r="I41" s="111">
        <v>406361320</v>
      </c>
      <c r="J41" s="265">
        <f t="shared" ref="J41:N41" si="34">I41-J42</f>
        <v>325089056</v>
      </c>
      <c r="K41" s="265">
        <f t="shared" si="34"/>
        <v>243816792</v>
      </c>
      <c r="L41" s="265">
        <f t="shared" si="34"/>
        <v>162544528</v>
      </c>
      <c r="M41" s="265">
        <f t="shared" si="34"/>
        <v>81272264</v>
      </c>
      <c r="N41" s="267">
        <f t="shared" si="34"/>
        <v>0</v>
      </c>
      <c r="O41" s="511">
        <v>0</v>
      </c>
    </row>
    <row r="42" spans="1:15" ht="15.6">
      <c r="A42" s="801"/>
      <c r="B42" s="503" t="s">
        <v>388</v>
      </c>
      <c r="C42" s="504" t="s">
        <v>658</v>
      </c>
      <c r="D42" s="106"/>
      <c r="E42" s="110"/>
      <c r="F42" s="110"/>
      <c r="G42" s="110"/>
      <c r="H42" s="110"/>
      <c r="I42" s="111"/>
      <c r="J42" s="265">
        <f>$I$41/5</f>
        <v>81272264</v>
      </c>
      <c r="K42" s="265">
        <f t="shared" ref="K42:N42" si="35">$I$41/5</f>
        <v>81272264</v>
      </c>
      <c r="L42" s="265">
        <f t="shared" si="35"/>
        <v>81272264</v>
      </c>
      <c r="M42" s="265">
        <f t="shared" si="35"/>
        <v>81272264</v>
      </c>
      <c r="N42" s="267">
        <f t="shared" si="35"/>
        <v>81272264</v>
      </c>
      <c r="O42" s="511">
        <v>0</v>
      </c>
    </row>
    <row r="43" spans="1:15" ht="15.6">
      <c r="A43" s="801"/>
      <c r="B43" s="503" t="s">
        <v>385</v>
      </c>
      <c r="C43" s="443"/>
      <c r="D43" s="106"/>
      <c r="E43" s="268"/>
      <c r="F43" s="110"/>
      <c r="G43" s="110"/>
      <c r="H43" s="110"/>
      <c r="I43" s="113"/>
      <c r="J43" s="114">
        <v>7.1999999999999995E-2</v>
      </c>
      <c r="K43" s="114">
        <v>7.1999999999999995E-2</v>
      </c>
      <c r="L43" s="114">
        <v>7.1999999999999995E-2</v>
      </c>
      <c r="M43" s="114">
        <v>7.1999999999999995E-2</v>
      </c>
      <c r="N43" s="115">
        <v>7.1999999999999995E-2</v>
      </c>
      <c r="O43" s="527">
        <v>7.1999999999999995E-2</v>
      </c>
    </row>
    <row r="44" spans="1:15" ht="15.6">
      <c r="A44" s="837"/>
      <c r="B44" s="503" t="s">
        <v>102</v>
      </c>
      <c r="C44" s="504" t="s">
        <v>658</v>
      </c>
      <c r="D44" s="106"/>
      <c r="E44" s="268"/>
      <c r="F44" s="268"/>
      <c r="G44" s="268"/>
      <c r="H44" s="268"/>
      <c r="I44" s="89"/>
      <c r="J44" s="266">
        <f t="shared" ref="J44:O44" si="36">J43*I41</f>
        <v>29258015.039999999</v>
      </c>
      <c r="K44" s="266">
        <f t="shared" si="36"/>
        <v>23406412.031999998</v>
      </c>
      <c r="L44" s="266">
        <f t="shared" si="36"/>
        <v>17554809.024</v>
      </c>
      <c r="M44" s="266">
        <f t="shared" si="36"/>
        <v>11703206.015999999</v>
      </c>
      <c r="N44" s="274">
        <f t="shared" si="36"/>
        <v>5851603.0079999994</v>
      </c>
      <c r="O44" s="175">
        <f t="shared" si="36"/>
        <v>0</v>
      </c>
    </row>
    <row r="45" spans="1:15" ht="15.6">
      <c r="A45" s="836" t="s">
        <v>395</v>
      </c>
      <c r="B45" s="761" t="s">
        <v>668</v>
      </c>
      <c r="C45" s="504" t="s">
        <v>396</v>
      </c>
      <c r="D45" s="109"/>
      <c r="E45" s="110"/>
      <c r="F45" s="110"/>
      <c r="G45" s="110">
        <v>300000000</v>
      </c>
      <c r="H45" s="110">
        <v>285000000</v>
      </c>
      <c r="I45" s="111">
        <v>489000000</v>
      </c>
      <c r="J45" s="265">
        <v>455000000</v>
      </c>
      <c r="K45" s="265">
        <f t="shared" ref="K45:O45" si="37">J46</f>
        <v>3839000000</v>
      </c>
      <c r="L45" s="265">
        <f t="shared" si="37"/>
        <v>6439000000</v>
      </c>
      <c r="M45" s="265">
        <f t="shared" si="37"/>
        <v>4939000000</v>
      </c>
      <c r="N45" s="267">
        <f t="shared" si="37"/>
        <v>3439000000</v>
      </c>
      <c r="O45" s="511">
        <f t="shared" si="37"/>
        <v>1339000000</v>
      </c>
    </row>
    <row r="46" spans="1:15" ht="15.6">
      <c r="A46" s="801"/>
      <c r="B46" s="761" t="s">
        <v>669</v>
      </c>
      <c r="C46" s="504" t="s">
        <v>396</v>
      </c>
      <c r="D46" s="109"/>
      <c r="E46" s="110"/>
      <c r="F46" s="110"/>
      <c r="G46" s="110">
        <f>G45-G48</f>
        <v>285000000</v>
      </c>
      <c r="H46" s="110">
        <f t="shared" ref="H46:I46" si="38">H45+H47-H48</f>
        <v>489000000</v>
      </c>
      <c r="I46" s="111">
        <f t="shared" si="38"/>
        <v>455000000</v>
      </c>
      <c r="J46" s="265">
        <f>J45+J47-J48+400000000</f>
        <v>3839000000</v>
      </c>
      <c r="K46" s="265">
        <f t="shared" ref="K46:M46" si="39">K45+K47-K48</f>
        <v>6439000000</v>
      </c>
      <c r="L46" s="265">
        <f t="shared" si="39"/>
        <v>4939000000</v>
      </c>
      <c r="M46" s="265">
        <f t="shared" si="39"/>
        <v>3439000000</v>
      </c>
      <c r="N46" s="267">
        <f>N45+N47-N48-100000000</f>
        <v>1339000000</v>
      </c>
      <c r="O46" s="511">
        <f>O45+O47-O48</f>
        <v>-661000000</v>
      </c>
    </row>
    <row r="47" spans="1:15" ht="15.6">
      <c r="A47" s="801"/>
      <c r="B47" s="761" t="s">
        <v>670</v>
      </c>
      <c r="C47" s="504" t="s">
        <v>396</v>
      </c>
      <c r="D47" s="106"/>
      <c r="E47" s="110"/>
      <c r="F47" s="110"/>
      <c r="G47" s="110">
        <v>0</v>
      </c>
      <c r="H47" s="110">
        <v>219000000</v>
      </c>
      <c r="I47" s="111">
        <v>200000000</v>
      </c>
      <c r="J47" s="265">
        <f>1500000000+700000000+1000000000</f>
        <v>3200000000</v>
      </c>
      <c r="K47" s="265">
        <f>1500000000+300000000+1000000000</f>
        <v>2800000000</v>
      </c>
      <c r="L47" s="265">
        <f t="shared" ref="L47:M47" si="40">1000000000/2</f>
        <v>500000000</v>
      </c>
      <c r="M47" s="265">
        <f t="shared" si="40"/>
        <v>500000000</v>
      </c>
      <c r="N47" s="267"/>
      <c r="O47" s="511"/>
    </row>
    <row r="48" spans="1:15" ht="15.6">
      <c r="A48" s="801"/>
      <c r="B48" s="503" t="s">
        <v>384</v>
      </c>
      <c r="C48" s="504" t="s">
        <v>396</v>
      </c>
      <c r="D48" s="106"/>
      <c r="E48" s="110"/>
      <c r="F48" s="110"/>
      <c r="G48" s="110">
        <v>15000000</v>
      </c>
      <c r="H48" s="110">
        <v>15000000</v>
      </c>
      <c r="I48" s="111">
        <f>231000000+3000000</f>
        <v>234000000</v>
      </c>
      <c r="J48" s="265">
        <f>219000000-3000000</f>
        <v>216000000</v>
      </c>
      <c r="K48" s="265">
        <v>200000000</v>
      </c>
      <c r="L48" s="265">
        <f>1000000000+1000000000</f>
        <v>2000000000</v>
      </c>
      <c r="M48" s="265">
        <f t="shared" ref="M48:O48" si="41">L48</f>
        <v>2000000000</v>
      </c>
      <c r="N48" s="267">
        <f t="shared" si="41"/>
        <v>2000000000</v>
      </c>
      <c r="O48" s="511">
        <f t="shared" si="41"/>
        <v>2000000000</v>
      </c>
    </row>
    <row r="49" spans="1:15" ht="15.6">
      <c r="A49" s="801"/>
      <c r="B49" s="503" t="s">
        <v>385</v>
      </c>
      <c r="C49" s="512"/>
      <c r="D49" s="106"/>
      <c r="E49" s="268"/>
      <c r="F49" s="543"/>
      <c r="G49" s="112">
        <v>7.8E-2</v>
      </c>
      <c r="H49" s="543"/>
      <c r="I49" s="544"/>
      <c r="J49" s="114">
        <v>9.5000000000000001E-2</v>
      </c>
      <c r="K49" s="114">
        <v>9.5000000000000001E-2</v>
      </c>
      <c r="L49" s="114">
        <v>9.5000000000000001E-2</v>
      </c>
      <c r="M49" s="114">
        <v>9.5000000000000001E-2</v>
      </c>
      <c r="N49" s="115">
        <v>9.5000000000000001E-2</v>
      </c>
      <c r="O49" s="527">
        <v>9.5000000000000001E-2</v>
      </c>
    </row>
    <row r="50" spans="1:15" ht="15.6">
      <c r="A50" s="837"/>
      <c r="B50" s="503" t="s">
        <v>102</v>
      </c>
      <c r="C50" s="504" t="s">
        <v>396</v>
      </c>
      <c r="D50" s="106"/>
      <c r="E50" s="268"/>
      <c r="F50" s="110"/>
      <c r="G50" s="110">
        <f>G49*G45</f>
        <v>23400000</v>
      </c>
      <c r="H50" s="110">
        <f>7.8%*H45+12%*H47</f>
        <v>48510000</v>
      </c>
      <c r="I50" s="111">
        <f>10.5%*I47+12%*I45</f>
        <v>79680000</v>
      </c>
      <c r="J50" s="265">
        <f>I50</f>
        <v>79680000</v>
      </c>
      <c r="K50" s="265">
        <f>J49+(K47+J47)*9.5%</f>
        <v>570000000.09500003</v>
      </c>
      <c r="L50" s="265">
        <f t="shared" ref="L50:N50" si="42">K50</f>
        <v>570000000.09500003</v>
      </c>
      <c r="M50" s="265">
        <f t="shared" si="42"/>
        <v>570000000.09500003</v>
      </c>
      <c r="N50" s="267">
        <f t="shared" si="42"/>
        <v>570000000.09500003</v>
      </c>
      <c r="O50" s="511"/>
    </row>
    <row r="51" spans="1:15" ht="15.6">
      <c r="A51" s="838" t="s">
        <v>397</v>
      </c>
      <c r="B51" s="174" t="s">
        <v>398</v>
      </c>
      <c r="C51" s="443"/>
      <c r="D51" s="24"/>
      <c r="E51" s="25"/>
      <c r="F51" s="25"/>
      <c r="G51" s="25"/>
      <c r="H51" s="25"/>
      <c r="I51" s="26"/>
      <c r="J51" s="38"/>
      <c r="K51" s="38"/>
      <c r="L51" s="38"/>
      <c r="M51" s="38"/>
      <c r="N51" s="39"/>
      <c r="O51" s="15"/>
    </row>
    <row r="52" spans="1:15" ht="15.6">
      <c r="A52" s="801"/>
      <c r="B52" s="503" t="s">
        <v>399</v>
      </c>
      <c r="C52" s="504" t="s">
        <v>658</v>
      </c>
      <c r="D52" s="106"/>
      <c r="E52" s="110">
        <f t="shared" ref="E52:I52" si="43">E3+E10+E15+E25+E30+E36+E46+E41</f>
        <v>74210115</v>
      </c>
      <c r="F52" s="110">
        <f t="shared" si="43"/>
        <v>68735115</v>
      </c>
      <c r="G52" s="110">
        <f t="shared" si="43"/>
        <v>1294287119</v>
      </c>
      <c r="H52" s="110">
        <f t="shared" si="43"/>
        <v>3102686341</v>
      </c>
      <c r="I52" s="111">
        <f t="shared" si="43"/>
        <v>3476496076</v>
      </c>
      <c r="J52" s="265">
        <f>J3+J10+J15+J25+J30+J36+J46+J41+J20-20000000-BS!H37/1000 +229000000</f>
        <v>8672313208.272728</v>
      </c>
      <c r="K52" s="265">
        <f>K3+K10+K15+K25+K30+K36+K46+K41-1303900000+3000000000-107500000</f>
        <v>10336700585.145454</v>
      </c>
      <c r="L52" s="265">
        <f>L3+L10+L15+L25+L30+L36+L46+L41-604000000+3432500000</f>
        <v>9721387962.0181808</v>
      </c>
      <c r="M52" s="265">
        <f>M3+M10+M15+M25+M30+M36+M46+M41+127500000+3972500000</f>
        <v>9137675338.8909092</v>
      </c>
      <c r="N52" s="267">
        <f>N3+N10+N15+N25+N30+N36+N46+N41+900000000+4512500000</f>
        <v>7926760523.8545456</v>
      </c>
      <c r="O52" s="511">
        <f>O3+O10+O15+O25+O30+O36+O46+O41</f>
        <v>261305454.54545474</v>
      </c>
    </row>
    <row r="53" spans="1:15" ht="15.6">
      <c r="A53" s="801"/>
      <c r="B53" s="503" t="s">
        <v>400</v>
      </c>
      <c r="C53" s="504" t="s">
        <v>658</v>
      </c>
      <c r="D53" s="106"/>
      <c r="E53" s="110">
        <f t="shared" ref="E53:N53" si="44">E52-F52</f>
        <v>5475000</v>
      </c>
      <c r="F53" s="110">
        <f t="shared" si="44"/>
        <v>-1225552004</v>
      </c>
      <c r="G53" s="110">
        <f t="shared" si="44"/>
        <v>-1808399222</v>
      </c>
      <c r="H53" s="110">
        <f t="shared" si="44"/>
        <v>-373809735</v>
      </c>
      <c r="I53" s="111">
        <f t="shared" si="44"/>
        <v>-5195817132.272728</v>
      </c>
      <c r="J53" s="265">
        <f t="shared" si="44"/>
        <v>-1664387376.8727264</v>
      </c>
      <c r="K53" s="265">
        <f t="shared" si="44"/>
        <v>615312623.12727356</v>
      </c>
      <c r="L53" s="265">
        <f t="shared" si="44"/>
        <v>583712623.12727165</v>
      </c>
      <c r="M53" s="265">
        <f t="shared" si="44"/>
        <v>1210914815.0363636</v>
      </c>
      <c r="N53" s="267">
        <f t="shared" si="44"/>
        <v>7665455069.3090906</v>
      </c>
      <c r="O53" s="511">
        <v>0</v>
      </c>
    </row>
    <row r="54" spans="1:15" ht="15.6">
      <c r="A54" s="801"/>
      <c r="B54" s="503" t="s">
        <v>401</v>
      </c>
      <c r="C54" s="504" t="s">
        <v>658</v>
      </c>
      <c r="D54" s="106"/>
      <c r="E54" s="110">
        <f t="shared" ref="E54:O54" si="45">E52-E53</f>
        <v>68735115</v>
      </c>
      <c r="F54" s="110">
        <f t="shared" si="45"/>
        <v>1294287119</v>
      </c>
      <c r="G54" s="110">
        <f t="shared" si="45"/>
        <v>3102686341</v>
      </c>
      <c r="H54" s="110">
        <f t="shared" si="45"/>
        <v>3476496076</v>
      </c>
      <c r="I54" s="111">
        <f t="shared" si="45"/>
        <v>8672313208.272728</v>
      </c>
      <c r="J54" s="265">
        <f t="shared" si="45"/>
        <v>10336700585.145454</v>
      </c>
      <c r="K54" s="265">
        <f t="shared" si="45"/>
        <v>9721387962.0181808</v>
      </c>
      <c r="L54" s="265">
        <f t="shared" si="45"/>
        <v>9137675338.8909092</v>
      </c>
      <c r="M54" s="265">
        <f t="shared" si="45"/>
        <v>7926760523.8545456</v>
      </c>
      <c r="N54" s="267">
        <f t="shared" si="45"/>
        <v>261305454.54545498</v>
      </c>
      <c r="O54" s="511">
        <f t="shared" si="45"/>
        <v>261305454.54545474</v>
      </c>
    </row>
    <row r="55" spans="1:15" ht="15.6">
      <c r="A55" s="768"/>
      <c r="B55" s="545" t="s">
        <v>402</v>
      </c>
      <c r="C55" s="546" t="s">
        <v>658</v>
      </c>
      <c r="D55" s="547"/>
      <c r="E55" s="548">
        <f t="shared" ref="E55:O55" si="46">E8+E14+E19+E29+E34+E39+E44+E50</f>
        <v>6955300.3499999996</v>
      </c>
      <c r="F55" s="548">
        <f t="shared" si="46"/>
        <v>6678910.3499999996</v>
      </c>
      <c r="G55" s="548">
        <f t="shared" si="46"/>
        <v>29586160.350000001</v>
      </c>
      <c r="H55" s="548">
        <f t="shared" si="46"/>
        <v>230360296.28999999</v>
      </c>
      <c r="I55" s="549">
        <f t="shared" si="46"/>
        <v>301046178.43000001</v>
      </c>
      <c r="J55" s="550">
        <f t="shared" si="46"/>
        <v>327344583.94272727</v>
      </c>
      <c r="K55" s="550">
        <f t="shared" si="46"/>
        <v>798870643.22881818</v>
      </c>
      <c r="L55" s="550">
        <f t="shared" si="46"/>
        <v>768638115.34300005</v>
      </c>
      <c r="M55" s="550">
        <f t="shared" si="46"/>
        <v>738405587.45718193</v>
      </c>
      <c r="N55" s="551">
        <f t="shared" si="46"/>
        <v>708173059.57136369</v>
      </c>
      <c r="O55" s="511">
        <f t="shared" si="46"/>
        <v>107940531.59054548</v>
      </c>
    </row>
    <row r="56" spans="1:15" ht="15.6">
      <c r="A56" s="552"/>
      <c r="B56" s="52"/>
      <c r="C56" s="52"/>
      <c r="D56" s="52"/>
      <c r="E56" s="52"/>
      <c r="F56" s="52"/>
      <c r="G56" s="52"/>
      <c r="H56" s="52"/>
      <c r="I56" s="52"/>
      <c r="J56" s="52"/>
      <c r="K56" s="52"/>
      <c r="L56" s="52"/>
      <c r="M56" s="52"/>
      <c r="N56" s="52"/>
      <c r="O56" s="6"/>
    </row>
    <row r="57" spans="1:15" ht="15.6">
      <c r="A57" s="553"/>
      <c r="B57" s="67"/>
      <c r="C57" s="67"/>
      <c r="D57" s="67"/>
      <c r="E57" s="6"/>
      <c r="F57" s="6"/>
      <c r="G57" s="6"/>
      <c r="H57" s="6"/>
      <c r="I57" s="6"/>
      <c r="J57" s="6"/>
      <c r="K57" s="6"/>
      <c r="L57" s="6"/>
      <c r="M57" s="6"/>
      <c r="N57" s="6"/>
      <c r="O57" s="6"/>
    </row>
    <row r="58" spans="1:15" ht="15.6">
      <c r="A58" s="554" t="s">
        <v>403</v>
      </c>
      <c r="B58" s="555" t="s">
        <v>404</v>
      </c>
      <c r="C58" s="555" t="s">
        <v>405</v>
      </c>
      <c r="D58" s="555" t="s">
        <v>406</v>
      </c>
      <c r="E58" s="15"/>
      <c r="F58" s="6"/>
      <c r="G58" s="6"/>
      <c r="H58" s="6"/>
      <c r="I58" s="6"/>
      <c r="J58" s="6"/>
      <c r="K58" s="6"/>
      <c r="L58" s="6"/>
      <c r="M58" s="6"/>
      <c r="N58" s="6"/>
      <c r="O58" s="6"/>
    </row>
    <row r="59" spans="1:15" ht="15.6">
      <c r="A59" s="556">
        <v>1</v>
      </c>
      <c r="B59" s="557" t="str">
        <f>A4</f>
        <v>CTG (i)</v>
      </c>
      <c r="C59" s="558">
        <v>2026</v>
      </c>
      <c r="D59" s="559">
        <f t="shared" ref="D59:D66" si="47">C59-2021</f>
        <v>5</v>
      </c>
      <c r="E59" s="15"/>
      <c r="F59" s="6"/>
      <c r="G59" s="6"/>
      <c r="H59" s="6"/>
      <c r="I59" s="6"/>
      <c r="J59" s="6"/>
      <c r="K59" s="6"/>
      <c r="L59" s="6"/>
      <c r="M59" s="6"/>
      <c r="N59" s="6"/>
      <c r="O59" s="6"/>
    </row>
    <row r="60" spans="1:15" ht="15.6">
      <c r="A60" s="556">
        <v>2</v>
      </c>
      <c r="B60" s="557" t="str">
        <f>A11</f>
        <v>VCB(i)</v>
      </c>
      <c r="C60" s="558">
        <v>2030</v>
      </c>
      <c r="D60" s="559">
        <f t="shared" si="47"/>
        <v>9</v>
      </c>
      <c r="E60" s="15"/>
      <c r="F60" s="6"/>
      <c r="G60" s="6"/>
      <c r="H60" s="6"/>
      <c r="I60" s="6"/>
      <c r="J60" s="6"/>
      <c r="K60" s="6"/>
      <c r="L60" s="6"/>
      <c r="M60" s="6"/>
      <c r="N60" s="6"/>
      <c r="O60" s="6"/>
    </row>
    <row r="61" spans="1:15" ht="15.6">
      <c r="A61" s="556">
        <v>3</v>
      </c>
      <c r="B61" s="557" t="str">
        <f>A15</f>
        <v>VCB (ii)</v>
      </c>
      <c r="C61" s="558">
        <v>2030</v>
      </c>
      <c r="D61" s="559">
        <f t="shared" si="47"/>
        <v>9</v>
      </c>
      <c r="E61" s="15"/>
      <c r="F61" s="6"/>
      <c r="G61" s="6"/>
      <c r="H61" s="6"/>
      <c r="I61" s="6"/>
      <c r="J61" s="6"/>
      <c r="K61" s="6"/>
      <c r="L61" s="6"/>
      <c r="M61" s="6"/>
      <c r="N61" s="6"/>
      <c r="O61" s="6"/>
    </row>
    <row r="62" spans="1:15" ht="15.6">
      <c r="A62" s="556">
        <v>4</v>
      </c>
      <c r="B62" s="557" t="str">
        <f>A20</f>
        <v>VCB(iii)</v>
      </c>
      <c r="C62" s="558">
        <v>2034</v>
      </c>
      <c r="D62" s="559">
        <f t="shared" si="47"/>
        <v>13</v>
      </c>
      <c r="E62" s="15"/>
      <c r="F62" s="6"/>
      <c r="G62" s="6"/>
      <c r="H62" s="6"/>
      <c r="I62" s="6"/>
      <c r="J62" s="6"/>
      <c r="K62" s="6"/>
      <c r="L62" s="6"/>
      <c r="M62" s="6"/>
      <c r="N62" s="6"/>
      <c r="O62" s="6"/>
    </row>
    <row r="63" spans="1:15" ht="15.6">
      <c r="A63" s="556">
        <v>5</v>
      </c>
      <c r="B63" s="557" t="str">
        <f>A25</f>
        <v>VCB (iv)</v>
      </c>
      <c r="C63" s="558">
        <v>2031</v>
      </c>
      <c r="D63" s="559">
        <f t="shared" si="47"/>
        <v>10</v>
      </c>
      <c r="E63" s="15"/>
      <c r="F63" s="6"/>
      <c r="G63" s="6"/>
      <c r="H63" s="6"/>
      <c r="I63" s="6"/>
      <c r="J63" s="6"/>
      <c r="K63" s="6"/>
      <c r="L63" s="6"/>
      <c r="M63" s="6"/>
      <c r="N63" s="6"/>
      <c r="O63" s="6"/>
    </row>
    <row r="64" spans="1:15" ht="15.6">
      <c r="A64" s="556">
        <v>6</v>
      </c>
      <c r="B64" s="557" t="str">
        <f>A30</f>
        <v>BIDV - Gia Dinh Branch
(due 3/2029)</v>
      </c>
      <c r="C64" s="558">
        <v>2029</v>
      </c>
      <c r="D64" s="559">
        <f t="shared" si="47"/>
        <v>8</v>
      </c>
      <c r="E64" s="15"/>
      <c r="F64" s="6"/>
      <c r="G64" s="6"/>
      <c r="H64" s="6"/>
      <c r="I64" s="6"/>
      <c r="J64" s="6"/>
      <c r="K64" s="6"/>
      <c r="L64" s="6"/>
      <c r="M64" s="6"/>
      <c r="N64" s="6"/>
      <c r="O64" s="6"/>
    </row>
    <row r="65" spans="1:15" ht="15.6">
      <c r="A65" s="556">
        <v>7</v>
      </c>
      <c r="B65" s="557" t="s">
        <v>407</v>
      </c>
      <c r="C65" s="558">
        <v>2026</v>
      </c>
      <c r="D65" s="559">
        <f t="shared" si="47"/>
        <v>5</v>
      </c>
      <c r="E65" s="15"/>
      <c r="F65" s="6"/>
      <c r="G65" s="6"/>
      <c r="H65" s="6"/>
      <c r="I65" s="6"/>
      <c r="J65" s="6"/>
      <c r="K65" s="6"/>
      <c r="L65" s="6"/>
      <c r="M65" s="6"/>
      <c r="N65" s="6"/>
      <c r="O65" s="6"/>
    </row>
    <row r="66" spans="1:15" ht="15.6">
      <c r="A66" s="556">
        <v>8</v>
      </c>
      <c r="B66" s="557" t="s">
        <v>408</v>
      </c>
      <c r="C66" s="557">
        <v>2029</v>
      </c>
      <c r="D66" s="559">
        <f t="shared" si="47"/>
        <v>8</v>
      </c>
      <c r="E66" s="15"/>
      <c r="F66" s="6"/>
      <c r="G66" s="6"/>
      <c r="H66" s="6"/>
      <c r="I66" s="6"/>
      <c r="J66" s="6"/>
      <c r="K66" s="6"/>
      <c r="L66" s="6"/>
      <c r="M66" s="6"/>
      <c r="N66" s="6"/>
      <c r="O66" s="6"/>
    </row>
    <row r="67" spans="1:15" ht="15.6">
      <c r="A67" s="552"/>
      <c r="B67" s="52"/>
      <c r="C67" s="52"/>
      <c r="D67" s="52"/>
      <c r="E67" s="6"/>
      <c r="F67" s="6"/>
      <c r="G67" s="6"/>
      <c r="H67" s="6"/>
      <c r="I67" s="6"/>
      <c r="J67" s="6"/>
      <c r="K67" s="6"/>
      <c r="L67" s="6"/>
      <c r="M67" s="6"/>
      <c r="N67" s="6"/>
      <c r="O67" s="6"/>
    </row>
    <row r="68" spans="1:15" ht="15.6">
      <c r="A68" s="560"/>
      <c r="B68" s="6"/>
      <c r="C68" s="6"/>
      <c r="D68" s="6"/>
      <c r="E68" s="6"/>
      <c r="F68" s="6"/>
      <c r="G68" s="6"/>
      <c r="H68" s="6"/>
      <c r="I68" s="6"/>
      <c r="J68" s="6"/>
      <c r="K68" s="6"/>
      <c r="L68" s="6"/>
      <c r="M68" s="6"/>
      <c r="N68" s="6"/>
      <c r="O68" s="6"/>
    </row>
    <row r="69" spans="1:15" ht="15.6">
      <c r="A69" s="560"/>
      <c r="B69" s="6"/>
      <c r="C69" s="6"/>
      <c r="D69" s="6"/>
      <c r="E69" s="6"/>
      <c r="F69" s="6"/>
      <c r="G69" s="6"/>
      <c r="H69" s="6"/>
      <c r="I69" s="6"/>
      <c r="J69" s="6"/>
      <c r="K69" s="6"/>
      <c r="L69" s="6"/>
      <c r="M69" s="6"/>
      <c r="N69" s="6"/>
      <c r="O69" s="6"/>
    </row>
    <row r="70" spans="1:15" ht="15.6">
      <c r="A70" s="560"/>
      <c r="B70" s="6"/>
      <c r="C70" s="6"/>
      <c r="D70" s="6"/>
      <c r="E70" s="6"/>
      <c r="F70" s="6"/>
      <c r="G70" s="6"/>
      <c r="H70" s="6"/>
      <c r="I70" s="6"/>
      <c r="J70" s="6"/>
      <c r="K70" s="6"/>
      <c r="L70" s="6"/>
      <c r="M70" s="6"/>
      <c r="N70" s="6"/>
      <c r="O70" s="6"/>
    </row>
    <row r="71" spans="1:15" ht="15.6">
      <c r="A71" s="560"/>
      <c r="B71" s="6"/>
      <c r="C71" s="6"/>
      <c r="D71" s="6"/>
      <c r="E71" s="6"/>
      <c r="F71" s="6"/>
      <c r="G71" s="6"/>
      <c r="H71" s="6"/>
      <c r="I71" s="6"/>
      <c r="J71" s="6"/>
      <c r="K71" s="6"/>
      <c r="L71" s="6"/>
      <c r="M71" s="6"/>
      <c r="N71" s="6"/>
      <c r="O71" s="6"/>
    </row>
    <row r="72" spans="1:15" ht="15.6">
      <c r="A72" s="560"/>
      <c r="B72" s="6"/>
      <c r="C72" s="6"/>
      <c r="D72" s="6"/>
      <c r="E72" s="6"/>
      <c r="F72" s="6"/>
      <c r="G72" s="6"/>
      <c r="H72" s="6"/>
      <c r="I72" s="6"/>
      <c r="J72" s="6"/>
      <c r="K72" s="6"/>
      <c r="L72" s="6"/>
      <c r="M72" s="6"/>
      <c r="N72" s="6"/>
      <c r="O72" s="6"/>
    </row>
    <row r="73" spans="1:15" ht="15.6">
      <c r="A73" s="560"/>
      <c r="B73" s="6"/>
      <c r="C73" s="6"/>
      <c r="D73" s="6"/>
      <c r="E73" s="6"/>
      <c r="F73" s="6"/>
      <c r="G73" s="6"/>
      <c r="H73" s="6"/>
      <c r="I73" s="6"/>
      <c r="J73" s="6"/>
      <c r="K73" s="6"/>
      <c r="L73" s="6"/>
      <c r="M73" s="6"/>
      <c r="N73" s="6"/>
      <c r="O73" s="6"/>
    </row>
    <row r="74" spans="1:15" ht="15.6">
      <c r="A74" s="560"/>
      <c r="B74" s="6"/>
      <c r="C74" s="6"/>
      <c r="D74" s="6"/>
      <c r="E74" s="6"/>
      <c r="F74" s="6"/>
      <c r="G74" s="6"/>
      <c r="H74" s="6"/>
      <c r="I74" s="6"/>
      <c r="J74" s="6"/>
      <c r="K74" s="6"/>
      <c r="L74" s="6"/>
      <c r="M74" s="6"/>
      <c r="N74" s="6"/>
      <c r="O74" s="6"/>
    </row>
    <row r="75" spans="1:15" ht="15.6">
      <c r="A75" s="560"/>
      <c r="B75" s="6"/>
      <c r="C75" s="6"/>
      <c r="D75" s="6"/>
      <c r="E75" s="6"/>
      <c r="F75" s="6"/>
      <c r="G75" s="6"/>
      <c r="H75" s="6"/>
      <c r="I75" s="6"/>
      <c r="J75" s="6"/>
      <c r="K75" s="6"/>
      <c r="L75" s="6"/>
      <c r="M75" s="6"/>
      <c r="N75" s="6"/>
      <c r="O75" s="6"/>
    </row>
    <row r="76" spans="1:15" ht="15.6">
      <c r="A76" s="560"/>
      <c r="B76" s="6"/>
      <c r="C76" s="6"/>
      <c r="D76" s="6"/>
      <c r="E76" s="6"/>
      <c r="F76" s="6"/>
      <c r="G76" s="6"/>
      <c r="H76" s="6"/>
      <c r="I76" s="6"/>
      <c r="J76" s="6"/>
      <c r="K76" s="6"/>
      <c r="L76" s="6"/>
      <c r="M76" s="6"/>
      <c r="N76" s="6"/>
      <c r="O76" s="6"/>
    </row>
    <row r="77" spans="1:15" ht="15.6">
      <c r="A77" s="560"/>
      <c r="B77" s="6"/>
      <c r="C77" s="6"/>
      <c r="D77" s="6"/>
      <c r="E77" s="6"/>
      <c r="F77" s="6"/>
      <c r="G77" s="6"/>
      <c r="H77" s="6"/>
      <c r="I77" s="6"/>
      <c r="J77" s="6"/>
      <c r="K77" s="6"/>
      <c r="L77" s="6"/>
      <c r="M77" s="6"/>
      <c r="N77" s="6"/>
      <c r="O77" s="6"/>
    </row>
    <row r="78" spans="1:15" ht="15.6">
      <c r="A78" s="560"/>
      <c r="B78" s="6"/>
      <c r="C78" s="6"/>
      <c r="D78" s="6"/>
      <c r="E78" s="6"/>
      <c r="F78" s="6"/>
      <c r="G78" s="6"/>
      <c r="H78" s="6"/>
      <c r="I78" s="6"/>
      <c r="J78" s="6"/>
      <c r="K78" s="6"/>
      <c r="L78" s="6"/>
      <c r="M78" s="6"/>
      <c r="N78" s="6"/>
      <c r="O78" s="6"/>
    </row>
    <row r="79" spans="1:15" ht="15.6">
      <c r="A79" s="560"/>
      <c r="B79" s="6"/>
      <c r="C79" s="6"/>
      <c r="D79" s="6"/>
      <c r="E79" s="6"/>
      <c r="F79" s="6"/>
      <c r="G79" s="6"/>
      <c r="H79" s="6"/>
      <c r="I79" s="6"/>
      <c r="J79" s="6"/>
      <c r="K79" s="6"/>
      <c r="L79" s="6"/>
      <c r="M79" s="6"/>
      <c r="N79" s="6"/>
      <c r="O79" s="6"/>
    </row>
    <row r="80" spans="1:15" ht="15.6">
      <c r="A80" s="560"/>
      <c r="B80" s="6"/>
      <c r="C80" s="6"/>
      <c r="D80" s="6"/>
      <c r="E80" s="6"/>
      <c r="F80" s="6"/>
      <c r="G80" s="6"/>
      <c r="H80" s="6"/>
      <c r="I80" s="6"/>
      <c r="J80" s="6"/>
      <c r="K80" s="6"/>
      <c r="L80" s="6"/>
      <c r="M80" s="6"/>
      <c r="N80" s="6"/>
      <c r="O80" s="6"/>
    </row>
    <row r="81" spans="1:15" ht="15.6">
      <c r="A81" s="560"/>
      <c r="B81" s="6"/>
      <c r="C81" s="6"/>
      <c r="D81" s="6"/>
      <c r="E81" s="6"/>
      <c r="F81" s="6"/>
      <c r="G81" s="6"/>
      <c r="H81" s="6"/>
      <c r="I81" s="6"/>
      <c r="J81" s="6"/>
      <c r="K81" s="6"/>
      <c r="L81" s="6"/>
      <c r="M81" s="6"/>
      <c r="N81" s="6"/>
      <c r="O81" s="6"/>
    </row>
    <row r="82" spans="1:15" ht="15.6">
      <c r="A82" s="560"/>
      <c r="B82" s="6"/>
      <c r="C82" s="6"/>
      <c r="D82" s="6"/>
      <c r="E82" s="6"/>
      <c r="F82" s="6"/>
      <c r="G82" s="6"/>
      <c r="H82" s="6"/>
      <c r="I82" s="6"/>
      <c r="J82" s="6"/>
      <c r="K82" s="6"/>
      <c r="L82" s="6"/>
      <c r="M82" s="6"/>
      <c r="N82" s="6"/>
      <c r="O82" s="6"/>
    </row>
    <row r="83" spans="1:15" ht="15.6">
      <c r="A83" s="560"/>
      <c r="B83" s="6"/>
      <c r="C83" s="6"/>
      <c r="D83" s="6"/>
      <c r="E83" s="6"/>
      <c r="F83" s="6"/>
      <c r="G83" s="6"/>
      <c r="H83" s="6"/>
      <c r="I83" s="6"/>
      <c r="J83" s="6"/>
      <c r="K83" s="6"/>
      <c r="L83" s="6"/>
      <c r="M83" s="6"/>
      <c r="N83" s="6"/>
      <c r="O83" s="6"/>
    </row>
    <row r="84" spans="1:15" ht="15.6">
      <c r="A84" s="560"/>
      <c r="B84" s="6"/>
      <c r="C84" s="6"/>
      <c r="D84" s="6"/>
      <c r="E84" s="6"/>
      <c r="F84" s="6"/>
      <c r="G84" s="6"/>
      <c r="H84" s="6"/>
      <c r="I84" s="6"/>
      <c r="J84" s="6"/>
      <c r="K84" s="6"/>
      <c r="L84" s="6"/>
      <c r="M84" s="6"/>
      <c r="N84" s="6"/>
      <c r="O84" s="6"/>
    </row>
    <row r="85" spans="1:15" ht="15.6">
      <c r="A85" s="560"/>
      <c r="B85" s="6"/>
      <c r="C85" s="6"/>
      <c r="D85" s="6"/>
      <c r="E85" s="6"/>
      <c r="F85" s="6"/>
      <c r="G85" s="6"/>
      <c r="H85" s="6"/>
      <c r="I85" s="6"/>
      <c r="J85" s="6"/>
      <c r="K85" s="6"/>
      <c r="L85" s="6"/>
      <c r="M85" s="6"/>
      <c r="N85" s="6"/>
      <c r="O85" s="6"/>
    </row>
    <row r="86" spans="1:15" ht="15.6">
      <c r="A86" s="560"/>
      <c r="B86" s="6"/>
      <c r="C86" s="6"/>
      <c r="D86" s="6"/>
      <c r="E86" s="6"/>
      <c r="F86" s="6"/>
      <c r="G86" s="6"/>
      <c r="H86" s="6"/>
      <c r="I86" s="6"/>
      <c r="J86" s="6"/>
      <c r="K86" s="6"/>
      <c r="L86" s="6"/>
      <c r="M86" s="6"/>
      <c r="N86" s="6"/>
      <c r="O86" s="6"/>
    </row>
    <row r="87" spans="1:15" ht="15.6">
      <c r="A87" s="560"/>
      <c r="B87" s="6"/>
      <c r="C87" s="6"/>
      <c r="D87" s="6"/>
      <c r="E87" s="6"/>
      <c r="F87" s="6"/>
      <c r="G87" s="6"/>
      <c r="H87" s="6"/>
      <c r="I87" s="6"/>
      <c r="J87" s="6"/>
      <c r="K87" s="6"/>
      <c r="L87" s="6"/>
      <c r="M87" s="6"/>
      <c r="N87" s="6"/>
      <c r="O87" s="6"/>
    </row>
    <row r="88" spans="1:15" ht="15.6">
      <c r="A88" s="560"/>
      <c r="B88" s="6"/>
      <c r="C88" s="6"/>
      <c r="D88" s="6"/>
      <c r="E88" s="6"/>
      <c r="F88" s="6"/>
      <c r="G88" s="6"/>
      <c r="H88" s="6"/>
      <c r="I88" s="6"/>
      <c r="J88" s="6"/>
      <c r="K88" s="6"/>
      <c r="L88" s="6"/>
      <c r="M88" s="6"/>
      <c r="N88" s="6"/>
      <c r="O88" s="6"/>
    </row>
    <row r="89" spans="1:15" ht="15.6">
      <c r="A89" s="560"/>
      <c r="B89" s="6"/>
      <c r="C89" s="6"/>
      <c r="D89" s="6"/>
      <c r="E89" s="6"/>
      <c r="F89" s="6"/>
      <c r="G89" s="6"/>
      <c r="H89" s="6"/>
      <c r="I89" s="6"/>
      <c r="J89" s="6"/>
      <c r="K89" s="6"/>
      <c r="L89" s="6"/>
      <c r="M89" s="6"/>
      <c r="N89" s="6"/>
      <c r="O89" s="6"/>
    </row>
    <row r="90" spans="1:15" ht="15.6">
      <c r="A90" s="560"/>
      <c r="B90" s="6"/>
      <c r="C90" s="6"/>
      <c r="D90" s="6"/>
      <c r="E90" s="6"/>
      <c r="F90" s="6"/>
      <c r="G90" s="6"/>
      <c r="H90" s="6"/>
      <c r="I90" s="6"/>
      <c r="J90" s="6"/>
      <c r="K90" s="6"/>
      <c r="L90" s="6"/>
      <c r="M90" s="6"/>
      <c r="N90" s="6"/>
      <c r="O90" s="6"/>
    </row>
    <row r="91" spans="1:15" ht="15.6">
      <c r="A91" s="560"/>
      <c r="B91" s="6"/>
      <c r="C91" s="6"/>
      <c r="D91" s="6"/>
      <c r="E91" s="6"/>
      <c r="F91" s="6"/>
      <c r="G91" s="6"/>
      <c r="H91" s="6"/>
      <c r="I91" s="6"/>
      <c r="J91" s="6"/>
      <c r="K91" s="6"/>
      <c r="L91" s="6"/>
      <c r="M91" s="6"/>
      <c r="N91" s="6"/>
      <c r="O91" s="6"/>
    </row>
    <row r="92" spans="1:15" ht="15.6">
      <c r="A92" s="560"/>
      <c r="B92" s="6"/>
      <c r="C92" s="6"/>
      <c r="D92" s="6"/>
      <c r="E92" s="6"/>
      <c r="F92" s="6"/>
      <c r="G92" s="6"/>
      <c r="H92" s="6"/>
      <c r="I92" s="6"/>
      <c r="J92" s="6"/>
      <c r="K92" s="6"/>
      <c r="L92" s="6"/>
      <c r="M92" s="6"/>
      <c r="N92" s="6"/>
      <c r="O92" s="6"/>
    </row>
    <row r="93" spans="1:15" ht="15.6">
      <c r="A93" s="560"/>
      <c r="B93" s="6"/>
      <c r="C93" s="6"/>
      <c r="D93" s="6"/>
      <c r="E93" s="6"/>
      <c r="F93" s="6"/>
      <c r="G93" s="6"/>
      <c r="H93" s="6"/>
      <c r="I93" s="6"/>
      <c r="J93" s="6"/>
      <c r="K93" s="6"/>
      <c r="L93" s="6"/>
      <c r="M93" s="6"/>
      <c r="N93" s="6"/>
      <c r="O93" s="6"/>
    </row>
    <row r="94" spans="1:15" ht="15.6">
      <c r="A94" s="560"/>
      <c r="B94" s="6"/>
      <c r="C94" s="6"/>
      <c r="D94" s="6"/>
      <c r="E94" s="6"/>
      <c r="F94" s="6"/>
      <c r="G94" s="6"/>
      <c r="H94" s="6"/>
      <c r="I94" s="6"/>
      <c r="J94" s="6"/>
      <c r="K94" s="6"/>
      <c r="L94" s="6"/>
      <c r="M94" s="6"/>
      <c r="N94" s="6"/>
      <c r="O94" s="6"/>
    </row>
    <row r="95" spans="1:15" ht="15.6">
      <c r="A95" s="560"/>
      <c r="B95" s="6"/>
      <c r="C95" s="6"/>
      <c r="D95" s="6"/>
      <c r="E95" s="6"/>
      <c r="F95" s="6"/>
      <c r="G95" s="6"/>
      <c r="H95" s="6"/>
      <c r="I95" s="6"/>
      <c r="J95" s="6"/>
      <c r="K95" s="6"/>
      <c r="L95" s="6"/>
      <c r="M95" s="6"/>
      <c r="N95" s="6"/>
      <c r="O95" s="6"/>
    </row>
    <row r="96" spans="1:15" ht="15.6">
      <c r="A96" s="560"/>
      <c r="B96" s="6"/>
      <c r="C96" s="6"/>
      <c r="D96" s="6"/>
      <c r="E96" s="6"/>
      <c r="F96" s="6"/>
      <c r="G96" s="6"/>
      <c r="H96" s="6"/>
      <c r="I96" s="6"/>
      <c r="J96" s="6"/>
      <c r="K96" s="6"/>
      <c r="L96" s="6"/>
      <c r="M96" s="6"/>
      <c r="N96" s="6"/>
      <c r="O96" s="6"/>
    </row>
    <row r="97" spans="1:15" ht="15.6">
      <c r="A97" s="560"/>
      <c r="B97" s="6"/>
      <c r="C97" s="6"/>
      <c r="D97" s="6"/>
      <c r="E97" s="6"/>
      <c r="F97" s="6"/>
      <c r="G97" s="6"/>
      <c r="H97" s="6"/>
      <c r="I97" s="6"/>
      <c r="J97" s="6"/>
      <c r="K97" s="6"/>
      <c r="L97" s="6"/>
      <c r="M97" s="6"/>
      <c r="N97" s="6"/>
      <c r="O97" s="6"/>
    </row>
    <row r="98" spans="1:15" ht="15.6">
      <c r="A98" s="560"/>
      <c r="B98" s="6"/>
      <c r="C98" s="6"/>
      <c r="D98" s="6"/>
      <c r="E98" s="6"/>
      <c r="F98" s="6"/>
      <c r="G98" s="6"/>
      <c r="H98" s="6"/>
      <c r="I98" s="6"/>
      <c r="J98" s="6"/>
      <c r="K98" s="6"/>
      <c r="L98" s="6"/>
      <c r="M98" s="6"/>
      <c r="N98" s="6"/>
      <c r="O98" s="6"/>
    </row>
    <row r="99" spans="1:15" ht="15.6">
      <c r="A99" s="560"/>
      <c r="B99" s="6"/>
      <c r="C99" s="6"/>
      <c r="D99" s="6"/>
      <c r="E99" s="6"/>
      <c r="F99" s="6"/>
      <c r="G99" s="6"/>
      <c r="H99" s="6"/>
      <c r="I99" s="6"/>
      <c r="J99" s="6"/>
      <c r="K99" s="6"/>
      <c r="L99" s="6"/>
      <c r="M99" s="6"/>
      <c r="N99" s="6"/>
      <c r="O99" s="6"/>
    </row>
    <row r="100" spans="1:15" ht="15.6">
      <c r="A100" s="560"/>
      <c r="B100" s="6"/>
      <c r="C100" s="6"/>
      <c r="D100" s="6"/>
      <c r="E100" s="6"/>
      <c r="F100" s="6"/>
      <c r="G100" s="6"/>
      <c r="H100" s="6"/>
      <c r="I100" s="6"/>
      <c r="J100" s="6"/>
      <c r="K100" s="6"/>
      <c r="L100" s="6"/>
      <c r="M100" s="6"/>
      <c r="N100" s="6"/>
      <c r="O100" s="6"/>
    </row>
    <row r="101" spans="1:15" ht="15.6">
      <c r="A101" s="560"/>
      <c r="B101" s="6"/>
      <c r="C101" s="6"/>
      <c r="D101" s="6"/>
      <c r="E101" s="6"/>
      <c r="F101" s="6"/>
      <c r="G101" s="6"/>
      <c r="H101" s="6"/>
      <c r="I101" s="6"/>
      <c r="J101" s="6"/>
      <c r="K101" s="6"/>
      <c r="L101" s="6"/>
      <c r="M101" s="6"/>
      <c r="N101" s="6"/>
      <c r="O101" s="6"/>
    </row>
    <row r="102" spans="1:15" ht="15.6">
      <c r="A102" s="560"/>
      <c r="B102" s="6"/>
      <c r="C102" s="6"/>
      <c r="D102" s="6"/>
      <c r="E102" s="6"/>
      <c r="F102" s="6"/>
      <c r="G102" s="6"/>
      <c r="H102" s="6"/>
      <c r="I102" s="6"/>
      <c r="J102" s="6"/>
      <c r="K102" s="6"/>
      <c r="L102" s="6"/>
      <c r="M102" s="6"/>
      <c r="N102" s="6"/>
      <c r="O102" s="6"/>
    </row>
    <row r="103" spans="1:15" ht="15.6">
      <c r="A103" s="560"/>
      <c r="B103" s="6"/>
      <c r="C103" s="6"/>
      <c r="D103" s="6"/>
      <c r="E103" s="6"/>
      <c r="F103" s="6"/>
      <c r="G103" s="6"/>
      <c r="H103" s="6"/>
      <c r="I103" s="6"/>
      <c r="J103" s="6"/>
      <c r="K103" s="6"/>
      <c r="L103" s="6"/>
      <c r="M103" s="6"/>
      <c r="N103" s="6"/>
      <c r="O103" s="6"/>
    </row>
    <row r="104" spans="1:15" ht="15.6">
      <c r="A104" s="560"/>
      <c r="B104" s="6"/>
      <c r="C104" s="6"/>
      <c r="D104" s="6"/>
      <c r="E104" s="6"/>
      <c r="F104" s="6"/>
      <c r="G104" s="6"/>
      <c r="H104" s="6"/>
      <c r="I104" s="6"/>
      <c r="J104" s="6"/>
      <c r="K104" s="6"/>
      <c r="L104" s="6"/>
      <c r="M104" s="6"/>
      <c r="N104" s="6"/>
      <c r="O104" s="6"/>
    </row>
    <row r="105" spans="1:15" ht="15.6">
      <c r="A105" s="560"/>
      <c r="B105" s="6"/>
      <c r="C105" s="6"/>
      <c r="D105" s="6"/>
      <c r="E105" s="6"/>
      <c r="F105" s="6"/>
      <c r="G105" s="6"/>
      <c r="H105" s="6"/>
      <c r="I105" s="6"/>
      <c r="J105" s="6"/>
      <c r="K105" s="6"/>
      <c r="L105" s="6"/>
      <c r="M105" s="6"/>
      <c r="N105" s="6"/>
      <c r="O105" s="6"/>
    </row>
    <row r="106" spans="1:15" ht="15.6">
      <c r="A106" s="560"/>
      <c r="B106" s="6"/>
      <c r="C106" s="6"/>
      <c r="D106" s="6"/>
      <c r="E106" s="6"/>
      <c r="F106" s="6"/>
      <c r="G106" s="6"/>
      <c r="H106" s="6"/>
      <c r="I106" s="6"/>
      <c r="J106" s="6"/>
      <c r="K106" s="6"/>
      <c r="L106" s="6"/>
      <c r="M106" s="6"/>
      <c r="N106" s="6"/>
      <c r="O106" s="6"/>
    </row>
    <row r="107" spans="1:15" ht="15.6">
      <c r="A107" s="560"/>
      <c r="B107" s="6"/>
      <c r="C107" s="6"/>
      <c r="D107" s="6"/>
      <c r="E107" s="6"/>
      <c r="F107" s="6"/>
      <c r="G107" s="6"/>
      <c r="H107" s="6"/>
      <c r="I107" s="6"/>
      <c r="J107" s="6"/>
      <c r="K107" s="6"/>
      <c r="L107" s="6"/>
      <c r="M107" s="6"/>
      <c r="N107" s="6"/>
      <c r="O107" s="6"/>
    </row>
    <row r="108" spans="1:15" ht="15.6">
      <c r="A108" s="560"/>
      <c r="B108" s="6"/>
      <c r="C108" s="6"/>
      <c r="D108" s="6"/>
      <c r="E108" s="6"/>
      <c r="F108" s="6"/>
      <c r="G108" s="6"/>
      <c r="H108" s="6"/>
      <c r="I108" s="6"/>
      <c r="J108" s="6"/>
      <c r="K108" s="6"/>
      <c r="L108" s="6"/>
      <c r="M108" s="6"/>
      <c r="N108" s="6"/>
      <c r="O108" s="6"/>
    </row>
    <row r="109" spans="1:15" ht="15.6">
      <c r="A109" s="560"/>
      <c r="B109" s="6"/>
      <c r="C109" s="6"/>
      <c r="D109" s="6"/>
      <c r="E109" s="6"/>
      <c r="F109" s="6"/>
      <c r="G109" s="6"/>
      <c r="H109" s="6"/>
      <c r="I109" s="6"/>
      <c r="J109" s="6"/>
      <c r="K109" s="6"/>
      <c r="L109" s="6"/>
      <c r="M109" s="6"/>
      <c r="N109" s="6"/>
      <c r="O109" s="6"/>
    </row>
    <row r="110" spans="1:15" ht="15.6">
      <c r="A110" s="560"/>
      <c r="B110" s="6"/>
      <c r="C110" s="6"/>
      <c r="D110" s="6"/>
      <c r="E110" s="6"/>
      <c r="F110" s="6"/>
      <c r="G110" s="6"/>
      <c r="H110" s="6"/>
      <c r="I110" s="6"/>
      <c r="J110" s="6"/>
      <c r="K110" s="6"/>
      <c r="L110" s="6"/>
      <c r="M110" s="6"/>
      <c r="N110" s="6"/>
      <c r="O110" s="6"/>
    </row>
    <row r="111" spans="1:15" ht="15.6">
      <c r="A111" s="560"/>
      <c r="B111" s="6"/>
      <c r="C111" s="6"/>
      <c r="D111" s="6"/>
      <c r="E111" s="6"/>
      <c r="F111" s="6"/>
      <c r="G111" s="6"/>
      <c r="H111" s="6"/>
      <c r="I111" s="6"/>
      <c r="J111" s="6"/>
      <c r="K111" s="6"/>
      <c r="L111" s="6"/>
      <c r="M111" s="6"/>
      <c r="N111" s="6"/>
      <c r="O111" s="6"/>
    </row>
    <row r="112" spans="1:15" ht="15.6">
      <c r="A112" s="560"/>
      <c r="B112" s="6"/>
      <c r="C112" s="6"/>
      <c r="D112" s="6"/>
      <c r="E112" s="6"/>
      <c r="F112" s="6"/>
      <c r="G112" s="6"/>
      <c r="H112" s="6"/>
      <c r="I112" s="6"/>
      <c r="J112" s="6"/>
      <c r="K112" s="6"/>
      <c r="L112" s="6"/>
      <c r="M112" s="6"/>
      <c r="N112" s="6"/>
      <c r="O112" s="6"/>
    </row>
    <row r="113" spans="1:15" ht="15.6">
      <c r="A113" s="560"/>
      <c r="B113" s="6"/>
      <c r="C113" s="6"/>
      <c r="D113" s="6"/>
      <c r="E113" s="6"/>
      <c r="F113" s="6"/>
      <c r="G113" s="6"/>
      <c r="H113" s="6"/>
      <c r="I113" s="6"/>
      <c r="J113" s="6"/>
      <c r="K113" s="6"/>
      <c r="L113" s="6"/>
      <c r="M113" s="6"/>
      <c r="N113" s="6"/>
      <c r="O113" s="6"/>
    </row>
    <row r="114" spans="1:15" ht="15.6">
      <c r="A114" s="560"/>
      <c r="B114" s="6"/>
      <c r="C114" s="6"/>
      <c r="D114" s="6"/>
      <c r="E114" s="6"/>
      <c r="F114" s="6"/>
      <c r="G114" s="6"/>
      <c r="H114" s="6"/>
      <c r="I114" s="6"/>
      <c r="J114" s="6"/>
      <c r="K114" s="6"/>
      <c r="L114" s="6"/>
      <c r="M114" s="6"/>
      <c r="N114" s="6"/>
      <c r="O114" s="6"/>
    </row>
    <row r="115" spans="1:15" ht="15.6">
      <c r="A115" s="560"/>
      <c r="B115" s="6"/>
      <c r="C115" s="6"/>
      <c r="D115" s="6"/>
      <c r="E115" s="6"/>
      <c r="F115" s="6"/>
      <c r="G115" s="6"/>
      <c r="H115" s="6"/>
      <c r="I115" s="6"/>
      <c r="J115" s="6"/>
      <c r="K115" s="6"/>
      <c r="L115" s="6"/>
      <c r="M115" s="6"/>
      <c r="N115" s="6"/>
      <c r="O115" s="6"/>
    </row>
    <row r="116" spans="1:15" ht="15.6">
      <c r="A116" s="560"/>
      <c r="B116" s="6"/>
      <c r="C116" s="6"/>
      <c r="D116" s="6"/>
      <c r="E116" s="6"/>
      <c r="F116" s="6"/>
      <c r="G116" s="6"/>
      <c r="H116" s="6"/>
      <c r="I116" s="6"/>
      <c r="J116" s="6"/>
      <c r="K116" s="6"/>
      <c r="L116" s="6"/>
      <c r="M116" s="6"/>
      <c r="N116" s="6"/>
      <c r="O116" s="6"/>
    </row>
    <row r="117" spans="1:15" ht="15.6">
      <c r="A117" s="560"/>
      <c r="B117" s="6"/>
      <c r="C117" s="6"/>
      <c r="D117" s="6"/>
      <c r="E117" s="6"/>
      <c r="F117" s="6"/>
      <c r="G117" s="6"/>
      <c r="H117" s="6"/>
      <c r="I117" s="6"/>
      <c r="J117" s="6"/>
      <c r="K117" s="6"/>
      <c r="L117" s="6"/>
      <c r="M117" s="6"/>
      <c r="N117" s="6"/>
      <c r="O117" s="6"/>
    </row>
    <row r="118" spans="1:15" ht="15.6">
      <c r="A118" s="560"/>
      <c r="B118" s="6"/>
      <c r="C118" s="6"/>
      <c r="D118" s="6"/>
      <c r="E118" s="6"/>
      <c r="F118" s="6"/>
      <c r="G118" s="6"/>
      <c r="H118" s="6"/>
      <c r="I118" s="6"/>
      <c r="J118" s="6"/>
      <c r="K118" s="6"/>
      <c r="L118" s="6"/>
      <c r="M118" s="6"/>
      <c r="N118" s="6"/>
      <c r="O118" s="6"/>
    </row>
    <row r="119" spans="1:15" ht="15.6">
      <c r="A119" s="560"/>
      <c r="B119" s="6"/>
      <c r="C119" s="6"/>
      <c r="D119" s="6"/>
      <c r="E119" s="6"/>
      <c r="F119" s="6"/>
      <c r="G119" s="6"/>
      <c r="H119" s="6"/>
      <c r="I119" s="6"/>
      <c r="J119" s="6"/>
      <c r="K119" s="6"/>
      <c r="L119" s="6"/>
      <c r="M119" s="6"/>
      <c r="N119" s="6"/>
      <c r="O119" s="6"/>
    </row>
    <row r="120" spans="1:15" ht="15.6">
      <c r="A120" s="560"/>
      <c r="B120" s="6"/>
      <c r="C120" s="6"/>
      <c r="D120" s="6"/>
      <c r="E120" s="6"/>
      <c r="F120" s="6"/>
      <c r="G120" s="6"/>
      <c r="H120" s="6"/>
      <c r="I120" s="6"/>
      <c r="J120" s="6"/>
      <c r="K120" s="6"/>
      <c r="L120" s="6"/>
      <c r="M120" s="6"/>
      <c r="N120" s="6"/>
      <c r="O120" s="6"/>
    </row>
    <row r="121" spans="1:15" ht="15.6">
      <c r="A121" s="560"/>
      <c r="B121" s="6"/>
      <c r="C121" s="6"/>
      <c r="D121" s="6"/>
      <c r="E121" s="6"/>
      <c r="F121" s="6"/>
      <c r="G121" s="6"/>
      <c r="H121" s="6"/>
      <c r="I121" s="6"/>
      <c r="J121" s="6"/>
      <c r="K121" s="6"/>
      <c r="L121" s="6"/>
      <c r="M121" s="6"/>
      <c r="N121" s="6"/>
      <c r="O121" s="6"/>
    </row>
    <row r="122" spans="1:15" ht="15.6">
      <c r="A122" s="560"/>
      <c r="B122" s="6"/>
      <c r="C122" s="6"/>
      <c r="D122" s="6"/>
      <c r="E122" s="6"/>
      <c r="F122" s="6"/>
      <c r="G122" s="6"/>
      <c r="H122" s="6"/>
      <c r="I122" s="6"/>
      <c r="J122" s="6"/>
      <c r="K122" s="6"/>
      <c r="L122" s="6"/>
      <c r="M122" s="6"/>
      <c r="N122" s="6"/>
      <c r="O122" s="6"/>
    </row>
    <row r="123" spans="1:15" ht="15.6">
      <c r="A123" s="560"/>
      <c r="B123" s="6"/>
      <c r="C123" s="6"/>
      <c r="D123" s="6"/>
      <c r="E123" s="6"/>
      <c r="F123" s="6"/>
      <c r="G123" s="6"/>
      <c r="H123" s="6"/>
      <c r="I123" s="6"/>
      <c r="J123" s="6"/>
      <c r="K123" s="6"/>
      <c r="L123" s="6"/>
      <c r="M123" s="6"/>
      <c r="N123" s="6"/>
      <c r="O123" s="6"/>
    </row>
    <row r="124" spans="1:15" ht="15.6">
      <c r="A124" s="560"/>
      <c r="B124" s="6"/>
      <c r="C124" s="6"/>
      <c r="D124" s="6"/>
      <c r="E124" s="6"/>
      <c r="F124" s="6"/>
      <c r="G124" s="6"/>
      <c r="H124" s="6"/>
      <c r="I124" s="6"/>
      <c r="J124" s="6"/>
      <c r="K124" s="6"/>
      <c r="L124" s="6"/>
      <c r="M124" s="6"/>
      <c r="N124" s="6"/>
      <c r="O124" s="6"/>
    </row>
    <row r="125" spans="1:15" ht="15.6">
      <c r="A125" s="560"/>
      <c r="B125" s="6"/>
      <c r="C125" s="6"/>
      <c r="D125" s="6"/>
      <c r="E125" s="6"/>
      <c r="F125" s="6"/>
      <c r="G125" s="6"/>
      <c r="H125" s="6"/>
      <c r="I125" s="6"/>
      <c r="J125" s="6"/>
      <c r="K125" s="6"/>
      <c r="L125" s="6"/>
      <c r="M125" s="6"/>
      <c r="N125" s="6"/>
      <c r="O125" s="6"/>
    </row>
    <row r="126" spans="1:15" ht="15.6">
      <c r="A126" s="560"/>
      <c r="B126" s="6"/>
      <c r="C126" s="6"/>
      <c r="D126" s="6"/>
      <c r="E126" s="6"/>
      <c r="F126" s="6"/>
      <c r="G126" s="6"/>
      <c r="H126" s="6"/>
      <c r="I126" s="6"/>
      <c r="J126" s="6"/>
      <c r="K126" s="6"/>
      <c r="L126" s="6"/>
      <c r="M126" s="6"/>
      <c r="N126" s="6"/>
      <c r="O126" s="6"/>
    </row>
    <row r="127" spans="1:15" ht="15.6">
      <c r="A127" s="560"/>
      <c r="B127" s="6"/>
      <c r="C127" s="6"/>
      <c r="D127" s="6"/>
      <c r="E127" s="6"/>
      <c r="F127" s="6"/>
      <c r="G127" s="6"/>
      <c r="H127" s="6"/>
      <c r="I127" s="6"/>
      <c r="J127" s="6"/>
      <c r="K127" s="6"/>
      <c r="L127" s="6"/>
      <c r="M127" s="6"/>
      <c r="N127" s="6"/>
      <c r="O127" s="6"/>
    </row>
    <row r="128" spans="1:15" ht="15.6">
      <c r="A128" s="560"/>
      <c r="B128" s="6"/>
      <c r="C128" s="6"/>
      <c r="D128" s="6"/>
      <c r="E128" s="6"/>
      <c r="F128" s="6"/>
      <c r="G128" s="6"/>
      <c r="H128" s="6"/>
      <c r="I128" s="6"/>
      <c r="J128" s="6"/>
      <c r="K128" s="6"/>
      <c r="L128" s="6"/>
      <c r="M128" s="6"/>
      <c r="N128" s="6"/>
      <c r="O128" s="6"/>
    </row>
    <row r="129" spans="1:15" ht="15.6">
      <c r="A129" s="560"/>
      <c r="B129" s="6"/>
      <c r="C129" s="6"/>
      <c r="D129" s="6"/>
      <c r="E129" s="6"/>
      <c r="F129" s="6"/>
      <c r="G129" s="6"/>
      <c r="H129" s="6"/>
      <c r="I129" s="6"/>
      <c r="J129" s="6"/>
      <c r="K129" s="6"/>
      <c r="L129" s="6"/>
      <c r="M129" s="6"/>
      <c r="N129" s="6"/>
      <c r="O129" s="6"/>
    </row>
    <row r="130" spans="1:15" ht="15.6">
      <c r="A130" s="560"/>
      <c r="B130" s="6"/>
      <c r="C130" s="6"/>
      <c r="D130" s="6"/>
      <c r="E130" s="6"/>
      <c r="F130" s="6"/>
      <c r="G130" s="6"/>
      <c r="H130" s="6"/>
      <c r="I130" s="6"/>
      <c r="J130" s="6"/>
      <c r="K130" s="6"/>
      <c r="L130" s="6"/>
      <c r="M130" s="6"/>
      <c r="N130" s="6"/>
      <c r="O130" s="6"/>
    </row>
    <row r="131" spans="1:15" ht="15.6">
      <c r="A131" s="560"/>
      <c r="B131" s="6"/>
      <c r="C131" s="6"/>
      <c r="D131" s="6"/>
      <c r="E131" s="6"/>
      <c r="F131" s="6"/>
      <c r="G131" s="6"/>
      <c r="H131" s="6"/>
      <c r="I131" s="6"/>
      <c r="J131" s="6"/>
      <c r="K131" s="6"/>
      <c r="L131" s="6"/>
      <c r="M131" s="6"/>
      <c r="N131" s="6"/>
      <c r="O131" s="6"/>
    </row>
    <row r="132" spans="1:15" ht="15.6">
      <c r="A132" s="560"/>
      <c r="B132" s="6"/>
      <c r="C132" s="6"/>
      <c r="D132" s="6"/>
      <c r="E132" s="6"/>
      <c r="F132" s="6"/>
      <c r="G132" s="6"/>
      <c r="H132" s="6"/>
      <c r="I132" s="6"/>
      <c r="J132" s="6"/>
      <c r="K132" s="6"/>
      <c r="L132" s="6"/>
      <c r="M132" s="6"/>
      <c r="N132" s="6"/>
      <c r="O132" s="6"/>
    </row>
    <row r="133" spans="1:15" ht="15.6">
      <c r="A133" s="560"/>
      <c r="B133" s="6"/>
      <c r="C133" s="6"/>
      <c r="D133" s="6"/>
      <c r="E133" s="6"/>
      <c r="F133" s="6"/>
      <c r="G133" s="6"/>
      <c r="H133" s="6"/>
      <c r="I133" s="6"/>
      <c r="J133" s="6"/>
      <c r="K133" s="6"/>
      <c r="L133" s="6"/>
      <c r="M133" s="6"/>
      <c r="N133" s="6"/>
      <c r="O133" s="6"/>
    </row>
    <row r="134" spans="1:15" ht="15.6">
      <c r="A134" s="560"/>
      <c r="B134" s="6"/>
      <c r="C134" s="6"/>
      <c r="D134" s="6"/>
      <c r="E134" s="6"/>
      <c r="F134" s="6"/>
      <c r="G134" s="6"/>
      <c r="H134" s="6"/>
      <c r="I134" s="6"/>
      <c r="J134" s="6"/>
      <c r="K134" s="6"/>
      <c r="L134" s="6"/>
      <c r="M134" s="6"/>
      <c r="N134" s="6"/>
      <c r="O134" s="6"/>
    </row>
    <row r="135" spans="1:15" ht="15.6">
      <c r="A135" s="560"/>
      <c r="B135" s="6"/>
      <c r="C135" s="6"/>
      <c r="D135" s="6"/>
      <c r="E135" s="6"/>
      <c r="F135" s="6"/>
      <c r="G135" s="6"/>
      <c r="H135" s="6"/>
      <c r="I135" s="6"/>
      <c r="J135" s="6"/>
      <c r="K135" s="6"/>
      <c r="L135" s="6"/>
      <c r="M135" s="6"/>
      <c r="N135" s="6"/>
      <c r="O135" s="6"/>
    </row>
    <row r="136" spans="1:15" ht="15.6">
      <c r="A136" s="560"/>
      <c r="B136" s="6"/>
      <c r="C136" s="6"/>
      <c r="D136" s="6"/>
      <c r="E136" s="6"/>
      <c r="F136" s="6"/>
      <c r="G136" s="6"/>
      <c r="H136" s="6"/>
      <c r="I136" s="6"/>
      <c r="J136" s="6"/>
      <c r="K136" s="6"/>
      <c r="L136" s="6"/>
      <c r="M136" s="6"/>
      <c r="N136" s="6"/>
      <c r="O136" s="6"/>
    </row>
    <row r="137" spans="1:15" ht="15.6">
      <c r="A137" s="560"/>
      <c r="B137" s="6"/>
      <c r="C137" s="6"/>
      <c r="D137" s="6"/>
      <c r="E137" s="6"/>
      <c r="F137" s="6"/>
      <c r="G137" s="6"/>
      <c r="H137" s="6"/>
      <c r="I137" s="6"/>
      <c r="J137" s="6"/>
      <c r="K137" s="6"/>
      <c r="L137" s="6"/>
      <c r="M137" s="6"/>
      <c r="N137" s="6"/>
      <c r="O137" s="6"/>
    </row>
    <row r="138" spans="1:15" ht="15.6">
      <c r="A138" s="560"/>
      <c r="B138" s="6"/>
      <c r="C138" s="6"/>
      <c r="D138" s="6"/>
      <c r="E138" s="6"/>
      <c r="F138" s="6"/>
      <c r="G138" s="6"/>
      <c r="H138" s="6"/>
      <c r="I138" s="6"/>
      <c r="J138" s="6"/>
      <c r="K138" s="6"/>
      <c r="L138" s="6"/>
      <c r="M138" s="6"/>
      <c r="N138" s="6"/>
      <c r="O138" s="6"/>
    </row>
    <row r="139" spans="1:15" ht="15.6">
      <c r="A139" s="560"/>
      <c r="B139" s="6"/>
      <c r="C139" s="6"/>
      <c r="D139" s="6"/>
      <c r="E139" s="6"/>
      <c r="F139" s="6"/>
      <c r="G139" s="6"/>
      <c r="H139" s="6"/>
      <c r="I139" s="6"/>
      <c r="J139" s="6"/>
      <c r="K139" s="6"/>
      <c r="L139" s="6"/>
      <c r="M139" s="6"/>
      <c r="N139" s="6"/>
      <c r="O139" s="6"/>
    </row>
    <row r="140" spans="1:15" ht="15.6">
      <c r="A140" s="560"/>
      <c r="B140" s="6"/>
      <c r="C140" s="6"/>
      <c r="D140" s="6"/>
      <c r="E140" s="6"/>
      <c r="F140" s="6"/>
      <c r="G140" s="6"/>
      <c r="H140" s="6"/>
      <c r="I140" s="6"/>
      <c r="J140" s="6"/>
      <c r="K140" s="6"/>
      <c r="L140" s="6"/>
      <c r="M140" s="6"/>
      <c r="N140" s="6"/>
      <c r="O140" s="6"/>
    </row>
    <row r="141" spans="1:15" ht="15.6">
      <c r="A141" s="560"/>
      <c r="B141" s="6"/>
      <c r="C141" s="6"/>
      <c r="D141" s="6"/>
      <c r="E141" s="6"/>
      <c r="F141" s="6"/>
      <c r="G141" s="6"/>
      <c r="H141" s="6"/>
      <c r="I141" s="6"/>
      <c r="J141" s="6"/>
      <c r="K141" s="6"/>
      <c r="L141" s="6"/>
      <c r="M141" s="6"/>
      <c r="N141" s="6"/>
      <c r="O141" s="6"/>
    </row>
    <row r="142" spans="1:15" ht="15.6">
      <c r="A142" s="560"/>
      <c r="B142" s="6"/>
      <c r="C142" s="6"/>
      <c r="D142" s="6"/>
      <c r="E142" s="6"/>
      <c r="F142" s="6"/>
      <c r="G142" s="6"/>
      <c r="H142" s="6"/>
      <c r="I142" s="6"/>
      <c r="J142" s="6"/>
      <c r="K142" s="6"/>
      <c r="L142" s="6"/>
      <c r="M142" s="6"/>
      <c r="N142" s="6"/>
      <c r="O142" s="6"/>
    </row>
    <row r="143" spans="1:15" ht="15.6">
      <c r="A143" s="560"/>
      <c r="B143" s="6"/>
      <c r="C143" s="6"/>
      <c r="D143" s="6"/>
      <c r="E143" s="6"/>
      <c r="F143" s="6"/>
      <c r="G143" s="6"/>
      <c r="H143" s="6"/>
      <c r="I143" s="6"/>
      <c r="J143" s="6"/>
      <c r="K143" s="6"/>
      <c r="L143" s="6"/>
      <c r="M143" s="6"/>
      <c r="N143" s="6"/>
      <c r="O143" s="6"/>
    </row>
    <row r="144" spans="1:15" ht="15.6">
      <c r="A144" s="560"/>
      <c r="B144" s="6"/>
      <c r="C144" s="6"/>
      <c r="D144" s="6"/>
      <c r="E144" s="6"/>
      <c r="F144" s="6"/>
      <c r="G144" s="6"/>
      <c r="H144" s="6"/>
      <c r="I144" s="6"/>
      <c r="J144" s="6"/>
      <c r="K144" s="6"/>
      <c r="L144" s="6"/>
      <c r="M144" s="6"/>
      <c r="N144" s="6"/>
      <c r="O144" s="6"/>
    </row>
    <row r="145" spans="1:15" ht="15.6">
      <c r="A145" s="560"/>
      <c r="B145" s="6"/>
      <c r="C145" s="6"/>
      <c r="D145" s="6"/>
      <c r="E145" s="6"/>
      <c r="F145" s="6"/>
      <c r="G145" s="6"/>
      <c r="H145" s="6"/>
      <c r="I145" s="6"/>
      <c r="J145" s="6"/>
      <c r="K145" s="6"/>
      <c r="L145" s="6"/>
      <c r="M145" s="6"/>
      <c r="N145" s="6"/>
      <c r="O145" s="6"/>
    </row>
    <row r="146" spans="1:15" ht="15.6">
      <c r="A146" s="560"/>
      <c r="B146" s="6"/>
      <c r="C146" s="6"/>
      <c r="D146" s="6"/>
      <c r="E146" s="6"/>
      <c r="F146" s="6"/>
      <c r="G146" s="6"/>
      <c r="H146" s="6"/>
      <c r="I146" s="6"/>
      <c r="J146" s="6"/>
      <c r="K146" s="6"/>
      <c r="L146" s="6"/>
      <c r="M146" s="6"/>
      <c r="N146" s="6"/>
      <c r="O146" s="6"/>
    </row>
    <row r="147" spans="1:15" ht="15.6">
      <c r="A147" s="560"/>
      <c r="B147" s="6"/>
      <c r="C147" s="6"/>
      <c r="D147" s="6"/>
      <c r="E147" s="6"/>
      <c r="F147" s="6"/>
      <c r="G147" s="6"/>
      <c r="H147" s="6"/>
      <c r="I147" s="6"/>
      <c r="J147" s="6"/>
      <c r="K147" s="6"/>
      <c r="L147" s="6"/>
      <c r="M147" s="6"/>
      <c r="N147" s="6"/>
      <c r="O147" s="6"/>
    </row>
    <row r="148" spans="1:15" ht="15.6">
      <c r="A148" s="560"/>
      <c r="B148" s="6"/>
      <c r="C148" s="6"/>
      <c r="D148" s="6"/>
      <c r="E148" s="6"/>
      <c r="F148" s="6"/>
      <c r="G148" s="6"/>
      <c r="H148" s="6"/>
      <c r="I148" s="6"/>
      <c r="J148" s="6"/>
      <c r="K148" s="6"/>
      <c r="L148" s="6"/>
      <c r="M148" s="6"/>
      <c r="N148" s="6"/>
      <c r="O148" s="6"/>
    </row>
    <row r="149" spans="1:15" ht="15.6">
      <c r="A149" s="560"/>
      <c r="B149" s="6"/>
      <c r="C149" s="6"/>
      <c r="D149" s="6"/>
      <c r="E149" s="6"/>
      <c r="F149" s="6"/>
      <c r="G149" s="6"/>
      <c r="H149" s="6"/>
      <c r="I149" s="6"/>
      <c r="J149" s="6"/>
      <c r="K149" s="6"/>
      <c r="L149" s="6"/>
      <c r="M149" s="6"/>
      <c r="N149" s="6"/>
      <c r="O149" s="6"/>
    </row>
    <row r="150" spans="1:15" ht="15.6">
      <c r="A150" s="560"/>
      <c r="B150" s="6"/>
      <c r="C150" s="6"/>
      <c r="D150" s="6"/>
      <c r="E150" s="6"/>
      <c r="F150" s="6"/>
      <c r="G150" s="6"/>
      <c r="H150" s="6"/>
      <c r="I150" s="6"/>
      <c r="J150" s="6"/>
      <c r="K150" s="6"/>
      <c r="L150" s="6"/>
      <c r="M150" s="6"/>
      <c r="N150" s="6"/>
      <c r="O150" s="6"/>
    </row>
    <row r="151" spans="1:15" ht="15.6">
      <c r="A151" s="560"/>
      <c r="B151" s="6"/>
      <c r="C151" s="6"/>
      <c r="D151" s="6"/>
      <c r="E151" s="6"/>
      <c r="F151" s="6"/>
      <c r="G151" s="6"/>
      <c r="H151" s="6"/>
      <c r="I151" s="6"/>
      <c r="J151" s="6"/>
      <c r="K151" s="6"/>
      <c r="L151" s="6"/>
      <c r="M151" s="6"/>
      <c r="N151" s="6"/>
      <c r="O151" s="6"/>
    </row>
    <row r="152" spans="1:15" ht="15.6">
      <c r="A152" s="560"/>
      <c r="B152" s="6"/>
      <c r="C152" s="6"/>
      <c r="D152" s="6"/>
      <c r="E152" s="6"/>
      <c r="F152" s="6"/>
      <c r="G152" s="6"/>
      <c r="H152" s="6"/>
      <c r="I152" s="6"/>
      <c r="J152" s="6"/>
      <c r="K152" s="6"/>
      <c r="L152" s="6"/>
      <c r="M152" s="6"/>
      <c r="N152" s="6"/>
      <c r="O152" s="6"/>
    </row>
    <row r="153" spans="1:15" ht="15.6">
      <c r="A153" s="560"/>
      <c r="B153" s="6"/>
      <c r="C153" s="6"/>
      <c r="D153" s="6"/>
      <c r="E153" s="6"/>
      <c r="F153" s="6"/>
      <c r="G153" s="6"/>
      <c r="H153" s="6"/>
      <c r="I153" s="6"/>
      <c r="J153" s="6"/>
      <c r="K153" s="6"/>
      <c r="L153" s="6"/>
      <c r="M153" s="6"/>
      <c r="N153" s="6"/>
      <c r="O153" s="6"/>
    </row>
    <row r="154" spans="1:15" ht="15.6">
      <c r="A154" s="560"/>
      <c r="B154" s="6"/>
      <c r="C154" s="6"/>
      <c r="D154" s="6"/>
      <c r="E154" s="6"/>
      <c r="F154" s="6"/>
      <c r="G154" s="6"/>
      <c r="H154" s="6"/>
      <c r="I154" s="6"/>
      <c r="J154" s="6"/>
      <c r="K154" s="6"/>
      <c r="L154" s="6"/>
      <c r="M154" s="6"/>
      <c r="N154" s="6"/>
      <c r="O154" s="6"/>
    </row>
    <row r="155" spans="1:15" ht="15.6">
      <c r="A155" s="560"/>
      <c r="B155" s="6"/>
      <c r="C155" s="6"/>
      <c r="D155" s="6"/>
      <c r="E155" s="6"/>
      <c r="F155" s="6"/>
      <c r="G155" s="6"/>
      <c r="H155" s="6"/>
      <c r="I155" s="6"/>
      <c r="J155" s="6"/>
      <c r="K155" s="6"/>
      <c r="L155" s="6"/>
      <c r="M155" s="6"/>
      <c r="N155" s="6"/>
      <c r="O155" s="6"/>
    </row>
    <row r="156" spans="1:15" ht="15.6">
      <c r="A156" s="560"/>
      <c r="B156" s="6"/>
      <c r="C156" s="6"/>
      <c r="D156" s="6"/>
      <c r="E156" s="6"/>
      <c r="F156" s="6"/>
      <c r="G156" s="6"/>
      <c r="H156" s="6"/>
      <c r="I156" s="6"/>
      <c r="J156" s="6"/>
      <c r="K156" s="6"/>
      <c r="L156" s="6"/>
      <c r="M156" s="6"/>
      <c r="N156" s="6"/>
      <c r="O156" s="6"/>
    </row>
    <row r="157" spans="1:15" ht="15.6">
      <c r="A157" s="560"/>
      <c r="B157" s="6"/>
      <c r="C157" s="6"/>
      <c r="D157" s="6"/>
      <c r="E157" s="6"/>
      <c r="F157" s="6"/>
      <c r="G157" s="6"/>
      <c r="H157" s="6"/>
      <c r="I157" s="6"/>
      <c r="J157" s="6"/>
      <c r="K157" s="6"/>
      <c r="L157" s="6"/>
      <c r="M157" s="6"/>
      <c r="N157" s="6"/>
      <c r="O157" s="6"/>
    </row>
    <row r="158" spans="1:15" ht="15.6">
      <c r="A158" s="560"/>
      <c r="B158" s="6"/>
      <c r="C158" s="6"/>
      <c r="D158" s="6"/>
      <c r="E158" s="6"/>
      <c r="F158" s="6"/>
      <c r="G158" s="6"/>
      <c r="H158" s="6"/>
      <c r="I158" s="6"/>
      <c r="J158" s="6"/>
      <c r="K158" s="6"/>
      <c r="L158" s="6"/>
      <c r="M158" s="6"/>
      <c r="N158" s="6"/>
      <c r="O158" s="6"/>
    </row>
    <row r="159" spans="1:15" ht="15.6">
      <c r="A159" s="560"/>
      <c r="B159" s="6"/>
      <c r="C159" s="6"/>
      <c r="D159" s="6"/>
      <c r="E159" s="6"/>
      <c r="F159" s="6"/>
      <c r="G159" s="6"/>
      <c r="H159" s="6"/>
      <c r="I159" s="6"/>
      <c r="J159" s="6"/>
      <c r="K159" s="6"/>
      <c r="L159" s="6"/>
      <c r="M159" s="6"/>
      <c r="N159" s="6"/>
      <c r="O159" s="6"/>
    </row>
    <row r="160" spans="1:15" ht="15.6">
      <c r="A160" s="560"/>
      <c r="B160" s="6"/>
      <c r="C160" s="6"/>
      <c r="D160" s="6"/>
      <c r="E160" s="6"/>
      <c r="F160" s="6"/>
      <c r="G160" s="6"/>
      <c r="H160" s="6"/>
      <c r="I160" s="6"/>
      <c r="J160" s="6"/>
      <c r="K160" s="6"/>
      <c r="L160" s="6"/>
      <c r="M160" s="6"/>
      <c r="N160" s="6"/>
      <c r="O160" s="6"/>
    </row>
    <row r="161" spans="1:15" ht="15.6">
      <c r="A161" s="560"/>
      <c r="B161" s="6"/>
      <c r="C161" s="6"/>
      <c r="D161" s="6"/>
      <c r="E161" s="6"/>
      <c r="F161" s="6"/>
      <c r="G161" s="6"/>
      <c r="H161" s="6"/>
      <c r="I161" s="6"/>
      <c r="J161" s="6"/>
      <c r="K161" s="6"/>
      <c r="L161" s="6"/>
      <c r="M161" s="6"/>
      <c r="N161" s="6"/>
      <c r="O161" s="6"/>
    </row>
    <row r="162" spans="1:15" ht="15.6">
      <c r="A162" s="560"/>
      <c r="B162" s="6"/>
      <c r="C162" s="6"/>
      <c r="D162" s="6"/>
      <c r="E162" s="6"/>
      <c r="F162" s="6"/>
      <c r="G162" s="6"/>
      <c r="H162" s="6"/>
      <c r="I162" s="6"/>
      <c r="J162" s="6"/>
      <c r="K162" s="6"/>
      <c r="L162" s="6"/>
      <c r="M162" s="6"/>
      <c r="N162" s="6"/>
      <c r="O162" s="6"/>
    </row>
    <row r="163" spans="1:15" ht="15.6">
      <c r="A163" s="560"/>
      <c r="B163" s="6"/>
      <c r="C163" s="6"/>
      <c r="D163" s="6"/>
      <c r="E163" s="6"/>
      <c r="F163" s="6"/>
      <c r="G163" s="6"/>
      <c r="H163" s="6"/>
      <c r="I163" s="6"/>
      <c r="J163" s="6"/>
      <c r="K163" s="6"/>
      <c r="L163" s="6"/>
      <c r="M163" s="6"/>
      <c r="N163" s="6"/>
      <c r="O163" s="6"/>
    </row>
    <row r="164" spans="1:15" ht="15.6">
      <c r="A164" s="560"/>
      <c r="B164" s="6"/>
      <c r="C164" s="6"/>
      <c r="D164" s="6"/>
      <c r="E164" s="6"/>
      <c r="F164" s="6"/>
      <c r="G164" s="6"/>
      <c r="H164" s="6"/>
      <c r="I164" s="6"/>
      <c r="J164" s="6"/>
      <c r="K164" s="6"/>
      <c r="L164" s="6"/>
      <c r="M164" s="6"/>
      <c r="N164" s="6"/>
      <c r="O164" s="6"/>
    </row>
    <row r="165" spans="1:15" ht="15.6">
      <c r="A165" s="560"/>
      <c r="B165" s="6"/>
      <c r="C165" s="6"/>
      <c r="D165" s="6"/>
      <c r="E165" s="6"/>
      <c r="F165" s="6"/>
      <c r="G165" s="6"/>
      <c r="H165" s="6"/>
      <c r="I165" s="6"/>
      <c r="J165" s="6"/>
      <c r="K165" s="6"/>
      <c r="L165" s="6"/>
      <c r="M165" s="6"/>
      <c r="N165" s="6"/>
      <c r="O165" s="6"/>
    </row>
    <row r="166" spans="1:15" ht="15.6">
      <c r="A166" s="560"/>
      <c r="B166" s="6"/>
      <c r="C166" s="6"/>
      <c r="D166" s="6"/>
      <c r="E166" s="6"/>
      <c r="F166" s="6"/>
      <c r="G166" s="6"/>
      <c r="H166" s="6"/>
      <c r="I166" s="6"/>
      <c r="J166" s="6"/>
      <c r="K166" s="6"/>
      <c r="L166" s="6"/>
      <c r="M166" s="6"/>
      <c r="N166" s="6"/>
      <c r="O166" s="6"/>
    </row>
    <row r="167" spans="1:15" ht="15.6">
      <c r="A167" s="560"/>
      <c r="B167" s="6"/>
      <c r="C167" s="6"/>
      <c r="D167" s="6"/>
      <c r="E167" s="6"/>
      <c r="F167" s="6"/>
      <c r="G167" s="6"/>
      <c r="H167" s="6"/>
      <c r="I167" s="6"/>
      <c r="J167" s="6"/>
      <c r="K167" s="6"/>
      <c r="L167" s="6"/>
      <c r="M167" s="6"/>
      <c r="N167" s="6"/>
      <c r="O167" s="6"/>
    </row>
    <row r="168" spans="1:15" ht="15.6">
      <c r="A168" s="560"/>
      <c r="B168" s="6"/>
      <c r="C168" s="6"/>
      <c r="D168" s="6"/>
      <c r="E168" s="6"/>
      <c r="F168" s="6"/>
      <c r="G168" s="6"/>
      <c r="H168" s="6"/>
      <c r="I168" s="6"/>
      <c r="J168" s="6"/>
      <c r="K168" s="6"/>
      <c r="L168" s="6"/>
      <c r="M168" s="6"/>
      <c r="N168" s="6"/>
      <c r="O168" s="6"/>
    </row>
    <row r="169" spans="1:15" ht="15.6">
      <c r="A169" s="560"/>
      <c r="B169" s="6"/>
      <c r="C169" s="6"/>
      <c r="D169" s="6"/>
      <c r="E169" s="6"/>
      <c r="F169" s="6"/>
      <c r="G169" s="6"/>
      <c r="H169" s="6"/>
      <c r="I169" s="6"/>
      <c r="J169" s="6"/>
      <c r="K169" s="6"/>
      <c r="L169" s="6"/>
      <c r="M169" s="6"/>
      <c r="N169" s="6"/>
      <c r="O169" s="6"/>
    </row>
    <row r="170" spans="1:15" ht="15.6">
      <c r="A170" s="560"/>
      <c r="B170" s="6"/>
      <c r="C170" s="6"/>
      <c r="D170" s="6"/>
      <c r="E170" s="6"/>
      <c r="F170" s="6"/>
      <c r="G170" s="6"/>
      <c r="H170" s="6"/>
      <c r="I170" s="6"/>
      <c r="J170" s="6"/>
      <c r="K170" s="6"/>
      <c r="L170" s="6"/>
      <c r="M170" s="6"/>
      <c r="N170" s="6"/>
      <c r="O170" s="6"/>
    </row>
    <row r="171" spans="1:15" ht="15.6">
      <c r="A171" s="560"/>
      <c r="B171" s="6"/>
      <c r="C171" s="6"/>
      <c r="D171" s="6"/>
      <c r="E171" s="6"/>
      <c r="F171" s="6"/>
      <c r="G171" s="6"/>
      <c r="H171" s="6"/>
      <c r="I171" s="6"/>
      <c r="J171" s="6"/>
      <c r="K171" s="6"/>
      <c r="L171" s="6"/>
      <c r="M171" s="6"/>
      <c r="N171" s="6"/>
      <c r="O171" s="6"/>
    </row>
    <row r="172" spans="1:15" ht="15.6">
      <c r="A172" s="560"/>
      <c r="B172" s="6"/>
      <c r="C172" s="6"/>
      <c r="D172" s="6"/>
      <c r="E172" s="6"/>
      <c r="F172" s="6"/>
      <c r="G172" s="6"/>
      <c r="H172" s="6"/>
      <c r="I172" s="6"/>
      <c r="J172" s="6"/>
      <c r="K172" s="6"/>
      <c r="L172" s="6"/>
      <c r="M172" s="6"/>
      <c r="N172" s="6"/>
      <c r="O172" s="6"/>
    </row>
    <row r="173" spans="1:15" ht="15.6">
      <c r="A173" s="560"/>
      <c r="B173" s="6"/>
      <c r="C173" s="6"/>
      <c r="D173" s="6"/>
      <c r="E173" s="6"/>
      <c r="F173" s="6"/>
      <c r="G173" s="6"/>
      <c r="H173" s="6"/>
      <c r="I173" s="6"/>
      <c r="J173" s="6"/>
      <c r="K173" s="6"/>
      <c r="L173" s="6"/>
      <c r="M173" s="6"/>
      <c r="N173" s="6"/>
      <c r="O173" s="6"/>
    </row>
    <row r="174" spans="1:15" ht="15.6">
      <c r="A174" s="560"/>
      <c r="B174" s="6"/>
      <c r="C174" s="6"/>
      <c r="D174" s="6"/>
      <c r="E174" s="6"/>
      <c r="F174" s="6"/>
      <c r="G174" s="6"/>
      <c r="H174" s="6"/>
      <c r="I174" s="6"/>
      <c r="J174" s="6"/>
      <c r="K174" s="6"/>
      <c r="L174" s="6"/>
      <c r="M174" s="6"/>
      <c r="N174" s="6"/>
      <c r="O174" s="6"/>
    </row>
    <row r="175" spans="1:15" ht="15.6">
      <c r="A175" s="560"/>
      <c r="B175" s="6"/>
      <c r="C175" s="6"/>
      <c r="D175" s="6"/>
      <c r="E175" s="6"/>
      <c r="F175" s="6"/>
      <c r="G175" s="6"/>
      <c r="H175" s="6"/>
      <c r="I175" s="6"/>
      <c r="J175" s="6"/>
      <c r="K175" s="6"/>
      <c r="L175" s="6"/>
      <c r="M175" s="6"/>
      <c r="N175" s="6"/>
      <c r="O175" s="6"/>
    </row>
    <row r="176" spans="1:15" ht="15.6">
      <c r="A176" s="560"/>
      <c r="B176" s="6"/>
      <c r="C176" s="6"/>
      <c r="D176" s="6"/>
      <c r="E176" s="6"/>
      <c r="F176" s="6"/>
      <c r="G176" s="6"/>
      <c r="H176" s="6"/>
      <c r="I176" s="6"/>
      <c r="J176" s="6"/>
      <c r="K176" s="6"/>
      <c r="L176" s="6"/>
      <c r="M176" s="6"/>
      <c r="N176" s="6"/>
      <c r="O176" s="6"/>
    </row>
    <row r="177" spans="1:15" ht="15.6">
      <c r="A177" s="560"/>
      <c r="B177" s="6"/>
      <c r="C177" s="6"/>
      <c r="D177" s="6"/>
      <c r="E177" s="6"/>
      <c r="F177" s="6"/>
      <c r="G177" s="6"/>
      <c r="H177" s="6"/>
      <c r="I177" s="6"/>
      <c r="J177" s="6"/>
      <c r="K177" s="6"/>
      <c r="L177" s="6"/>
      <c r="M177" s="6"/>
      <c r="N177" s="6"/>
      <c r="O177" s="6"/>
    </row>
    <row r="178" spans="1:15" ht="15.6">
      <c r="A178" s="560"/>
      <c r="B178" s="6"/>
      <c r="C178" s="6"/>
      <c r="D178" s="6"/>
      <c r="E178" s="6"/>
      <c r="F178" s="6"/>
      <c r="G178" s="6"/>
      <c r="H178" s="6"/>
      <c r="I178" s="6"/>
      <c r="J178" s="6"/>
      <c r="K178" s="6"/>
      <c r="L178" s="6"/>
      <c r="M178" s="6"/>
      <c r="N178" s="6"/>
      <c r="O178" s="6"/>
    </row>
    <row r="179" spans="1:15" ht="15.6">
      <c r="A179" s="560"/>
      <c r="B179" s="6"/>
      <c r="C179" s="6"/>
      <c r="D179" s="6"/>
      <c r="E179" s="6"/>
      <c r="F179" s="6"/>
      <c r="G179" s="6"/>
      <c r="H179" s="6"/>
      <c r="I179" s="6"/>
      <c r="J179" s="6"/>
      <c r="K179" s="6"/>
      <c r="L179" s="6"/>
      <c r="M179" s="6"/>
      <c r="N179" s="6"/>
      <c r="O179" s="6"/>
    </row>
    <row r="180" spans="1:15" ht="15.6">
      <c r="A180" s="560"/>
      <c r="B180" s="6"/>
      <c r="C180" s="6"/>
      <c r="D180" s="6"/>
      <c r="E180" s="6"/>
      <c r="F180" s="6"/>
      <c r="G180" s="6"/>
      <c r="H180" s="6"/>
      <c r="I180" s="6"/>
      <c r="J180" s="6"/>
      <c r="K180" s="6"/>
      <c r="L180" s="6"/>
      <c r="M180" s="6"/>
      <c r="N180" s="6"/>
      <c r="O180" s="6"/>
    </row>
    <row r="181" spans="1:15" ht="15.6">
      <c r="A181" s="560"/>
      <c r="B181" s="6"/>
      <c r="C181" s="6"/>
      <c r="D181" s="6"/>
      <c r="E181" s="6"/>
      <c r="F181" s="6"/>
      <c r="G181" s="6"/>
      <c r="H181" s="6"/>
      <c r="I181" s="6"/>
      <c r="J181" s="6"/>
      <c r="K181" s="6"/>
      <c r="L181" s="6"/>
      <c r="M181" s="6"/>
      <c r="N181" s="6"/>
      <c r="O181" s="6"/>
    </row>
    <row r="182" spans="1:15" ht="15.6">
      <c r="A182" s="560"/>
      <c r="B182" s="6"/>
      <c r="C182" s="6"/>
      <c r="D182" s="6"/>
      <c r="E182" s="6"/>
      <c r="F182" s="6"/>
      <c r="G182" s="6"/>
      <c r="H182" s="6"/>
      <c r="I182" s="6"/>
      <c r="J182" s="6"/>
      <c r="K182" s="6"/>
      <c r="L182" s="6"/>
      <c r="M182" s="6"/>
      <c r="N182" s="6"/>
      <c r="O182" s="6"/>
    </row>
    <row r="183" spans="1:15" ht="15.6">
      <c r="A183" s="560"/>
      <c r="B183" s="6"/>
      <c r="C183" s="6"/>
      <c r="D183" s="6"/>
      <c r="E183" s="6"/>
      <c r="F183" s="6"/>
      <c r="G183" s="6"/>
      <c r="H183" s="6"/>
      <c r="I183" s="6"/>
      <c r="J183" s="6"/>
      <c r="K183" s="6"/>
      <c r="L183" s="6"/>
      <c r="M183" s="6"/>
      <c r="N183" s="6"/>
      <c r="O183" s="6"/>
    </row>
    <row r="184" spans="1:15" ht="15.6">
      <c r="A184" s="560"/>
      <c r="B184" s="6"/>
      <c r="C184" s="6"/>
      <c r="D184" s="6"/>
      <c r="E184" s="6"/>
      <c r="F184" s="6"/>
      <c r="G184" s="6"/>
      <c r="H184" s="6"/>
      <c r="I184" s="6"/>
      <c r="J184" s="6"/>
      <c r="K184" s="6"/>
      <c r="L184" s="6"/>
      <c r="M184" s="6"/>
      <c r="N184" s="6"/>
      <c r="O184" s="6"/>
    </row>
    <row r="185" spans="1:15" ht="15.6">
      <c r="A185" s="560"/>
      <c r="B185" s="6"/>
      <c r="C185" s="6"/>
      <c r="D185" s="6"/>
      <c r="E185" s="6"/>
      <c r="F185" s="6"/>
      <c r="G185" s="6"/>
      <c r="H185" s="6"/>
      <c r="I185" s="6"/>
      <c r="J185" s="6"/>
      <c r="K185" s="6"/>
      <c r="L185" s="6"/>
      <c r="M185" s="6"/>
      <c r="N185" s="6"/>
      <c r="O185" s="6"/>
    </row>
    <row r="186" spans="1:15" ht="15.6">
      <c r="A186" s="560"/>
      <c r="B186" s="6"/>
      <c r="C186" s="6"/>
      <c r="D186" s="6"/>
      <c r="E186" s="6"/>
      <c r="F186" s="6"/>
      <c r="G186" s="6"/>
      <c r="H186" s="6"/>
      <c r="I186" s="6"/>
      <c r="J186" s="6"/>
      <c r="K186" s="6"/>
      <c r="L186" s="6"/>
      <c r="M186" s="6"/>
      <c r="N186" s="6"/>
      <c r="O186" s="6"/>
    </row>
    <row r="187" spans="1:15" ht="15.6">
      <c r="A187" s="560"/>
      <c r="B187" s="6"/>
      <c r="C187" s="6"/>
      <c r="D187" s="6"/>
      <c r="E187" s="6"/>
      <c r="F187" s="6"/>
      <c r="G187" s="6"/>
      <c r="H187" s="6"/>
      <c r="I187" s="6"/>
      <c r="J187" s="6"/>
      <c r="K187" s="6"/>
      <c r="L187" s="6"/>
      <c r="M187" s="6"/>
      <c r="N187" s="6"/>
      <c r="O187" s="6"/>
    </row>
    <row r="188" spans="1:15" ht="15.6">
      <c r="A188" s="560"/>
      <c r="B188" s="6"/>
      <c r="C188" s="6"/>
      <c r="D188" s="6"/>
      <c r="E188" s="6"/>
      <c r="F188" s="6"/>
      <c r="G188" s="6"/>
      <c r="H188" s="6"/>
      <c r="I188" s="6"/>
      <c r="J188" s="6"/>
      <c r="K188" s="6"/>
      <c r="L188" s="6"/>
      <c r="M188" s="6"/>
      <c r="N188" s="6"/>
      <c r="O188" s="6"/>
    </row>
    <row r="189" spans="1:15" ht="15.6">
      <c r="A189" s="560"/>
      <c r="B189" s="6"/>
      <c r="C189" s="6"/>
      <c r="D189" s="6"/>
      <c r="E189" s="6"/>
      <c r="F189" s="6"/>
      <c r="G189" s="6"/>
      <c r="H189" s="6"/>
      <c r="I189" s="6"/>
      <c r="J189" s="6"/>
      <c r="K189" s="6"/>
      <c r="L189" s="6"/>
      <c r="M189" s="6"/>
      <c r="N189" s="6"/>
      <c r="O189" s="6"/>
    </row>
    <row r="190" spans="1:15" ht="15.6">
      <c r="A190" s="560"/>
      <c r="B190" s="6"/>
      <c r="C190" s="6"/>
      <c r="D190" s="6"/>
      <c r="E190" s="6"/>
      <c r="F190" s="6"/>
      <c r="G190" s="6"/>
      <c r="H190" s="6"/>
      <c r="I190" s="6"/>
      <c r="J190" s="6"/>
      <c r="K190" s="6"/>
      <c r="L190" s="6"/>
      <c r="M190" s="6"/>
      <c r="N190" s="6"/>
      <c r="O190" s="6"/>
    </row>
    <row r="191" spans="1:15" ht="15.6">
      <c r="A191" s="560"/>
      <c r="B191" s="6"/>
      <c r="C191" s="6"/>
      <c r="D191" s="6"/>
      <c r="E191" s="6"/>
      <c r="F191" s="6"/>
      <c r="G191" s="6"/>
      <c r="H191" s="6"/>
      <c r="I191" s="6"/>
      <c r="J191" s="6"/>
      <c r="K191" s="6"/>
      <c r="L191" s="6"/>
      <c r="M191" s="6"/>
      <c r="N191" s="6"/>
      <c r="O191" s="6"/>
    </row>
    <row r="192" spans="1:15" ht="15.6">
      <c r="A192" s="560"/>
      <c r="B192" s="6"/>
      <c r="C192" s="6"/>
      <c r="D192" s="6"/>
      <c r="E192" s="6"/>
      <c r="F192" s="6"/>
      <c r="G192" s="6"/>
      <c r="H192" s="6"/>
      <c r="I192" s="6"/>
      <c r="J192" s="6"/>
      <c r="K192" s="6"/>
      <c r="L192" s="6"/>
      <c r="M192" s="6"/>
      <c r="N192" s="6"/>
      <c r="O192" s="6"/>
    </row>
    <row r="193" spans="1:15" ht="15.6">
      <c r="A193" s="560"/>
      <c r="B193" s="6"/>
      <c r="C193" s="6"/>
      <c r="D193" s="6"/>
      <c r="E193" s="6"/>
      <c r="F193" s="6"/>
      <c r="G193" s="6"/>
      <c r="H193" s="6"/>
      <c r="I193" s="6"/>
      <c r="J193" s="6"/>
      <c r="K193" s="6"/>
      <c r="L193" s="6"/>
      <c r="M193" s="6"/>
      <c r="N193" s="6"/>
      <c r="O193" s="6"/>
    </row>
    <row r="194" spans="1:15" ht="15.6">
      <c r="A194" s="560"/>
      <c r="B194" s="6"/>
      <c r="C194" s="6"/>
      <c r="D194" s="6"/>
      <c r="E194" s="6"/>
      <c r="F194" s="6"/>
      <c r="G194" s="6"/>
      <c r="H194" s="6"/>
      <c r="I194" s="6"/>
      <c r="J194" s="6"/>
      <c r="K194" s="6"/>
      <c r="L194" s="6"/>
      <c r="M194" s="6"/>
      <c r="N194" s="6"/>
      <c r="O194" s="6"/>
    </row>
    <row r="195" spans="1:15" ht="15.6">
      <c r="A195" s="560"/>
      <c r="B195" s="6"/>
      <c r="C195" s="6"/>
      <c r="D195" s="6"/>
      <c r="E195" s="6"/>
      <c r="F195" s="6"/>
      <c r="G195" s="6"/>
      <c r="H195" s="6"/>
      <c r="I195" s="6"/>
      <c r="J195" s="6"/>
      <c r="K195" s="6"/>
      <c r="L195" s="6"/>
      <c r="M195" s="6"/>
      <c r="N195" s="6"/>
      <c r="O195" s="6"/>
    </row>
    <row r="196" spans="1:15" ht="15.6">
      <c r="A196" s="560"/>
      <c r="B196" s="6"/>
      <c r="C196" s="6"/>
      <c r="D196" s="6"/>
      <c r="E196" s="6"/>
      <c r="F196" s="6"/>
      <c r="G196" s="6"/>
      <c r="H196" s="6"/>
      <c r="I196" s="6"/>
      <c r="J196" s="6"/>
      <c r="K196" s="6"/>
      <c r="L196" s="6"/>
      <c r="M196" s="6"/>
      <c r="N196" s="6"/>
      <c r="O196" s="6"/>
    </row>
    <row r="197" spans="1:15" ht="15.6">
      <c r="A197" s="560"/>
      <c r="B197" s="6"/>
      <c r="C197" s="6"/>
      <c r="D197" s="6"/>
      <c r="E197" s="6"/>
      <c r="F197" s="6"/>
      <c r="G197" s="6"/>
      <c r="H197" s="6"/>
      <c r="I197" s="6"/>
      <c r="J197" s="6"/>
      <c r="K197" s="6"/>
      <c r="L197" s="6"/>
      <c r="M197" s="6"/>
      <c r="N197" s="6"/>
      <c r="O197" s="6"/>
    </row>
    <row r="198" spans="1:15" ht="15.6">
      <c r="A198" s="560"/>
      <c r="B198" s="6"/>
      <c r="C198" s="6"/>
      <c r="D198" s="6"/>
      <c r="E198" s="6"/>
      <c r="F198" s="6"/>
      <c r="G198" s="6"/>
      <c r="H198" s="6"/>
      <c r="I198" s="6"/>
      <c r="J198" s="6"/>
      <c r="K198" s="6"/>
      <c r="L198" s="6"/>
      <c r="M198" s="6"/>
      <c r="N198" s="6"/>
      <c r="O198" s="6"/>
    </row>
    <row r="199" spans="1:15" ht="15.6">
      <c r="A199" s="560"/>
      <c r="B199" s="6"/>
      <c r="C199" s="6"/>
      <c r="D199" s="6"/>
      <c r="E199" s="6"/>
      <c r="F199" s="6"/>
      <c r="G199" s="6"/>
      <c r="H199" s="6"/>
      <c r="I199" s="6"/>
      <c r="J199" s="6"/>
      <c r="K199" s="6"/>
      <c r="L199" s="6"/>
      <c r="M199" s="6"/>
      <c r="N199" s="6"/>
      <c r="O199" s="6"/>
    </row>
    <row r="200" spans="1:15" ht="15.6">
      <c r="A200" s="560"/>
      <c r="B200" s="6"/>
      <c r="C200" s="6"/>
      <c r="D200" s="6"/>
      <c r="E200" s="6"/>
      <c r="F200" s="6"/>
      <c r="G200" s="6"/>
      <c r="H200" s="6"/>
      <c r="I200" s="6"/>
      <c r="J200" s="6"/>
      <c r="K200" s="6"/>
      <c r="L200" s="6"/>
      <c r="M200" s="6"/>
      <c r="N200" s="6"/>
      <c r="O200" s="6"/>
    </row>
    <row r="201" spans="1:15" ht="15.6">
      <c r="A201" s="560"/>
      <c r="B201" s="6"/>
      <c r="C201" s="6"/>
      <c r="D201" s="6"/>
      <c r="E201" s="6"/>
      <c r="F201" s="6"/>
      <c r="G201" s="6"/>
      <c r="H201" s="6"/>
      <c r="I201" s="6"/>
      <c r="J201" s="6"/>
      <c r="K201" s="6"/>
      <c r="L201" s="6"/>
      <c r="M201" s="6"/>
      <c r="N201" s="6"/>
      <c r="O201" s="6"/>
    </row>
    <row r="202" spans="1:15" ht="15.6">
      <c r="A202" s="560"/>
      <c r="B202" s="6"/>
      <c r="C202" s="6"/>
      <c r="D202" s="6"/>
      <c r="E202" s="6"/>
      <c r="F202" s="6"/>
      <c r="G202" s="6"/>
      <c r="H202" s="6"/>
      <c r="I202" s="6"/>
      <c r="J202" s="6"/>
      <c r="K202" s="6"/>
      <c r="L202" s="6"/>
      <c r="M202" s="6"/>
      <c r="N202" s="6"/>
      <c r="O202" s="6"/>
    </row>
    <row r="203" spans="1:15" ht="15.6">
      <c r="A203" s="560"/>
      <c r="B203" s="6"/>
      <c r="C203" s="6"/>
      <c r="D203" s="6"/>
      <c r="E203" s="6"/>
      <c r="F203" s="6"/>
      <c r="G203" s="6"/>
      <c r="H203" s="6"/>
      <c r="I203" s="6"/>
      <c r="J203" s="6"/>
      <c r="K203" s="6"/>
      <c r="L203" s="6"/>
      <c r="M203" s="6"/>
      <c r="N203" s="6"/>
      <c r="O203" s="6"/>
    </row>
    <row r="204" spans="1:15" ht="15.6">
      <c r="A204" s="560"/>
      <c r="B204" s="6"/>
      <c r="C204" s="6"/>
      <c r="D204" s="6"/>
      <c r="E204" s="6"/>
      <c r="F204" s="6"/>
      <c r="G204" s="6"/>
      <c r="H204" s="6"/>
      <c r="I204" s="6"/>
      <c r="J204" s="6"/>
      <c r="K204" s="6"/>
      <c r="L204" s="6"/>
      <c r="M204" s="6"/>
      <c r="N204" s="6"/>
      <c r="O204" s="6"/>
    </row>
    <row r="205" spans="1:15" ht="15.6">
      <c r="A205" s="560"/>
      <c r="B205" s="6"/>
      <c r="C205" s="6"/>
      <c r="D205" s="6"/>
      <c r="E205" s="6"/>
      <c r="F205" s="6"/>
      <c r="G205" s="6"/>
      <c r="H205" s="6"/>
      <c r="I205" s="6"/>
      <c r="J205" s="6"/>
      <c r="K205" s="6"/>
      <c r="L205" s="6"/>
      <c r="M205" s="6"/>
      <c r="N205" s="6"/>
      <c r="O205" s="6"/>
    </row>
    <row r="206" spans="1:15" ht="15.6">
      <c r="A206" s="560"/>
      <c r="B206" s="6"/>
      <c r="C206" s="6"/>
      <c r="D206" s="6"/>
      <c r="E206" s="6"/>
      <c r="F206" s="6"/>
      <c r="G206" s="6"/>
      <c r="H206" s="6"/>
      <c r="I206" s="6"/>
      <c r="J206" s="6"/>
      <c r="K206" s="6"/>
      <c r="L206" s="6"/>
      <c r="M206" s="6"/>
      <c r="N206" s="6"/>
      <c r="O206" s="6"/>
    </row>
    <row r="207" spans="1:15" ht="15.6">
      <c r="A207" s="560"/>
      <c r="B207" s="6"/>
      <c r="C207" s="6"/>
      <c r="D207" s="6"/>
      <c r="E207" s="6"/>
      <c r="F207" s="6"/>
      <c r="G207" s="6"/>
      <c r="H207" s="6"/>
      <c r="I207" s="6"/>
      <c r="J207" s="6"/>
      <c r="K207" s="6"/>
      <c r="L207" s="6"/>
      <c r="M207" s="6"/>
      <c r="N207" s="6"/>
      <c r="O207" s="6"/>
    </row>
    <row r="208" spans="1:15" ht="15.6">
      <c r="A208" s="560"/>
      <c r="B208" s="6"/>
      <c r="C208" s="6"/>
      <c r="D208" s="6"/>
      <c r="E208" s="6"/>
      <c r="F208" s="6"/>
      <c r="G208" s="6"/>
      <c r="H208" s="6"/>
      <c r="I208" s="6"/>
      <c r="J208" s="6"/>
      <c r="K208" s="6"/>
      <c r="L208" s="6"/>
      <c r="M208" s="6"/>
      <c r="N208" s="6"/>
      <c r="O208" s="6"/>
    </row>
    <row r="209" spans="1:15" ht="15.6">
      <c r="A209" s="560"/>
      <c r="B209" s="6"/>
      <c r="C209" s="6"/>
      <c r="D209" s="6"/>
      <c r="E209" s="6"/>
      <c r="F209" s="6"/>
      <c r="G209" s="6"/>
      <c r="H209" s="6"/>
      <c r="I209" s="6"/>
      <c r="J209" s="6"/>
      <c r="K209" s="6"/>
      <c r="L209" s="6"/>
      <c r="M209" s="6"/>
      <c r="N209" s="6"/>
      <c r="O209" s="6"/>
    </row>
    <row r="210" spans="1:15" ht="15.6">
      <c r="A210" s="560"/>
      <c r="B210" s="6"/>
      <c r="C210" s="6"/>
      <c r="D210" s="6"/>
      <c r="E210" s="6"/>
      <c r="F210" s="6"/>
      <c r="G210" s="6"/>
      <c r="H210" s="6"/>
      <c r="I210" s="6"/>
      <c r="J210" s="6"/>
      <c r="K210" s="6"/>
      <c r="L210" s="6"/>
      <c r="M210" s="6"/>
      <c r="N210" s="6"/>
      <c r="O210" s="6"/>
    </row>
    <row r="211" spans="1:15" ht="15.6">
      <c r="A211" s="560"/>
      <c r="B211" s="6"/>
      <c r="C211" s="6"/>
      <c r="D211" s="6"/>
      <c r="E211" s="6"/>
      <c r="F211" s="6"/>
      <c r="G211" s="6"/>
      <c r="H211" s="6"/>
      <c r="I211" s="6"/>
      <c r="J211" s="6"/>
      <c r="K211" s="6"/>
      <c r="L211" s="6"/>
      <c r="M211" s="6"/>
      <c r="N211" s="6"/>
      <c r="O211" s="6"/>
    </row>
    <row r="212" spans="1:15" ht="15.6">
      <c r="A212" s="560"/>
      <c r="B212" s="6"/>
      <c r="C212" s="6"/>
      <c r="D212" s="6"/>
      <c r="E212" s="6"/>
      <c r="F212" s="6"/>
      <c r="G212" s="6"/>
      <c r="H212" s="6"/>
      <c r="I212" s="6"/>
      <c r="J212" s="6"/>
      <c r="K212" s="6"/>
      <c r="L212" s="6"/>
      <c r="M212" s="6"/>
      <c r="N212" s="6"/>
      <c r="O212" s="6"/>
    </row>
    <row r="213" spans="1:15" ht="15.6">
      <c r="A213" s="560"/>
      <c r="B213" s="6"/>
      <c r="C213" s="6"/>
      <c r="D213" s="6"/>
      <c r="E213" s="6"/>
      <c r="F213" s="6"/>
      <c r="G213" s="6"/>
      <c r="H213" s="6"/>
      <c r="I213" s="6"/>
      <c r="J213" s="6"/>
      <c r="K213" s="6"/>
      <c r="L213" s="6"/>
      <c r="M213" s="6"/>
      <c r="N213" s="6"/>
      <c r="O213" s="6"/>
    </row>
    <row r="214" spans="1:15" ht="15.6">
      <c r="A214" s="560"/>
      <c r="B214" s="6"/>
      <c r="C214" s="6"/>
      <c r="D214" s="6"/>
      <c r="E214" s="6"/>
      <c r="F214" s="6"/>
      <c r="G214" s="6"/>
      <c r="H214" s="6"/>
      <c r="I214" s="6"/>
      <c r="J214" s="6"/>
      <c r="K214" s="6"/>
      <c r="L214" s="6"/>
      <c r="M214" s="6"/>
      <c r="N214" s="6"/>
      <c r="O214" s="6"/>
    </row>
    <row r="215" spans="1:15" ht="15.6">
      <c r="A215" s="560"/>
      <c r="B215" s="6"/>
      <c r="C215" s="6"/>
      <c r="D215" s="6"/>
      <c r="E215" s="6"/>
      <c r="F215" s="6"/>
      <c r="G215" s="6"/>
      <c r="H215" s="6"/>
      <c r="I215" s="6"/>
      <c r="J215" s="6"/>
      <c r="K215" s="6"/>
      <c r="L215" s="6"/>
      <c r="M215" s="6"/>
      <c r="N215" s="6"/>
      <c r="O215" s="6"/>
    </row>
    <row r="216" spans="1:15" ht="15.6">
      <c r="A216" s="560"/>
      <c r="B216" s="6"/>
      <c r="C216" s="6"/>
      <c r="D216" s="6"/>
      <c r="E216" s="6"/>
      <c r="F216" s="6"/>
      <c r="G216" s="6"/>
      <c r="H216" s="6"/>
      <c r="I216" s="6"/>
      <c r="J216" s="6"/>
      <c r="K216" s="6"/>
      <c r="L216" s="6"/>
      <c r="M216" s="6"/>
      <c r="N216" s="6"/>
      <c r="O216" s="6"/>
    </row>
    <row r="217" spans="1:15" ht="15.6">
      <c r="A217" s="560"/>
      <c r="B217" s="6"/>
      <c r="C217" s="6"/>
      <c r="D217" s="6"/>
      <c r="E217" s="6"/>
      <c r="F217" s="6"/>
      <c r="G217" s="6"/>
      <c r="H217" s="6"/>
      <c r="I217" s="6"/>
      <c r="J217" s="6"/>
      <c r="K217" s="6"/>
      <c r="L217" s="6"/>
      <c r="M217" s="6"/>
      <c r="N217" s="6"/>
      <c r="O217" s="6"/>
    </row>
    <row r="218" spans="1:15" ht="15.6">
      <c r="A218" s="560"/>
      <c r="B218" s="6"/>
      <c r="C218" s="6"/>
      <c r="D218" s="6"/>
      <c r="E218" s="6"/>
      <c r="F218" s="6"/>
      <c r="G218" s="6"/>
      <c r="H218" s="6"/>
      <c r="I218" s="6"/>
      <c r="J218" s="6"/>
      <c r="K218" s="6"/>
      <c r="L218" s="6"/>
      <c r="M218" s="6"/>
      <c r="N218" s="6"/>
      <c r="O218" s="6"/>
    </row>
    <row r="219" spans="1:15" ht="15.6">
      <c r="A219" s="560"/>
      <c r="B219" s="6"/>
      <c r="C219" s="6"/>
      <c r="D219" s="6"/>
      <c r="E219" s="6"/>
      <c r="F219" s="6"/>
      <c r="G219" s="6"/>
      <c r="H219" s="6"/>
      <c r="I219" s="6"/>
      <c r="J219" s="6"/>
      <c r="K219" s="6"/>
      <c r="L219" s="6"/>
      <c r="M219" s="6"/>
      <c r="N219" s="6"/>
      <c r="O219" s="6"/>
    </row>
    <row r="220" spans="1:15" ht="15.6">
      <c r="A220" s="560"/>
      <c r="B220" s="6"/>
      <c r="C220" s="6"/>
      <c r="D220" s="6"/>
      <c r="E220" s="6"/>
      <c r="F220" s="6"/>
      <c r="G220" s="6"/>
      <c r="H220" s="6"/>
      <c r="I220" s="6"/>
      <c r="J220" s="6"/>
      <c r="K220" s="6"/>
      <c r="L220" s="6"/>
      <c r="M220" s="6"/>
      <c r="N220" s="6"/>
      <c r="O220" s="6"/>
    </row>
    <row r="221" spans="1:15" ht="15.6">
      <c r="A221" s="560"/>
      <c r="B221" s="6"/>
      <c r="C221" s="6"/>
      <c r="D221" s="6"/>
      <c r="E221" s="6"/>
      <c r="F221" s="6"/>
      <c r="G221" s="6"/>
      <c r="H221" s="6"/>
      <c r="I221" s="6"/>
      <c r="J221" s="6"/>
      <c r="K221" s="6"/>
      <c r="L221" s="6"/>
      <c r="M221" s="6"/>
      <c r="N221" s="6"/>
      <c r="O221" s="6"/>
    </row>
    <row r="222" spans="1:15" ht="15.6">
      <c r="A222" s="560"/>
      <c r="B222" s="6"/>
      <c r="C222" s="6"/>
      <c r="D222" s="6"/>
      <c r="E222" s="6"/>
      <c r="F222" s="6"/>
      <c r="G222" s="6"/>
      <c r="H222" s="6"/>
      <c r="I222" s="6"/>
      <c r="J222" s="6"/>
      <c r="K222" s="6"/>
      <c r="L222" s="6"/>
      <c r="M222" s="6"/>
      <c r="N222" s="6"/>
      <c r="O222" s="6"/>
    </row>
    <row r="223" spans="1:15" ht="15.6">
      <c r="A223" s="560"/>
      <c r="B223" s="6"/>
      <c r="C223" s="6"/>
      <c r="D223" s="6"/>
      <c r="E223" s="6"/>
      <c r="F223" s="6"/>
      <c r="G223" s="6"/>
      <c r="H223" s="6"/>
      <c r="I223" s="6"/>
      <c r="J223" s="6"/>
      <c r="K223" s="6"/>
      <c r="L223" s="6"/>
      <c r="M223" s="6"/>
      <c r="N223" s="6"/>
      <c r="O223" s="6"/>
    </row>
    <row r="224" spans="1:15" ht="15.6">
      <c r="A224" s="560"/>
      <c r="B224" s="6"/>
      <c r="C224" s="6"/>
      <c r="D224" s="6"/>
      <c r="E224" s="6"/>
      <c r="F224" s="6"/>
      <c r="G224" s="6"/>
      <c r="H224" s="6"/>
      <c r="I224" s="6"/>
      <c r="J224" s="6"/>
      <c r="K224" s="6"/>
      <c r="L224" s="6"/>
      <c r="M224" s="6"/>
      <c r="N224" s="6"/>
      <c r="O224" s="6"/>
    </row>
    <row r="225" spans="1:15" ht="15.6">
      <c r="A225" s="560"/>
      <c r="B225" s="6"/>
      <c r="C225" s="6"/>
      <c r="D225" s="6"/>
      <c r="E225" s="6"/>
      <c r="F225" s="6"/>
      <c r="G225" s="6"/>
      <c r="H225" s="6"/>
      <c r="I225" s="6"/>
      <c r="J225" s="6"/>
      <c r="K225" s="6"/>
      <c r="L225" s="6"/>
      <c r="M225" s="6"/>
      <c r="N225" s="6"/>
      <c r="O225" s="6"/>
    </row>
    <row r="226" spans="1:15" ht="15.6">
      <c r="A226" s="560"/>
      <c r="B226" s="6"/>
      <c r="C226" s="6"/>
      <c r="D226" s="6"/>
      <c r="E226" s="6"/>
      <c r="F226" s="6"/>
      <c r="G226" s="6"/>
      <c r="H226" s="6"/>
      <c r="I226" s="6"/>
      <c r="J226" s="6"/>
      <c r="K226" s="6"/>
      <c r="L226" s="6"/>
      <c r="M226" s="6"/>
      <c r="N226" s="6"/>
      <c r="O226" s="6"/>
    </row>
    <row r="227" spans="1:15" ht="15.6">
      <c r="A227" s="560"/>
      <c r="B227" s="6"/>
      <c r="C227" s="6"/>
      <c r="D227" s="6"/>
      <c r="E227" s="6"/>
      <c r="F227" s="6"/>
      <c r="G227" s="6"/>
      <c r="H227" s="6"/>
      <c r="I227" s="6"/>
      <c r="J227" s="6"/>
      <c r="K227" s="6"/>
      <c r="L227" s="6"/>
      <c r="M227" s="6"/>
      <c r="N227" s="6"/>
      <c r="O227" s="6"/>
    </row>
    <row r="228" spans="1:15" ht="15.6">
      <c r="A228" s="560"/>
      <c r="B228" s="6"/>
      <c r="C228" s="6"/>
      <c r="D228" s="6"/>
      <c r="E228" s="6"/>
      <c r="F228" s="6"/>
      <c r="G228" s="6"/>
      <c r="H228" s="6"/>
      <c r="I228" s="6"/>
      <c r="J228" s="6"/>
      <c r="K228" s="6"/>
      <c r="L228" s="6"/>
      <c r="M228" s="6"/>
      <c r="N228" s="6"/>
      <c r="O228" s="6"/>
    </row>
    <row r="229" spans="1:15" ht="15.6">
      <c r="A229" s="560"/>
      <c r="B229" s="6"/>
      <c r="C229" s="6"/>
      <c r="D229" s="6"/>
      <c r="E229" s="6"/>
      <c r="F229" s="6"/>
      <c r="G229" s="6"/>
      <c r="H229" s="6"/>
      <c r="I229" s="6"/>
      <c r="J229" s="6"/>
      <c r="K229" s="6"/>
      <c r="L229" s="6"/>
      <c r="M229" s="6"/>
      <c r="N229" s="6"/>
      <c r="O229" s="6"/>
    </row>
    <row r="230" spans="1:15" ht="15.6">
      <c r="A230" s="560"/>
      <c r="B230" s="6"/>
      <c r="C230" s="6"/>
      <c r="D230" s="6"/>
      <c r="E230" s="6"/>
      <c r="F230" s="6"/>
      <c r="G230" s="6"/>
      <c r="H230" s="6"/>
      <c r="I230" s="6"/>
      <c r="J230" s="6"/>
      <c r="K230" s="6"/>
      <c r="L230" s="6"/>
      <c r="M230" s="6"/>
      <c r="N230" s="6"/>
      <c r="O230" s="6"/>
    </row>
    <row r="231" spans="1:15" ht="15.6">
      <c r="A231" s="560"/>
      <c r="B231" s="6"/>
      <c r="C231" s="6"/>
      <c r="D231" s="6"/>
      <c r="E231" s="6"/>
      <c r="F231" s="6"/>
      <c r="G231" s="6"/>
      <c r="H231" s="6"/>
      <c r="I231" s="6"/>
      <c r="J231" s="6"/>
      <c r="K231" s="6"/>
      <c r="L231" s="6"/>
      <c r="M231" s="6"/>
      <c r="N231" s="6"/>
      <c r="O231" s="6"/>
    </row>
    <row r="232" spans="1:15" ht="15.6">
      <c r="A232" s="560"/>
      <c r="B232" s="6"/>
      <c r="C232" s="6"/>
      <c r="D232" s="6"/>
      <c r="E232" s="6"/>
      <c r="F232" s="6"/>
      <c r="G232" s="6"/>
      <c r="H232" s="6"/>
      <c r="I232" s="6"/>
      <c r="J232" s="6"/>
      <c r="K232" s="6"/>
      <c r="L232" s="6"/>
      <c r="M232" s="6"/>
      <c r="N232" s="6"/>
      <c r="O232" s="6"/>
    </row>
    <row r="233" spans="1:15" ht="15.6">
      <c r="A233" s="560"/>
      <c r="B233" s="6"/>
      <c r="C233" s="6"/>
      <c r="D233" s="6"/>
      <c r="E233" s="6"/>
      <c r="F233" s="6"/>
      <c r="G233" s="6"/>
      <c r="H233" s="6"/>
      <c r="I233" s="6"/>
      <c r="J233" s="6"/>
      <c r="K233" s="6"/>
      <c r="L233" s="6"/>
      <c r="M233" s="6"/>
      <c r="N233" s="6"/>
      <c r="O233" s="6"/>
    </row>
    <row r="234" spans="1:15" ht="15.6">
      <c r="A234" s="560"/>
      <c r="B234" s="6"/>
      <c r="C234" s="6"/>
      <c r="D234" s="6"/>
      <c r="E234" s="6"/>
      <c r="F234" s="6"/>
      <c r="G234" s="6"/>
      <c r="H234" s="6"/>
      <c r="I234" s="6"/>
      <c r="J234" s="6"/>
      <c r="K234" s="6"/>
      <c r="L234" s="6"/>
      <c r="M234" s="6"/>
      <c r="N234" s="6"/>
      <c r="O234" s="6"/>
    </row>
    <row r="235" spans="1:15" ht="15.6">
      <c r="A235" s="560"/>
      <c r="B235" s="6"/>
      <c r="C235" s="6"/>
      <c r="D235" s="6"/>
      <c r="E235" s="6"/>
      <c r="F235" s="6"/>
      <c r="G235" s="6"/>
      <c r="H235" s="6"/>
      <c r="I235" s="6"/>
      <c r="J235" s="6"/>
      <c r="K235" s="6"/>
      <c r="L235" s="6"/>
      <c r="M235" s="6"/>
      <c r="N235" s="6"/>
      <c r="O235" s="6"/>
    </row>
    <row r="236" spans="1:15" ht="15.6">
      <c r="A236" s="560"/>
      <c r="B236" s="6"/>
      <c r="C236" s="6"/>
      <c r="D236" s="6"/>
      <c r="E236" s="6"/>
      <c r="F236" s="6"/>
      <c r="G236" s="6"/>
      <c r="H236" s="6"/>
      <c r="I236" s="6"/>
      <c r="J236" s="6"/>
      <c r="K236" s="6"/>
      <c r="L236" s="6"/>
      <c r="M236" s="6"/>
      <c r="N236" s="6"/>
      <c r="O236" s="6"/>
    </row>
    <row r="237" spans="1:15" ht="15.6">
      <c r="A237" s="560"/>
      <c r="B237" s="6"/>
      <c r="C237" s="6"/>
      <c r="D237" s="6"/>
      <c r="E237" s="6"/>
      <c r="F237" s="6"/>
      <c r="G237" s="6"/>
      <c r="H237" s="6"/>
      <c r="I237" s="6"/>
      <c r="J237" s="6"/>
      <c r="K237" s="6"/>
      <c r="L237" s="6"/>
      <c r="M237" s="6"/>
      <c r="N237" s="6"/>
      <c r="O237" s="6"/>
    </row>
    <row r="238" spans="1:15" ht="15.6">
      <c r="A238" s="560"/>
      <c r="B238" s="6"/>
      <c r="C238" s="6"/>
      <c r="D238" s="6"/>
      <c r="E238" s="6"/>
      <c r="F238" s="6"/>
      <c r="G238" s="6"/>
      <c r="H238" s="6"/>
      <c r="I238" s="6"/>
      <c r="J238" s="6"/>
      <c r="K238" s="6"/>
      <c r="L238" s="6"/>
      <c r="M238" s="6"/>
      <c r="N238" s="6"/>
      <c r="O238" s="6"/>
    </row>
    <row r="239" spans="1:15" ht="15.6">
      <c r="A239" s="560"/>
      <c r="B239" s="6"/>
      <c r="C239" s="6"/>
      <c r="D239" s="6"/>
      <c r="E239" s="6"/>
      <c r="F239" s="6"/>
      <c r="G239" s="6"/>
      <c r="H239" s="6"/>
      <c r="I239" s="6"/>
      <c r="J239" s="6"/>
      <c r="K239" s="6"/>
      <c r="L239" s="6"/>
      <c r="M239" s="6"/>
      <c r="N239" s="6"/>
      <c r="O239" s="6"/>
    </row>
    <row r="240" spans="1:15" ht="15.6">
      <c r="A240" s="560"/>
      <c r="B240" s="6"/>
      <c r="C240" s="6"/>
      <c r="D240" s="6"/>
      <c r="E240" s="6"/>
      <c r="F240" s="6"/>
      <c r="G240" s="6"/>
      <c r="H240" s="6"/>
      <c r="I240" s="6"/>
      <c r="J240" s="6"/>
      <c r="K240" s="6"/>
      <c r="L240" s="6"/>
      <c r="M240" s="6"/>
      <c r="N240" s="6"/>
      <c r="O240" s="6"/>
    </row>
    <row r="241" spans="1:15" ht="15.6">
      <c r="A241" s="560"/>
      <c r="B241" s="6"/>
      <c r="C241" s="6"/>
      <c r="D241" s="6"/>
      <c r="E241" s="6"/>
      <c r="F241" s="6"/>
      <c r="G241" s="6"/>
      <c r="H241" s="6"/>
      <c r="I241" s="6"/>
      <c r="J241" s="6"/>
      <c r="K241" s="6"/>
      <c r="L241" s="6"/>
      <c r="M241" s="6"/>
      <c r="N241" s="6"/>
      <c r="O241" s="6"/>
    </row>
    <row r="242" spans="1:15" ht="15.6">
      <c r="A242" s="560"/>
      <c r="B242" s="6"/>
      <c r="C242" s="6"/>
      <c r="D242" s="6"/>
      <c r="E242" s="6"/>
      <c r="F242" s="6"/>
      <c r="G242" s="6"/>
      <c r="H242" s="6"/>
      <c r="I242" s="6"/>
      <c r="J242" s="6"/>
      <c r="K242" s="6"/>
      <c r="L242" s="6"/>
      <c r="M242" s="6"/>
      <c r="N242" s="6"/>
      <c r="O242" s="6"/>
    </row>
    <row r="243" spans="1:15" ht="15.6">
      <c r="A243" s="560"/>
      <c r="B243" s="6"/>
      <c r="C243" s="6"/>
      <c r="D243" s="6"/>
      <c r="E243" s="6"/>
      <c r="F243" s="6"/>
      <c r="G243" s="6"/>
      <c r="H243" s="6"/>
      <c r="I243" s="6"/>
      <c r="J243" s="6"/>
      <c r="K243" s="6"/>
      <c r="L243" s="6"/>
      <c r="M243" s="6"/>
      <c r="N243" s="6"/>
      <c r="O243" s="6"/>
    </row>
    <row r="244" spans="1:15" ht="15.6">
      <c r="A244" s="560"/>
      <c r="B244" s="6"/>
      <c r="C244" s="6"/>
      <c r="D244" s="6"/>
      <c r="E244" s="6"/>
      <c r="F244" s="6"/>
      <c r="G244" s="6"/>
      <c r="H244" s="6"/>
      <c r="I244" s="6"/>
      <c r="J244" s="6"/>
      <c r="K244" s="6"/>
      <c r="L244" s="6"/>
      <c r="M244" s="6"/>
      <c r="N244" s="6"/>
      <c r="O244" s="6"/>
    </row>
    <row r="245" spans="1:15" ht="15.6">
      <c r="A245" s="560"/>
      <c r="B245" s="6"/>
      <c r="C245" s="6"/>
      <c r="D245" s="6"/>
      <c r="E245" s="6"/>
      <c r="F245" s="6"/>
      <c r="G245" s="6"/>
      <c r="H245" s="6"/>
      <c r="I245" s="6"/>
      <c r="J245" s="6"/>
      <c r="K245" s="6"/>
      <c r="L245" s="6"/>
      <c r="M245" s="6"/>
      <c r="N245" s="6"/>
      <c r="O245" s="6"/>
    </row>
    <row r="246" spans="1:15" ht="15.6">
      <c r="A246" s="560"/>
      <c r="B246" s="6"/>
      <c r="C246" s="6"/>
      <c r="D246" s="6"/>
      <c r="E246" s="6"/>
      <c r="F246" s="6"/>
      <c r="G246" s="6"/>
      <c r="H246" s="6"/>
      <c r="I246" s="6"/>
      <c r="J246" s="6"/>
      <c r="K246" s="6"/>
      <c r="L246" s="6"/>
      <c r="M246" s="6"/>
      <c r="N246" s="6"/>
      <c r="O246" s="6"/>
    </row>
    <row r="247" spans="1:15" ht="15.6">
      <c r="A247" s="560"/>
      <c r="B247" s="6"/>
      <c r="C247" s="6"/>
      <c r="D247" s="6"/>
      <c r="E247" s="6"/>
      <c r="F247" s="6"/>
      <c r="G247" s="6"/>
      <c r="H247" s="6"/>
      <c r="I247" s="6"/>
      <c r="J247" s="6"/>
      <c r="K247" s="6"/>
      <c r="L247" s="6"/>
      <c r="M247" s="6"/>
      <c r="N247" s="6"/>
      <c r="O247" s="6"/>
    </row>
    <row r="248" spans="1:15" ht="15.6">
      <c r="A248" s="560"/>
      <c r="B248" s="6"/>
      <c r="C248" s="6"/>
      <c r="D248" s="6"/>
      <c r="E248" s="6"/>
      <c r="F248" s="6"/>
      <c r="G248" s="6"/>
      <c r="H248" s="6"/>
      <c r="I248" s="6"/>
      <c r="J248" s="6"/>
      <c r="K248" s="6"/>
      <c r="L248" s="6"/>
      <c r="M248" s="6"/>
      <c r="N248" s="6"/>
      <c r="O248" s="6"/>
    </row>
    <row r="249" spans="1:15" ht="15.6">
      <c r="A249" s="560"/>
      <c r="B249" s="6"/>
      <c r="C249" s="6"/>
      <c r="D249" s="6"/>
      <c r="E249" s="6"/>
      <c r="F249" s="6"/>
      <c r="G249" s="6"/>
      <c r="H249" s="6"/>
      <c r="I249" s="6"/>
      <c r="J249" s="6"/>
      <c r="K249" s="6"/>
      <c r="L249" s="6"/>
      <c r="M249" s="6"/>
      <c r="N249" s="6"/>
      <c r="O249" s="6"/>
    </row>
    <row r="250" spans="1:15" ht="15.6">
      <c r="A250" s="560"/>
      <c r="B250" s="6"/>
      <c r="C250" s="6"/>
      <c r="D250" s="6"/>
      <c r="E250" s="6"/>
      <c r="F250" s="6"/>
      <c r="G250" s="6"/>
      <c r="H250" s="6"/>
      <c r="I250" s="6"/>
      <c r="J250" s="6"/>
      <c r="K250" s="6"/>
      <c r="L250" s="6"/>
      <c r="M250" s="6"/>
      <c r="N250" s="6"/>
      <c r="O250" s="6"/>
    </row>
    <row r="251" spans="1:15" ht="15.6">
      <c r="A251" s="560"/>
      <c r="B251" s="6"/>
      <c r="C251" s="6"/>
      <c r="D251" s="6"/>
      <c r="E251" s="6"/>
      <c r="F251" s="6"/>
      <c r="G251" s="6"/>
      <c r="H251" s="6"/>
      <c r="I251" s="6"/>
      <c r="J251" s="6"/>
      <c r="K251" s="6"/>
      <c r="L251" s="6"/>
      <c r="M251" s="6"/>
      <c r="N251" s="6"/>
      <c r="O251" s="6"/>
    </row>
    <row r="252" spans="1:15" ht="15.6">
      <c r="A252" s="560"/>
      <c r="B252" s="6"/>
      <c r="C252" s="6"/>
      <c r="D252" s="6"/>
      <c r="E252" s="6"/>
      <c r="F252" s="6"/>
      <c r="G252" s="6"/>
      <c r="H252" s="6"/>
      <c r="I252" s="6"/>
      <c r="J252" s="6"/>
      <c r="K252" s="6"/>
      <c r="L252" s="6"/>
      <c r="M252" s="6"/>
      <c r="N252" s="6"/>
      <c r="O252" s="6"/>
    </row>
    <row r="253" spans="1:15" ht="15.6">
      <c r="A253" s="560"/>
      <c r="B253" s="6"/>
      <c r="C253" s="6"/>
      <c r="D253" s="6"/>
      <c r="E253" s="6"/>
      <c r="F253" s="6"/>
      <c r="G253" s="6"/>
      <c r="H253" s="6"/>
      <c r="I253" s="6"/>
      <c r="J253" s="6"/>
      <c r="K253" s="6"/>
      <c r="L253" s="6"/>
      <c r="M253" s="6"/>
      <c r="N253" s="6"/>
      <c r="O253" s="6"/>
    </row>
    <row r="254" spans="1:15" ht="15.6">
      <c r="A254" s="560"/>
      <c r="B254" s="6"/>
      <c r="C254" s="6"/>
      <c r="D254" s="6"/>
      <c r="E254" s="6"/>
      <c r="F254" s="6"/>
      <c r="G254" s="6"/>
      <c r="H254" s="6"/>
      <c r="I254" s="6"/>
      <c r="J254" s="6"/>
      <c r="K254" s="6"/>
      <c r="L254" s="6"/>
      <c r="M254" s="6"/>
      <c r="N254" s="6"/>
      <c r="O254" s="6"/>
    </row>
    <row r="255" spans="1:15" ht="15.6">
      <c r="A255" s="560"/>
      <c r="B255" s="6"/>
      <c r="C255" s="6"/>
      <c r="D255" s="6"/>
      <c r="E255" s="6"/>
      <c r="F255" s="6"/>
      <c r="G255" s="6"/>
      <c r="H255" s="6"/>
      <c r="I255" s="6"/>
      <c r="J255" s="6"/>
      <c r="K255" s="6"/>
      <c r="L255" s="6"/>
      <c r="M255" s="6"/>
      <c r="N255" s="6"/>
      <c r="O255" s="6"/>
    </row>
    <row r="256" spans="1:15" ht="15.6">
      <c r="A256" s="560"/>
      <c r="B256" s="6"/>
      <c r="C256" s="6"/>
      <c r="D256" s="6"/>
      <c r="E256" s="6"/>
      <c r="F256" s="6"/>
      <c r="G256" s="6"/>
      <c r="H256" s="6"/>
      <c r="I256" s="6"/>
      <c r="J256" s="6"/>
      <c r="K256" s="6"/>
      <c r="L256" s="6"/>
      <c r="M256" s="6"/>
      <c r="N256" s="6"/>
      <c r="O256" s="6"/>
    </row>
    <row r="257" spans="1:15" ht="15.6">
      <c r="A257" s="560"/>
      <c r="B257" s="6"/>
      <c r="C257" s="6"/>
      <c r="D257" s="6"/>
      <c r="E257" s="6"/>
      <c r="F257" s="6"/>
      <c r="G257" s="6"/>
      <c r="H257" s="6"/>
      <c r="I257" s="6"/>
      <c r="J257" s="6"/>
      <c r="K257" s="6"/>
      <c r="L257" s="6"/>
      <c r="M257" s="6"/>
      <c r="N257" s="6"/>
      <c r="O257" s="6"/>
    </row>
    <row r="258" spans="1:15" ht="15.6">
      <c r="A258" s="560"/>
      <c r="B258" s="6"/>
      <c r="C258" s="6"/>
      <c r="D258" s="6"/>
      <c r="E258" s="6"/>
      <c r="F258" s="6"/>
      <c r="G258" s="6"/>
      <c r="H258" s="6"/>
      <c r="I258" s="6"/>
      <c r="J258" s="6"/>
      <c r="K258" s="6"/>
      <c r="L258" s="6"/>
      <c r="M258" s="6"/>
      <c r="N258" s="6"/>
      <c r="O258" s="6"/>
    </row>
    <row r="259" spans="1:15" ht="15.6">
      <c r="A259" s="560"/>
      <c r="B259" s="6"/>
      <c r="C259" s="6"/>
      <c r="D259" s="6"/>
      <c r="E259" s="6"/>
      <c r="F259" s="6"/>
      <c r="G259" s="6"/>
      <c r="H259" s="6"/>
      <c r="I259" s="6"/>
      <c r="J259" s="6"/>
      <c r="K259" s="6"/>
      <c r="L259" s="6"/>
      <c r="M259" s="6"/>
      <c r="N259" s="6"/>
      <c r="O259" s="6"/>
    </row>
    <row r="260" spans="1:15" ht="15.6">
      <c r="A260" s="560"/>
      <c r="B260" s="6"/>
      <c r="C260" s="6"/>
      <c r="D260" s="6"/>
      <c r="E260" s="6"/>
      <c r="F260" s="6"/>
      <c r="G260" s="6"/>
      <c r="H260" s="6"/>
      <c r="I260" s="6"/>
      <c r="J260" s="6"/>
      <c r="K260" s="6"/>
      <c r="L260" s="6"/>
      <c r="M260" s="6"/>
      <c r="N260" s="6"/>
      <c r="O260" s="6"/>
    </row>
    <row r="261" spans="1:15" ht="15.6">
      <c r="A261" s="560"/>
      <c r="B261" s="6"/>
      <c r="C261" s="6"/>
      <c r="D261" s="6"/>
      <c r="E261" s="6"/>
      <c r="F261" s="6"/>
      <c r="G261" s="6"/>
      <c r="H261" s="6"/>
      <c r="I261" s="6"/>
      <c r="J261" s="6"/>
      <c r="K261" s="6"/>
      <c r="L261" s="6"/>
      <c r="M261" s="6"/>
      <c r="N261" s="6"/>
      <c r="O261" s="6"/>
    </row>
    <row r="262" spans="1:15" ht="15.6">
      <c r="A262" s="560"/>
      <c r="B262" s="6"/>
      <c r="C262" s="6"/>
      <c r="D262" s="6"/>
      <c r="E262" s="6"/>
      <c r="F262" s="6"/>
      <c r="G262" s="6"/>
      <c r="H262" s="6"/>
      <c r="I262" s="6"/>
      <c r="J262" s="6"/>
      <c r="K262" s="6"/>
      <c r="L262" s="6"/>
      <c r="M262" s="6"/>
      <c r="N262" s="6"/>
      <c r="O262" s="6"/>
    </row>
    <row r="263" spans="1:15" ht="15.6">
      <c r="A263" s="560"/>
      <c r="B263" s="6"/>
      <c r="C263" s="6"/>
      <c r="D263" s="6"/>
      <c r="E263" s="6"/>
      <c r="F263" s="6"/>
      <c r="G263" s="6"/>
      <c r="H263" s="6"/>
      <c r="I263" s="6"/>
      <c r="J263" s="6"/>
      <c r="K263" s="6"/>
      <c r="L263" s="6"/>
      <c r="M263" s="6"/>
      <c r="N263" s="6"/>
      <c r="O263" s="6"/>
    </row>
    <row r="264" spans="1:15" ht="15.6">
      <c r="A264" s="560"/>
      <c r="B264" s="6"/>
      <c r="C264" s="6"/>
      <c r="D264" s="6"/>
      <c r="E264" s="6"/>
      <c r="F264" s="6"/>
      <c r="G264" s="6"/>
      <c r="H264" s="6"/>
      <c r="I264" s="6"/>
      <c r="J264" s="6"/>
      <c r="K264" s="6"/>
      <c r="L264" s="6"/>
      <c r="M264" s="6"/>
      <c r="N264" s="6"/>
      <c r="O264" s="6"/>
    </row>
    <row r="265" spans="1:15" ht="15.6">
      <c r="A265" s="560"/>
      <c r="B265" s="6"/>
      <c r="C265" s="6"/>
      <c r="D265" s="6"/>
      <c r="E265" s="6"/>
      <c r="F265" s="6"/>
      <c r="G265" s="6"/>
      <c r="H265" s="6"/>
      <c r="I265" s="6"/>
      <c r="J265" s="6"/>
      <c r="K265" s="6"/>
      <c r="L265" s="6"/>
      <c r="M265" s="6"/>
      <c r="N265" s="6"/>
      <c r="O265" s="6"/>
    </row>
    <row r="266" spans="1:15" ht="15.6">
      <c r="A266" s="560"/>
      <c r="B266" s="6"/>
      <c r="C266" s="6"/>
      <c r="D266" s="6"/>
      <c r="E266" s="6"/>
      <c r="F266" s="6"/>
      <c r="G266" s="6"/>
      <c r="H266" s="6"/>
      <c r="I266" s="6"/>
      <c r="J266" s="6"/>
      <c r="K266" s="6"/>
      <c r="L266" s="6"/>
      <c r="M266" s="6"/>
      <c r="N266" s="6"/>
      <c r="O266" s="6"/>
    </row>
    <row r="267" spans="1:15" ht="15.6">
      <c r="A267" s="560"/>
      <c r="B267" s="6"/>
      <c r="C267" s="6"/>
      <c r="D267" s="6"/>
      <c r="E267" s="6"/>
      <c r="F267" s="6"/>
      <c r="G267" s="6"/>
      <c r="H267" s="6"/>
      <c r="I267" s="6"/>
      <c r="J267" s="6"/>
      <c r="K267" s="6"/>
      <c r="L267" s="6"/>
      <c r="M267" s="6"/>
      <c r="N267" s="6"/>
      <c r="O267" s="6"/>
    </row>
    <row r="268" spans="1:15" ht="15.6">
      <c r="A268" s="560"/>
      <c r="B268" s="6"/>
      <c r="C268" s="6"/>
      <c r="D268" s="6"/>
      <c r="E268" s="6"/>
      <c r="F268" s="6"/>
      <c r="G268" s="6"/>
      <c r="H268" s="6"/>
      <c r="I268" s="6"/>
      <c r="J268" s="6"/>
      <c r="K268" s="6"/>
      <c r="L268" s="6"/>
      <c r="M268" s="6"/>
      <c r="N268" s="6"/>
      <c r="O268" s="6"/>
    </row>
    <row r="269" spans="1:15" ht="15.6">
      <c r="A269" s="560"/>
      <c r="B269" s="6"/>
      <c r="C269" s="6"/>
      <c r="D269" s="6"/>
      <c r="E269" s="6"/>
      <c r="F269" s="6"/>
      <c r="G269" s="6"/>
      <c r="H269" s="6"/>
      <c r="I269" s="6"/>
      <c r="J269" s="6"/>
      <c r="K269" s="6"/>
      <c r="L269" s="6"/>
      <c r="M269" s="6"/>
      <c r="N269" s="6"/>
      <c r="O269" s="6"/>
    </row>
    <row r="270" spans="1:15" ht="15.6">
      <c r="A270" s="560"/>
      <c r="B270" s="6"/>
      <c r="C270" s="6"/>
      <c r="D270" s="6"/>
      <c r="E270" s="6"/>
      <c r="F270" s="6"/>
      <c r="G270" s="6"/>
      <c r="H270" s="6"/>
      <c r="I270" s="6"/>
      <c r="J270" s="6"/>
      <c r="K270" s="6"/>
      <c r="L270" s="6"/>
      <c r="M270" s="6"/>
      <c r="N270" s="6"/>
      <c r="O270" s="6"/>
    </row>
    <row r="271" spans="1:15" ht="15.6">
      <c r="A271" s="560"/>
      <c r="B271" s="6"/>
      <c r="C271" s="6"/>
      <c r="D271" s="6"/>
      <c r="E271" s="6"/>
      <c r="F271" s="6"/>
      <c r="G271" s="6"/>
      <c r="H271" s="6"/>
      <c r="I271" s="6"/>
      <c r="J271" s="6"/>
      <c r="K271" s="6"/>
      <c r="L271" s="6"/>
      <c r="M271" s="6"/>
      <c r="N271" s="6"/>
      <c r="O271" s="6"/>
    </row>
    <row r="272" spans="1:15" ht="15.6">
      <c r="A272" s="560"/>
      <c r="B272" s="6"/>
      <c r="C272" s="6"/>
      <c r="D272" s="6"/>
      <c r="E272" s="6"/>
      <c r="F272" s="6"/>
      <c r="G272" s="6"/>
      <c r="H272" s="6"/>
      <c r="I272" s="6"/>
      <c r="J272" s="6"/>
      <c r="K272" s="6"/>
      <c r="L272" s="6"/>
      <c r="M272" s="6"/>
      <c r="N272" s="6"/>
      <c r="O272" s="6"/>
    </row>
    <row r="273" spans="1:15" ht="15.6">
      <c r="A273" s="560"/>
      <c r="B273" s="6"/>
      <c r="C273" s="6"/>
      <c r="D273" s="6"/>
      <c r="E273" s="6"/>
      <c r="F273" s="6"/>
      <c r="G273" s="6"/>
      <c r="H273" s="6"/>
      <c r="I273" s="6"/>
      <c r="J273" s="6"/>
      <c r="K273" s="6"/>
      <c r="L273" s="6"/>
      <c r="M273" s="6"/>
      <c r="N273" s="6"/>
      <c r="O273" s="6"/>
    </row>
    <row r="274" spans="1:15" ht="15.6">
      <c r="A274" s="560"/>
      <c r="B274" s="6"/>
      <c r="C274" s="6"/>
      <c r="D274" s="6"/>
      <c r="E274" s="6"/>
      <c r="F274" s="6"/>
      <c r="G274" s="6"/>
      <c r="H274" s="6"/>
      <c r="I274" s="6"/>
      <c r="J274" s="6"/>
      <c r="K274" s="6"/>
      <c r="L274" s="6"/>
      <c r="M274" s="6"/>
      <c r="N274" s="6"/>
      <c r="O274" s="6"/>
    </row>
    <row r="275" spans="1:15" ht="15.6">
      <c r="A275" s="560"/>
      <c r="B275" s="6"/>
      <c r="C275" s="6"/>
      <c r="D275" s="6"/>
      <c r="E275" s="6"/>
      <c r="F275" s="6"/>
      <c r="G275" s="6"/>
      <c r="H275" s="6"/>
      <c r="I275" s="6"/>
      <c r="J275" s="6"/>
      <c r="K275" s="6"/>
      <c r="L275" s="6"/>
      <c r="M275" s="6"/>
      <c r="N275" s="6"/>
      <c r="O275" s="6"/>
    </row>
    <row r="276" spans="1:15" ht="15.6">
      <c r="A276" s="560"/>
      <c r="B276" s="6"/>
      <c r="C276" s="6"/>
      <c r="D276" s="6"/>
      <c r="E276" s="6"/>
      <c r="F276" s="6"/>
      <c r="G276" s="6"/>
      <c r="H276" s="6"/>
      <c r="I276" s="6"/>
      <c r="J276" s="6"/>
      <c r="K276" s="6"/>
      <c r="L276" s="6"/>
      <c r="M276" s="6"/>
      <c r="N276" s="6"/>
      <c r="O276" s="6"/>
    </row>
    <row r="277" spans="1:15" ht="15.6">
      <c r="A277" s="560"/>
      <c r="B277" s="6"/>
      <c r="C277" s="6"/>
      <c r="D277" s="6"/>
      <c r="E277" s="6"/>
      <c r="F277" s="6"/>
      <c r="G277" s="6"/>
      <c r="H277" s="6"/>
      <c r="I277" s="6"/>
      <c r="J277" s="6"/>
      <c r="K277" s="6"/>
      <c r="L277" s="6"/>
      <c r="M277" s="6"/>
      <c r="N277" s="6"/>
      <c r="O277" s="6"/>
    </row>
    <row r="278" spans="1:15" ht="15.6">
      <c r="A278" s="560"/>
      <c r="B278" s="6"/>
      <c r="C278" s="6"/>
      <c r="D278" s="6"/>
      <c r="E278" s="6"/>
      <c r="F278" s="6"/>
      <c r="G278" s="6"/>
      <c r="H278" s="6"/>
      <c r="I278" s="6"/>
      <c r="J278" s="6"/>
      <c r="K278" s="6"/>
      <c r="L278" s="6"/>
      <c r="M278" s="6"/>
      <c r="N278" s="6"/>
      <c r="O278" s="6"/>
    </row>
    <row r="279" spans="1:15" ht="15.6">
      <c r="A279" s="560"/>
      <c r="B279" s="6"/>
      <c r="C279" s="6"/>
      <c r="D279" s="6"/>
      <c r="E279" s="6"/>
      <c r="F279" s="6"/>
      <c r="G279" s="6"/>
      <c r="H279" s="6"/>
      <c r="I279" s="6"/>
      <c r="J279" s="6"/>
      <c r="K279" s="6"/>
      <c r="L279" s="6"/>
      <c r="M279" s="6"/>
      <c r="N279" s="6"/>
      <c r="O279" s="6"/>
    </row>
    <row r="280" spans="1:15" ht="15.6">
      <c r="A280" s="560"/>
      <c r="B280" s="6"/>
      <c r="C280" s="6"/>
      <c r="D280" s="6"/>
      <c r="E280" s="6"/>
      <c r="F280" s="6"/>
      <c r="G280" s="6"/>
      <c r="H280" s="6"/>
      <c r="I280" s="6"/>
      <c r="J280" s="6"/>
      <c r="K280" s="6"/>
      <c r="L280" s="6"/>
      <c r="M280" s="6"/>
      <c r="N280" s="6"/>
      <c r="O280" s="6"/>
    </row>
    <row r="281" spans="1:15" ht="15.6">
      <c r="A281" s="560"/>
      <c r="B281" s="6"/>
      <c r="C281" s="6"/>
      <c r="D281" s="6"/>
      <c r="E281" s="6"/>
      <c r="F281" s="6"/>
      <c r="G281" s="6"/>
      <c r="H281" s="6"/>
      <c r="I281" s="6"/>
      <c r="J281" s="6"/>
      <c r="K281" s="6"/>
      <c r="L281" s="6"/>
      <c r="M281" s="6"/>
      <c r="N281" s="6"/>
      <c r="O281" s="6"/>
    </row>
    <row r="282" spans="1:15" ht="15.6">
      <c r="A282" s="560"/>
      <c r="B282" s="6"/>
      <c r="C282" s="6"/>
      <c r="D282" s="6"/>
      <c r="E282" s="6"/>
      <c r="F282" s="6"/>
      <c r="G282" s="6"/>
      <c r="H282" s="6"/>
      <c r="I282" s="6"/>
      <c r="J282" s="6"/>
      <c r="K282" s="6"/>
      <c r="L282" s="6"/>
      <c r="M282" s="6"/>
      <c r="N282" s="6"/>
      <c r="O282" s="6"/>
    </row>
    <row r="283" spans="1:15" ht="15.6">
      <c r="A283" s="560"/>
      <c r="B283" s="6"/>
      <c r="C283" s="6"/>
      <c r="D283" s="6"/>
      <c r="E283" s="6"/>
      <c r="F283" s="6"/>
      <c r="G283" s="6"/>
      <c r="H283" s="6"/>
      <c r="I283" s="6"/>
      <c r="J283" s="6"/>
      <c r="K283" s="6"/>
      <c r="L283" s="6"/>
      <c r="M283" s="6"/>
      <c r="N283" s="6"/>
      <c r="O283" s="6"/>
    </row>
    <row r="284" spans="1:15" ht="15.6">
      <c r="A284" s="560"/>
      <c r="B284" s="6"/>
      <c r="C284" s="6"/>
      <c r="D284" s="6"/>
      <c r="E284" s="6"/>
      <c r="F284" s="6"/>
      <c r="G284" s="6"/>
      <c r="H284" s="6"/>
      <c r="I284" s="6"/>
      <c r="J284" s="6"/>
      <c r="K284" s="6"/>
      <c r="L284" s="6"/>
      <c r="M284" s="6"/>
      <c r="N284" s="6"/>
      <c r="O284" s="6"/>
    </row>
    <row r="285" spans="1:15" ht="15.6">
      <c r="A285" s="560"/>
      <c r="B285" s="6"/>
      <c r="C285" s="6"/>
      <c r="D285" s="6"/>
      <c r="E285" s="6"/>
      <c r="F285" s="6"/>
      <c r="G285" s="6"/>
      <c r="H285" s="6"/>
      <c r="I285" s="6"/>
      <c r="J285" s="6"/>
      <c r="K285" s="6"/>
      <c r="L285" s="6"/>
      <c r="M285" s="6"/>
      <c r="N285" s="6"/>
      <c r="O285" s="6"/>
    </row>
    <row r="286" spans="1:15" ht="15.6">
      <c r="A286" s="560"/>
      <c r="B286" s="6"/>
      <c r="C286" s="6"/>
      <c r="D286" s="6"/>
      <c r="E286" s="6"/>
      <c r="F286" s="6"/>
      <c r="G286" s="6"/>
      <c r="H286" s="6"/>
      <c r="I286" s="6"/>
      <c r="J286" s="6"/>
      <c r="K286" s="6"/>
      <c r="L286" s="6"/>
      <c r="M286" s="6"/>
      <c r="N286" s="6"/>
      <c r="O286" s="6"/>
    </row>
    <row r="287" spans="1:15" ht="15.6">
      <c r="A287" s="560"/>
      <c r="B287" s="6"/>
      <c r="C287" s="6"/>
      <c r="D287" s="6"/>
      <c r="E287" s="6"/>
      <c r="F287" s="6"/>
      <c r="G287" s="6"/>
      <c r="H287" s="6"/>
      <c r="I287" s="6"/>
      <c r="J287" s="6"/>
      <c r="K287" s="6"/>
      <c r="L287" s="6"/>
      <c r="M287" s="6"/>
      <c r="N287" s="6"/>
      <c r="O287" s="6"/>
    </row>
    <row r="288" spans="1:15" ht="15.6">
      <c r="A288" s="560"/>
      <c r="B288" s="6"/>
      <c r="C288" s="6"/>
      <c r="D288" s="6"/>
      <c r="E288" s="6"/>
      <c r="F288" s="6"/>
      <c r="G288" s="6"/>
      <c r="H288" s="6"/>
      <c r="I288" s="6"/>
      <c r="J288" s="6"/>
      <c r="K288" s="6"/>
      <c r="L288" s="6"/>
      <c r="M288" s="6"/>
      <c r="N288" s="6"/>
      <c r="O288" s="6"/>
    </row>
    <row r="289" spans="1:15" ht="15.6">
      <c r="A289" s="560"/>
      <c r="B289" s="6"/>
      <c r="C289" s="6"/>
      <c r="D289" s="6"/>
      <c r="E289" s="6"/>
      <c r="F289" s="6"/>
      <c r="G289" s="6"/>
      <c r="H289" s="6"/>
      <c r="I289" s="6"/>
      <c r="J289" s="6"/>
      <c r="K289" s="6"/>
      <c r="L289" s="6"/>
      <c r="M289" s="6"/>
      <c r="N289" s="6"/>
      <c r="O289" s="6"/>
    </row>
    <row r="290" spans="1:15" ht="15.6">
      <c r="A290" s="560"/>
      <c r="B290" s="6"/>
      <c r="C290" s="6"/>
      <c r="D290" s="6"/>
      <c r="E290" s="6"/>
      <c r="F290" s="6"/>
      <c r="G290" s="6"/>
      <c r="H290" s="6"/>
      <c r="I290" s="6"/>
      <c r="J290" s="6"/>
      <c r="K290" s="6"/>
      <c r="L290" s="6"/>
      <c r="M290" s="6"/>
      <c r="N290" s="6"/>
      <c r="O290" s="6"/>
    </row>
    <row r="291" spans="1:15" ht="15.6">
      <c r="A291" s="560"/>
      <c r="B291" s="6"/>
      <c r="C291" s="6"/>
      <c r="D291" s="6"/>
      <c r="E291" s="6"/>
      <c r="F291" s="6"/>
      <c r="G291" s="6"/>
      <c r="H291" s="6"/>
      <c r="I291" s="6"/>
      <c r="J291" s="6"/>
      <c r="K291" s="6"/>
      <c r="L291" s="6"/>
      <c r="M291" s="6"/>
      <c r="N291" s="6"/>
      <c r="O291" s="6"/>
    </row>
    <row r="292" spans="1:15" ht="15.6">
      <c r="A292" s="560"/>
      <c r="B292" s="6"/>
      <c r="C292" s="6"/>
      <c r="D292" s="6"/>
      <c r="E292" s="6"/>
      <c r="F292" s="6"/>
      <c r="G292" s="6"/>
      <c r="H292" s="6"/>
      <c r="I292" s="6"/>
      <c r="J292" s="6"/>
      <c r="K292" s="6"/>
      <c r="L292" s="6"/>
      <c r="M292" s="6"/>
      <c r="N292" s="6"/>
      <c r="O292" s="6"/>
    </row>
    <row r="293" spans="1:15" ht="15.6">
      <c r="A293" s="560"/>
      <c r="B293" s="6"/>
      <c r="C293" s="6"/>
      <c r="D293" s="6"/>
      <c r="E293" s="6"/>
      <c r="F293" s="6"/>
      <c r="G293" s="6"/>
      <c r="H293" s="6"/>
      <c r="I293" s="6"/>
      <c r="J293" s="6"/>
      <c r="K293" s="6"/>
      <c r="L293" s="6"/>
      <c r="M293" s="6"/>
      <c r="N293" s="6"/>
      <c r="O293" s="6"/>
    </row>
    <row r="294" spans="1:15" ht="15.6">
      <c r="A294" s="560"/>
      <c r="B294" s="6"/>
      <c r="C294" s="6"/>
      <c r="D294" s="6"/>
      <c r="E294" s="6"/>
      <c r="F294" s="6"/>
      <c r="G294" s="6"/>
      <c r="H294" s="6"/>
      <c r="I294" s="6"/>
      <c r="J294" s="6"/>
      <c r="K294" s="6"/>
      <c r="L294" s="6"/>
      <c r="M294" s="6"/>
      <c r="N294" s="6"/>
      <c r="O294" s="6"/>
    </row>
    <row r="295" spans="1:15" ht="15.6">
      <c r="A295" s="560"/>
      <c r="B295" s="6"/>
      <c r="C295" s="6"/>
      <c r="D295" s="6"/>
      <c r="E295" s="6"/>
      <c r="F295" s="6"/>
      <c r="G295" s="6"/>
      <c r="H295" s="6"/>
      <c r="I295" s="6"/>
      <c r="J295" s="6"/>
      <c r="K295" s="6"/>
      <c r="L295" s="6"/>
      <c r="M295" s="6"/>
      <c r="N295" s="6"/>
      <c r="O295" s="6"/>
    </row>
    <row r="296" spans="1:15" ht="15.6">
      <c r="A296" s="560"/>
      <c r="B296" s="6"/>
      <c r="C296" s="6"/>
      <c r="D296" s="6"/>
      <c r="E296" s="6"/>
      <c r="F296" s="6"/>
      <c r="G296" s="6"/>
      <c r="H296" s="6"/>
      <c r="I296" s="6"/>
      <c r="J296" s="6"/>
      <c r="K296" s="6"/>
      <c r="L296" s="6"/>
      <c r="M296" s="6"/>
      <c r="N296" s="6"/>
      <c r="O296" s="6"/>
    </row>
    <row r="297" spans="1:15" ht="15.6">
      <c r="A297" s="560"/>
      <c r="B297" s="6"/>
      <c r="C297" s="6"/>
      <c r="D297" s="6"/>
      <c r="E297" s="6"/>
      <c r="F297" s="6"/>
      <c r="G297" s="6"/>
      <c r="H297" s="6"/>
      <c r="I297" s="6"/>
      <c r="J297" s="6"/>
      <c r="K297" s="6"/>
      <c r="L297" s="6"/>
      <c r="M297" s="6"/>
      <c r="N297" s="6"/>
      <c r="O297" s="6"/>
    </row>
    <row r="298" spans="1:15" ht="15.6">
      <c r="A298" s="560"/>
      <c r="B298" s="6"/>
      <c r="C298" s="6"/>
      <c r="D298" s="6"/>
      <c r="E298" s="6"/>
      <c r="F298" s="6"/>
      <c r="G298" s="6"/>
      <c r="H298" s="6"/>
      <c r="I298" s="6"/>
      <c r="J298" s="6"/>
      <c r="K298" s="6"/>
      <c r="L298" s="6"/>
      <c r="M298" s="6"/>
      <c r="N298" s="6"/>
      <c r="O298" s="6"/>
    </row>
    <row r="299" spans="1:15" ht="15.6">
      <c r="A299" s="560"/>
      <c r="B299" s="6"/>
      <c r="C299" s="6"/>
      <c r="D299" s="6"/>
      <c r="E299" s="6"/>
      <c r="F299" s="6"/>
      <c r="G299" s="6"/>
      <c r="H299" s="6"/>
      <c r="I299" s="6"/>
      <c r="J299" s="6"/>
      <c r="K299" s="6"/>
      <c r="L299" s="6"/>
      <c r="M299" s="6"/>
      <c r="N299" s="6"/>
      <c r="O299" s="6"/>
    </row>
    <row r="300" spans="1:15" ht="15.6">
      <c r="A300" s="560"/>
      <c r="B300" s="6"/>
      <c r="C300" s="6"/>
      <c r="D300" s="6"/>
      <c r="E300" s="6"/>
      <c r="F300" s="6"/>
      <c r="G300" s="6"/>
      <c r="H300" s="6"/>
      <c r="I300" s="6"/>
      <c r="J300" s="6"/>
      <c r="K300" s="6"/>
      <c r="L300" s="6"/>
      <c r="M300" s="6"/>
      <c r="N300" s="6"/>
      <c r="O300" s="6"/>
    </row>
    <row r="301" spans="1:15" ht="15.6">
      <c r="A301" s="560"/>
      <c r="B301" s="6"/>
      <c r="C301" s="6"/>
      <c r="D301" s="6"/>
      <c r="E301" s="6"/>
      <c r="F301" s="6"/>
      <c r="G301" s="6"/>
      <c r="H301" s="6"/>
      <c r="I301" s="6"/>
      <c r="J301" s="6"/>
      <c r="K301" s="6"/>
      <c r="L301" s="6"/>
      <c r="M301" s="6"/>
      <c r="N301" s="6"/>
      <c r="O301" s="6"/>
    </row>
    <row r="302" spans="1:15" ht="15.6">
      <c r="A302" s="560"/>
      <c r="B302" s="6"/>
      <c r="C302" s="6"/>
      <c r="D302" s="6"/>
      <c r="E302" s="6"/>
      <c r="F302" s="6"/>
      <c r="G302" s="6"/>
      <c r="H302" s="6"/>
      <c r="I302" s="6"/>
      <c r="J302" s="6"/>
      <c r="K302" s="6"/>
      <c r="L302" s="6"/>
      <c r="M302" s="6"/>
      <c r="N302" s="6"/>
      <c r="O302" s="6"/>
    </row>
    <row r="303" spans="1:15" ht="15.6">
      <c r="A303" s="560"/>
      <c r="B303" s="6"/>
      <c r="C303" s="6"/>
      <c r="D303" s="6"/>
      <c r="E303" s="6"/>
      <c r="F303" s="6"/>
      <c r="G303" s="6"/>
      <c r="H303" s="6"/>
      <c r="I303" s="6"/>
      <c r="J303" s="6"/>
      <c r="K303" s="6"/>
      <c r="L303" s="6"/>
      <c r="M303" s="6"/>
      <c r="N303" s="6"/>
      <c r="O303" s="6"/>
    </row>
    <row r="304" spans="1:15" ht="15.6">
      <c r="A304" s="560"/>
      <c r="B304" s="6"/>
      <c r="C304" s="6"/>
      <c r="D304" s="6"/>
      <c r="E304" s="6"/>
      <c r="F304" s="6"/>
      <c r="G304" s="6"/>
      <c r="H304" s="6"/>
      <c r="I304" s="6"/>
      <c r="J304" s="6"/>
      <c r="K304" s="6"/>
      <c r="L304" s="6"/>
      <c r="M304" s="6"/>
      <c r="N304" s="6"/>
      <c r="O304" s="6"/>
    </row>
    <row r="305" spans="1:15" ht="15.6">
      <c r="A305" s="560"/>
      <c r="B305" s="6"/>
      <c r="C305" s="6"/>
      <c r="D305" s="6"/>
      <c r="E305" s="6"/>
      <c r="F305" s="6"/>
      <c r="G305" s="6"/>
      <c r="H305" s="6"/>
      <c r="I305" s="6"/>
      <c r="J305" s="6"/>
      <c r="K305" s="6"/>
      <c r="L305" s="6"/>
      <c r="M305" s="6"/>
      <c r="N305" s="6"/>
      <c r="O305" s="6"/>
    </row>
    <row r="306" spans="1:15" ht="15.6">
      <c r="A306" s="560"/>
      <c r="B306" s="6"/>
      <c r="C306" s="6"/>
      <c r="D306" s="6"/>
      <c r="E306" s="6"/>
      <c r="F306" s="6"/>
      <c r="G306" s="6"/>
      <c r="H306" s="6"/>
      <c r="I306" s="6"/>
      <c r="J306" s="6"/>
      <c r="K306" s="6"/>
      <c r="L306" s="6"/>
      <c r="M306" s="6"/>
      <c r="N306" s="6"/>
      <c r="O306" s="6"/>
    </row>
    <row r="307" spans="1:15" ht="15.6">
      <c r="A307" s="560"/>
      <c r="B307" s="6"/>
      <c r="C307" s="6"/>
      <c r="D307" s="6"/>
      <c r="E307" s="6"/>
      <c r="F307" s="6"/>
      <c r="G307" s="6"/>
      <c r="H307" s="6"/>
      <c r="I307" s="6"/>
      <c r="J307" s="6"/>
      <c r="K307" s="6"/>
      <c r="L307" s="6"/>
      <c r="M307" s="6"/>
      <c r="N307" s="6"/>
      <c r="O307" s="6"/>
    </row>
    <row r="308" spans="1:15" ht="15.6">
      <c r="A308" s="560"/>
      <c r="B308" s="6"/>
      <c r="C308" s="6"/>
      <c r="D308" s="6"/>
      <c r="E308" s="6"/>
      <c r="F308" s="6"/>
      <c r="G308" s="6"/>
      <c r="H308" s="6"/>
      <c r="I308" s="6"/>
      <c r="J308" s="6"/>
      <c r="K308" s="6"/>
      <c r="L308" s="6"/>
      <c r="M308" s="6"/>
      <c r="N308" s="6"/>
      <c r="O308" s="6"/>
    </row>
    <row r="309" spans="1:15" ht="15.6">
      <c r="A309" s="560"/>
      <c r="B309" s="6"/>
      <c r="C309" s="6"/>
      <c r="D309" s="6"/>
      <c r="E309" s="6"/>
      <c r="F309" s="6"/>
      <c r="G309" s="6"/>
      <c r="H309" s="6"/>
      <c r="I309" s="6"/>
      <c r="J309" s="6"/>
      <c r="K309" s="6"/>
      <c r="L309" s="6"/>
      <c r="M309" s="6"/>
      <c r="N309" s="6"/>
      <c r="O309" s="6"/>
    </row>
    <row r="310" spans="1:15" ht="15.6">
      <c r="A310" s="560"/>
      <c r="B310" s="6"/>
      <c r="C310" s="6"/>
      <c r="D310" s="6"/>
      <c r="E310" s="6"/>
      <c r="F310" s="6"/>
      <c r="G310" s="6"/>
      <c r="H310" s="6"/>
      <c r="I310" s="6"/>
      <c r="J310" s="6"/>
      <c r="K310" s="6"/>
      <c r="L310" s="6"/>
      <c r="M310" s="6"/>
      <c r="N310" s="6"/>
      <c r="O310" s="6"/>
    </row>
    <row r="311" spans="1:15" ht="15.6">
      <c r="A311" s="560"/>
      <c r="B311" s="6"/>
      <c r="C311" s="6"/>
      <c r="D311" s="6"/>
      <c r="E311" s="6"/>
      <c r="F311" s="6"/>
      <c r="G311" s="6"/>
      <c r="H311" s="6"/>
      <c r="I311" s="6"/>
      <c r="J311" s="6"/>
      <c r="K311" s="6"/>
      <c r="L311" s="6"/>
      <c r="M311" s="6"/>
      <c r="N311" s="6"/>
      <c r="O311" s="6"/>
    </row>
    <row r="312" spans="1:15" ht="15.6">
      <c r="A312" s="560"/>
      <c r="B312" s="6"/>
      <c r="C312" s="6"/>
      <c r="D312" s="6"/>
      <c r="E312" s="6"/>
      <c r="F312" s="6"/>
      <c r="G312" s="6"/>
      <c r="H312" s="6"/>
      <c r="I312" s="6"/>
      <c r="J312" s="6"/>
      <c r="K312" s="6"/>
      <c r="L312" s="6"/>
      <c r="M312" s="6"/>
      <c r="N312" s="6"/>
      <c r="O312" s="6"/>
    </row>
    <row r="313" spans="1:15" ht="15.6">
      <c r="A313" s="560"/>
      <c r="B313" s="6"/>
      <c r="C313" s="6"/>
      <c r="D313" s="6"/>
      <c r="E313" s="6"/>
      <c r="F313" s="6"/>
      <c r="G313" s="6"/>
      <c r="H313" s="6"/>
      <c r="I313" s="6"/>
      <c r="J313" s="6"/>
      <c r="K313" s="6"/>
      <c r="L313" s="6"/>
      <c r="M313" s="6"/>
      <c r="N313" s="6"/>
      <c r="O313" s="6"/>
    </row>
    <row r="314" spans="1:15" ht="15.6">
      <c r="A314" s="560"/>
      <c r="B314" s="6"/>
      <c r="C314" s="6"/>
      <c r="D314" s="6"/>
      <c r="E314" s="6"/>
      <c r="F314" s="6"/>
      <c r="G314" s="6"/>
      <c r="H314" s="6"/>
      <c r="I314" s="6"/>
      <c r="J314" s="6"/>
      <c r="K314" s="6"/>
      <c r="L314" s="6"/>
      <c r="M314" s="6"/>
      <c r="N314" s="6"/>
      <c r="O314" s="6"/>
    </row>
    <row r="315" spans="1:15" ht="15.6">
      <c r="A315" s="560"/>
      <c r="B315" s="6"/>
      <c r="C315" s="6"/>
      <c r="D315" s="6"/>
      <c r="E315" s="6"/>
      <c r="F315" s="6"/>
      <c r="G315" s="6"/>
      <c r="H315" s="6"/>
      <c r="I315" s="6"/>
      <c r="J315" s="6"/>
      <c r="K315" s="6"/>
      <c r="L315" s="6"/>
      <c r="M315" s="6"/>
      <c r="N315" s="6"/>
      <c r="O315" s="6"/>
    </row>
    <row r="316" spans="1:15" ht="15.6">
      <c r="A316" s="560"/>
      <c r="B316" s="6"/>
      <c r="C316" s="6"/>
      <c r="D316" s="6"/>
      <c r="E316" s="6"/>
      <c r="F316" s="6"/>
      <c r="G316" s="6"/>
      <c r="H316" s="6"/>
      <c r="I316" s="6"/>
      <c r="J316" s="6"/>
      <c r="K316" s="6"/>
      <c r="L316" s="6"/>
      <c r="M316" s="6"/>
      <c r="N316" s="6"/>
      <c r="O316" s="6"/>
    </row>
    <row r="317" spans="1:15" ht="15.6">
      <c r="A317" s="560"/>
      <c r="B317" s="6"/>
      <c r="C317" s="6"/>
      <c r="D317" s="6"/>
      <c r="E317" s="6"/>
      <c r="F317" s="6"/>
      <c r="G317" s="6"/>
      <c r="H317" s="6"/>
      <c r="I317" s="6"/>
      <c r="J317" s="6"/>
      <c r="K317" s="6"/>
      <c r="L317" s="6"/>
      <c r="M317" s="6"/>
      <c r="N317" s="6"/>
      <c r="O317" s="6"/>
    </row>
    <row r="318" spans="1:15" ht="15.6">
      <c r="A318" s="560"/>
      <c r="B318" s="6"/>
      <c r="C318" s="6"/>
      <c r="D318" s="6"/>
      <c r="E318" s="6"/>
      <c r="F318" s="6"/>
      <c r="G318" s="6"/>
      <c r="H318" s="6"/>
      <c r="I318" s="6"/>
      <c r="J318" s="6"/>
      <c r="K318" s="6"/>
      <c r="L318" s="6"/>
      <c r="M318" s="6"/>
      <c r="N318" s="6"/>
      <c r="O318" s="6"/>
    </row>
    <row r="319" spans="1:15" ht="15.6">
      <c r="A319" s="560"/>
      <c r="B319" s="6"/>
      <c r="C319" s="6"/>
      <c r="D319" s="6"/>
      <c r="E319" s="6"/>
      <c r="F319" s="6"/>
      <c r="G319" s="6"/>
      <c r="H319" s="6"/>
      <c r="I319" s="6"/>
      <c r="J319" s="6"/>
      <c r="K319" s="6"/>
      <c r="L319" s="6"/>
      <c r="M319" s="6"/>
      <c r="N319" s="6"/>
      <c r="O319" s="6"/>
    </row>
    <row r="320" spans="1:15" ht="15.6">
      <c r="A320" s="560"/>
      <c r="B320" s="6"/>
      <c r="C320" s="6"/>
      <c r="D320" s="6"/>
      <c r="E320" s="6"/>
      <c r="F320" s="6"/>
      <c r="G320" s="6"/>
      <c r="H320" s="6"/>
      <c r="I320" s="6"/>
      <c r="J320" s="6"/>
      <c r="K320" s="6"/>
      <c r="L320" s="6"/>
      <c r="M320" s="6"/>
      <c r="N320" s="6"/>
      <c r="O320" s="6"/>
    </row>
    <row r="321" spans="1:15" ht="15.6">
      <c r="A321" s="560"/>
      <c r="B321" s="6"/>
      <c r="C321" s="6"/>
      <c r="D321" s="6"/>
      <c r="E321" s="6"/>
      <c r="F321" s="6"/>
      <c r="G321" s="6"/>
      <c r="H321" s="6"/>
      <c r="I321" s="6"/>
      <c r="J321" s="6"/>
      <c r="K321" s="6"/>
      <c r="L321" s="6"/>
      <c r="M321" s="6"/>
      <c r="N321" s="6"/>
      <c r="O321" s="6"/>
    </row>
    <row r="322" spans="1:15" ht="15.6">
      <c r="A322" s="560"/>
      <c r="B322" s="6"/>
      <c r="C322" s="6"/>
      <c r="D322" s="6"/>
      <c r="E322" s="6"/>
      <c r="F322" s="6"/>
      <c r="G322" s="6"/>
      <c r="H322" s="6"/>
      <c r="I322" s="6"/>
      <c r="J322" s="6"/>
      <c r="K322" s="6"/>
      <c r="L322" s="6"/>
      <c r="M322" s="6"/>
      <c r="N322" s="6"/>
      <c r="O322" s="6"/>
    </row>
    <row r="323" spans="1:15" ht="15.6">
      <c r="A323" s="560"/>
      <c r="B323" s="6"/>
      <c r="C323" s="6"/>
      <c r="D323" s="6"/>
      <c r="E323" s="6"/>
      <c r="F323" s="6"/>
      <c r="G323" s="6"/>
      <c r="H323" s="6"/>
      <c r="I323" s="6"/>
      <c r="J323" s="6"/>
      <c r="K323" s="6"/>
      <c r="L323" s="6"/>
      <c r="M323" s="6"/>
      <c r="N323" s="6"/>
      <c r="O323" s="6"/>
    </row>
    <row r="324" spans="1:15" ht="15.6">
      <c r="A324" s="560"/>
      <c r="B324" s="6"/>
      <c r="C324" s="6"/>
      <c r="D324" s="6"/>
      <c r="E324" s="6"/>
      <c r="F324" s="6"/>
      <c r="G324" s="6"/>
      <c r="H324" s="6"/>
      <c r="I324" s="6"/>
      <c r="J324" s="6"/>
      <c r="K324" s="6"/>
      <c r="L324" s="6"/>
      <c r="M324" s="6"/>
      <c r="N324" s="6"/>
      <c r="O324" s="6"/>
    </row>
    <row r="325" spans="1:15" ht="15.6">
      <c r="A325" s="560"/>
      <c r="B325" s="6"/>
      <c r="C325" s="6"/>
      <c r="D325" s="6"/>
      <c r="E325" s="6"/>
      <c r="F325" s="6"/>
      <c r="G325" s="6"/>
      <c r="H325" s="6"/>
      <c r="I325" s="6"/>
      <c r="J325" s="6"/>
      <c r="K325" s="6"/>
      <c r="L325" s="6"/>
      <c r="M325" s="6"/>
      <c r="N325" s="6"/>
      <c r="O325" s="6"/>
    </row>
    <row r="326" spans="1:15" ht="15.6">
      <c r="A326" s="560"/>
      <c r="B326" s="6"/>
      <c r="C326" s="6"/>
      <c r="D326" s="6"/>
      <c r="E326" s="6"/>
      <c r="F326" s="6"/>
      <c r="G326" s="6"/>
      <c r="H326" s="6"/>
      <c r="I326" s="6"/>
      <c r="J326" s="6"/>
      <c r="K326" s="6"/>
      <c r="L326" s="6"/>
      <c r="M326" s="6"/>
      <c r="N326" s="6"/>
      <c r="O326" s="6"/>
    </row>
    <row r="327" spans="1:15" ht="15.6">
      <c r="A327" s="560"/>
      <c r="B327" s="6"/>
      <c r="C327" s="6"/>
      <c r="D327" s="6"/>
      <c r="E327" s="6"/>
      <c r="F327" s="6"/>
      <c r="G327" s="6"/>
      <c r="H327" s="6"/>
      <c r="I327" s="6"/>
      <c r="J327" s="6"/>
      <c r="K327" s="6"/>
      <c r="L327" s="6"/>
      <c r="M327" s="6"/>
      <c r="N327" s="6"/>
      <c r="O327" s="6"/>
    </row>
    <row r="328" spans="1:15" ht="15.6">
      <c r="A328" s="560"/>
      <c r="B328" s="6"/>
      <c r="C328" s="6"/>
      <c r="D328" s="6"/>
      <c r="E328" s="6"/>
      <c r="F328" s="6"/>
      <c r="G328" s="6"/>
      <c r="H328" s="6"/>
      <c r="I328" s="6"/>
      <c r="J328" s="6"/>
      <c r="K328" s="6"/>
      <c r="L328" s="6"/>
      <c r="M328" s="6"/>
      <c r="N328" s="6"/>
      <c r="O328" s="6"/>
    </row>
    <row r="329" spans="1:15" ht="15.6">
      <c r="A329" s="560"/>
      <c r="B329" s="6"/>
      <c r="C329" s="6"/>
      <c r="D329" s="6"/>
      <c r="E329" s="6"/>
      <c r="F329" s="6"/>
      <c r="G329" s="6"/>
      <c r="H329" s="6"/>
      <c r="I329" s="6"/>
      <c r="J329" s="6"/>
      <c r="K329" s="6"/>
      <c r="L329" s="6"/>
      <c r="M329" s="6"/>
      <c r="N329" s="6"/>
      <c r="O329" s="6"/>
    </row>
    <row r="330" spans="1:15" ht="15.6">
      <c r="A330" s="560"/>
      <c r="B330" s="6"/>
      <c r="C330" s="6"/>
      <c r="D330" s="6"/>
      <c r="E330" s="6"/>
      <c r="F330" s="6"/>
      <c r="G330" s="6"/>
      <c r="H330" s="6"/>
      <c r="I330" s="6"/>
      <c r="J330" s="6"/>
      <c r="K330" s="6"/>
      <c r="L330" s="6"/>
      <c r="M330" s="6"/>
      <c r="N330" s="6"/>
      <c r="O330" s="6"/>
    </row>
    <row r="331" spans="1:15" ht="15.6">
      <c r="A331" s="560"/>
      <c r="B331" s="6"/>
      <c r="C331" s="6"/>
      <c r="D331" s="6"/>
      <c r="E331" s="6"/>
      <c r="F331" s="6"/>
      <c r="G331" s="6"/>
      <c r="H331" s="6"/>
      <c r="I331" s="6"/>
      <c r="J331" s="6"/>
      <c r="K331" s="6"/>
      <c r="L331" s="6"/>
      <c r="M331" s="6"/>
      <c r="N331" s="6"/>
      <c r="O331" s="6"/>
    </row>
    <row r="332" spans="1:15" ht="15.6">
      <c r="A332" s="560"/>
      <c r="B332" s="6"/>
      <c r="C332" s="6"/>
      <c r="D332" s="6"/>
      <c r="E332" s="6"/>
      <c r="F332" s="6"/>
      <c r="G332" s="6"/>
      <c r="H332" s="6"/>
      <c r="I332" s="6"/>
      <c r="J332" s="6"/>
      <c r="K332" s="6"/>
      <c r="L332" s="6"/>
      <c r="M332" s="6"/>
      <c r="N332" s="6"/>
      <c r="O332" s="6"/>
    </row>
    <row r="333" spans="1:15" ht="15.6">
      <c r="A333" s="560"/>
      <c r="B333" s="6"/>
      <c r="C333" s="6"/>
      <c r="D333" s="6"/>
      <c r="E333" s="6"/>
      <c r="F333" s="6"/>
      <c r="G333" s="6"/>
      <c r="H333" s="6"/>
      <c r="I333" s="6"/>
      <c r="J333" s="6"/>
      <c r="K333" s="6"/>
      <c r="L333" s="6"/>
      <c r="M333" s="6"/>
      <c r="N333" s="6"/>
      <c r="O333" s="6"/>
    </row>
    <row r="334" spans="1:15" ht="15.6">
      <c r="A334" s="560"/>
      <c r="B334" s="6"/>
      <c r="C334" s="6"/>
      <c r="D334" s="6"/>
      <c r="E334" s="6"/>
      <c r="F334" s="6"/>
      <c r="G334" s="6"/>
      <c r="H334" s="6"/>
      <c r="I334" s="6"/>
      <c r="J334" s="6"/>
      <c r="K334" s="6"/>
      <c r="L334" s="6"/>
      <c r="M334" s="6"/>
      <c r="N334" s="6"/>
      <c r="O334" s="6"/>
    </row>
    <row r="335" spans="1:15" ht="15.6">
      <c r="A335" s="560"/>
      <c r="B335" s="6"/>
      <c r="C335" s="6"/>
      <c r="D335" s="6"/>
      <c r="E335" s="6"/>
      <c r="F335" s="6"/>
      <c r="G335" s="6"/>
      <c r="H335" s="6"/>
      <c r="I335" s="6"/>
      <c r="J335" s="6"/>
      <c r="K335" s="6"/>
      <c r="L335" s="6"/>
      <c r="M335" s="6"/>
      <c r="N335" s="6"/>
      <c r="O335" s="6"/>
    </row>
    <row r="336" spans="1:15" ht="15.6">
      <c r="A336" s="560"/>
      <c r="B336" s="6"/>
      <c r="C336" s="6"/>
      <c r="D336" s="6"/>
      <c r="E336" s="6"/>
      <c r="F336" s="6"/>
      <c r="G336" s="6"/>
      <c r="H336" s="6"/>
      <c r="I336" s="6"/>
      <c r="J336" s="6"/>
      <c r="K336" s="6"/>
      <c r="L336" s="6"/>
      <c r="M336" s="6"/>
      <c r="N336" s="6"/>
      <c r="O336" s="6"/>
    </row>
    <row r="337" spans="1:15" ht="15.6">
      <c r="A337" s="560"/>
      <c r="B337" s="6"/>
      <c r="C337" s="6"/>
      <c r="D337" s="6"/>
      <c r="E337" s="6"/>
      <c r="F337" s="6"/>
      <c r="G337" s="6"/>
      <c r="H337" s="6"/>
      <c r="I337" s="6"/>
      <c r="J337" s="6"/>
      <c r="K337" s="6"/>
      <c r="L337" s="6"/>
      <c r="M337" s="6"/>
      <c r="N337" s="6"/>
      <c r="O337" s="6"/>
    </row>
    <row r="338" spans="1:15" ht="15.6">
      <c r="A338" s="560"/>
      <c r="B338" s="6"/>
      <c r="C338" s="6"/>
      <c r="D338" s="6"/>
      <c r="E338" s="6"/>
      <c r="F338" s="6"/>
      <c r="G338" s="6"/>
      <c r="H338" s="6"/>
      <c r="I338" s="6"/>
      <c r="J338" s="6"/>
      <c r="K338" s="6"/>
      <c r="L338" s="6"/>
      <c r="M338" s="6"/>
      <c r="N338" s="6"/>
      <c r="O338" s="6"/>
    </row>
    <row r="339" spans="1:15" ht="15.6">
      <c r="A339" s="560"/>
      <c r="B339" s="6"/>
      <c r="C339" s="6"/>
      <c r="D339" s="6"/>
      <c r="E339" s="6"/>
      <c r="F339" s="6"/>
      <c r="G339" s="6"/>
      <c r="H339" s="6"/>
      <c r="I339" s="6"/>
      <c r="J339" s="6"/>
      <c r="K339" s="6"/>
      <c r="L339" s="6"/>
      <c r="M339" s="6"/>
      <c r="N339" s="6"/>
      <c r="O339" s="6"/>
    </row>
    <row r="340" spans="1:15" ht="15.6">
      <c r="A340" s="560"/>
      <c r="B340" s="6"/>
      <c r="C340" s="6"/>
      <c r="D340" s="6"/>
      <c r="E340" s="6"/>
      <c r="F340" s="6"/>
      <c r="G340" s="6"/>
      <c r="H340" s="6"/>
      <c r="I340" s="6"/>
      <c r="J340" s="6"/>
      <c r="K340" s="6"/>
      <c r="L340" s="6"/>
      <c r="M340" s="6"/>
      <c r="N340" s="6"/>
      <c r="O340" s="6"/>
    </row>
    <row r="341" spans="1:15" ht="15.6">
      <c r="A341" s="560"/>
      <c r="B341" s="6"/>
      <c r="C341" s="6"/>
      <c r="D341" s="6"/>
      <c r="E341" s="6"/>
      <c r="F341" s="6"/>
      <c r="G341" s="6"/>
      <c r="H341" s="6"/>
      <c r="I341" s="6"/>
      <c r="J341" s="6"/>
      <c r="K341" s="6"/>
      <c r="L341" s="6"/>
      <c r="M341" s="6"/>
      <c r="N341" s="6"/>
      <c r="O341" s="6"/>
    </row>
    <row r="342" spans="1:15" ht="15.6">
      <c r="A342" s="560"/>
      <c r="B342" s="6"/>
      <c r="C342" s="6"/>
      <c r="D342" s="6"/>
      <c r="E342" s="6"/>
      <c r="F342" s="6"/>
      <c r="G342" s="6"/>
      <c r="H342" s="6"/>
      <c r="I342" s="6"/>
      <c r="J342" s="6"/>
      <c r="K342" s="6"/>
      <c r="L342" s="6"/>
      <c r="M342" s="6"/>
      <c r="N342" s="6"/>
      <c r="O342" s="6"/>
    </row>
    <row r="343" spans="1:15" ht="15.6">
      <c r="A343" s="560"/>
      <c r="B343" s="6"/>
      <c r="C343" s="6"/>
      <c r="D343" s="6"/>
      <c r="E343" s="6"/>
      <c r="F343" s="6"/>
      <c r="G343" s="6"/>
      <c r="H343" s="6"/>
      <c r="I343" s="6"/>
      <c r="J343" s="6"/>
      <c r="K343" s="6"/>
      <c r="L343" s="6"/>
      <c r="M343" s="6"/>
      <c r="N343" s="6"/>
      <c r="O343" s="6"/>
    </row>
    <row r="344" spans="1:15" ht="15.6">
      <c r="A344" s="560"/>
      <c r="B344" s="6"/>
      <c r="C344" s="6"/>
      <c r="D344" s="6"/>
      <c r="E344" s="6"/>
      <c r="F344" s="6"/>
      <c r="G344" s="6"/>
      <c r="H344" s="6"/>
      <c r="I344" s="6"/>
      <c r="J344" s="6"/>
      <c r="K344" s="6"/>
      <c r="L344" s="6"/>
      <c r="M344" s="6"/>
      <c r="N344" s="6"/>
      <c r="O344" s="6"/>
    </row>
    <row r="345" spans="1:15" ht="15.6">
      <c r="A345" s="560"/>
      <c r="B345" s="6"/>
      <c r="C345" s="6"/>
      <c r="D345" s="6"/>
      <c r="E345" s="6"/>
      <c r="F345" s="6"/>
      <c r="G345" s="6"/>
      <c r="H345" s="6"/>
      <c r="I345" s="6"/>
      <c r="J345" s="6"/>
      <c r="K345" s="6"/>
      <c r="L345" s="6"/>
      <c r="M345" s="6"/>
      <c r="N345" s="6"/>
      <c r="O345" s="6"/>
    </row>
    <row r="346" spans="1:15" ht="15.6">
      <c r="A346" s="560"/>
      <c r="B346" s="6"/>
      <c r="C346" s="6"/>
      <c r="D346" s="6"/>
      <c r="E346" s="6"/>
      <c r="F346" s="6"/>
      <c r="G346" s="6"/>
      <c r="H346" s="6"/>
      <c r="I346" s="6"/>
      <c r="J346" s="6"/>
      <c r="K346" s="6"/>
      <c r="L346" s="6"/>
      <c r="M346" s="6"/>
      <c r="N346" s="6"/>
      <c r="O346" s="6"/>
    </row>
    <row r="347" spans="1:15" ht="15.6">
      <c r="A347" s="560"/>
      <c r="B347" s="6"/>
      <c r="C347" s="6"/>
      <c r="D347" s="6"/>
      <c r="E347" s="6"/>
      <c r="F347" s="6"/>
      <c r="G347" s="6"/>
      <c r="H347" s="6"/>
      <c r="I347" s="6"/>
      <c r="J347" s="6"/>
      <c r="K347" s="6"/>
      <c r="L347" s="6"/>
      <c r="M347" s="6"/>
      <c r="N347" s="6"/>
      <c r="O347" s="6"/>
    </row>
    <row r="348" spans="1:15" ht="15.6">
      <c r="A348" s="560"/>
      <c r="B348" s="6"/>
      <c r="C348" s="6"/>
      <c r="D348" s="6"/>
      <c r="E348" s="6"/>
      <c r="F348" s="6"/>
      <c r="G348" s="6"/>
      <c r="H348" s="6"/>
      <c r="I348" s="6"/>
      <c r="J348" s="6"/>
      <c r="K348" s="6"/>
      <c r="L348" s="6"/>
      <c r="M348" s="6"/>
      <c r="N348" s="6"/>
      <c r="O348" s="6"/>
    </row>
    <row r="349" spans="1:15" ht="15.6">
      <c r="A349" s="560"/>
      <c r="B349" s="6"/>
      <c r="C349" s="6"/>
      <c r="D349" s="6"/>
      <c r="E349" s="6"/>
      <c r="F349" s="6"/>
      <c r="G349" s="6"/>
      <c r="H349" s="6"/>
      <c r="I349" s="6"/>
      <c r="J349" s="6"/>
      <c r="K349" s="6"/>
      <c r="L349" s="6"/>
      <c r="M349" s="6"/>
      <c r="N349" s="6"/>
      <c r="O349" s="6"/>
    </row>
    <row r="350" spans="1:15" ht="15.6">
      <c r="A350" s="560"/>
      <c r="B350" s="6"/>
      <c r="C350" s="6"/>
      <c r="D350" s="6"/>
      <c r="E350" s="6"/>
      <c r="F350" s="6"/>
      <c r="G350" s="6"/>
      <c r="H350" s="6"/>
      <c r="I350" s="6"/>
      <c r="J350" s="6"/>
      <c r="K350" s="6"/>
      <c r="L350" s="6"/>
      <c r="M350" s="6"/>
      <c r="N350" s="6"/>
      <c r="O350" s="6"/>
    </row>
    <row r="351" spans="1:15" ht="15.6">
      <c r="A351" s="560"/>
      <c r="B351" s="6"/>
      <c r="C351" s="6"/>
      <c r="D351" s="6"/>
      <c r="E351" s="6"/>
      <c r="F351" s="6"/>
      <c r="G351" s="6"/>
      <c r="H351" s="6"/>
      <c r="I351" s="6"/>
      <c r="J351" s="6"/>
      <c r="K351" s="6"/>
      <c r="L351" s="6"/>
      <c r="M351" s="6"/>
      <c r="N351" s="6"/>
      <c r="O351" s="6"/>
    </row>
    <row r="352" spans="1:15" ht="15.6">
      <c r="A352" s="560"/>
      <c r="B352" s="6"/>
      <c r="C352" s="6"/>
      <c r="D352" s="6"/>
      <c r="E352" s="6"/>
      <c r="F352" s="6"/>
      <c r="G352" s="6"/>
      <c r="H352" s="6"/>
      <c r="I352" s="6"/>
      <c r="J352" s="6"/>
      <c r="K352" s="6"/>
      <c r="L352" s="6"/>
      <c r="M352" s="6"/>
      <c r="N352" s="6"/>
      <c r="O352" s="6"/>
    </row>
    <row r="353" spans="1:15" ht="15.6">
      <c r="A353" s="560"/>
      <c r="B353" s="6"/>
      <c r="C353" s="6"/>
      <c r="D353" s="6"/>
      <c r="E353" s="6"/>
      <c r="F353" s="6"/>
      <c r="G353" s="6"/>
      <c r="H353" s="6"/>
      <c r="I353" s="6"/>
      <c r="J353" s="6"/>
      <c r="K353" s="6"/>
      <c r="L353" s="6"/>
      <c r="M353" s="6"/>
      <c r="N353" s="6"/>
      <c r="O353" s="6"/>
    </row>
    <row r="354" spans="1:15" ht="15.6">
      <c r="A354" s="560"/>
      <c r="B354" s="6"/>
      <c r="C354" s="6"/>
      <c r="D354" s="6"/>
      <c r="E354" s="6"/>
      <c r="F354" s="6"/>
      <c r="G354" s="6"/>
      <c r="H354" s="6"/>
      <c r="I354" s="6"/>
      <c r="J354" s="6"/>
      <c r="K354" s="6"/>
      <c r="L354" s="6"/>
      <c r="M354" s="6"/>
      <c r="N354" s="6"/>
      <c r="O354" s="6"/>
    </row>
    <row r="355" spans="1:15" ht="15.6">
      <c r="A355" s="560"/>
      <c r="B355" s="6"/>
      <c r="C355" s="6"/>
      <c r="D355" s="6"/>
      <c r="E355" s="6"/>
      <c r="F355" s="6"/>
      <c r="G355" s="6"/>
      <c r="H355" s="6"/>
      <c r="I355" s="6"/>
      <c r="J355" s="6"/>
      <c r="K355" s="6"/>
      <c r="L355" s="6"/>
      <c r="M355" s="6"/>
      <c r="N355" s="6"/>
      <c r="O355" s="6"/>
    </row>
    <row r="356" spans="1:15" ht="15.6">
      <c r="A356" s="560"/>
      <c r="B356" s="6"/>
      <c r="C356" s="6"/>
      <c r="D356" s="6"/>
      <c r="E356" s="6"/>
      <c r="F356" s="6"/>
      <c r="G356" s="6"/>
      <c r="H356" s="6"/>
      <c r="I356" s="6"/>
      <c r="J356" s="6"/>
      <c r="K356" s="6"/>
      <c r="L356" s="6"/>
      <c r="M356" s="6"/>
      <c r="N356" s="6"/>
      <c r="O356" s="6"/>
    </row>
    <row r="357" spans="1:15" ht="15.6">
      <c r="A357" s="560"/>
      <c r="B357" s="6"/>
      <c r="C357" s="6"/>
      <c r="D357" s="6"/>
      <c r="E357" s="6"/>
      <c r="F357" s="6"/>
      <c r="G357" s="6"/>
      <c r="H357" s="6"/>
      <c r="I357" s="6"/>
      <c r="J357" s="6"/>
      <c r="K357" s="6"/>
      <c r="L357" s="6"/>
      <c r="M357" s="6"/>
      <c r="N357" s="6"/>
      <c r="O357" s="6"/>
    </row>
    <row r="358" spans="1:15" ht="15.6">
      <c r="A358" s="560"/>
      <c r="B358" s="6"/>
      <c r="C358" s="6"/>
      <c r="D358" s="6"/>
      <c r="E358" s="6"/>
      <c r="F358" s="6"/>
      <c r="G358" s="6"/>
      <c r="H358" s="6"/>
      <c r="I358" s="6"/>
      <c r="J358" s="6"/>
      <c r="K358" s="6"/>
      <c r="L358" s="6"/>
      <c r="M358" s="6"/>
      <c r="N358" s="6"/>
      <c r="O358" s="6"/>
    </row>
    <row r="359" spans="1:15" ht="15.6">
      <c r="A359" s="560"/>
      <c r="B359" s="6"/>
      <c r="C359" s="6"/>
      <c r="D359" s="6"/>
      <c r="E359" s="6"/>
      <c r="F359" s="6"/>
      <c r="G359" s="6"/>
      <c r="H359" s="6"/>
      <c r="I359" s="6"/>
      <c r="J359" s="6"/>
      <c r="K359" s="6"/>
      <c r="L359" s="6"/>
      <c r="M359" s="6"/>
      <c r="N359" s="6"/>
      <c r="O359" s="6"/>
    </row>
    <row r="360" spans="1:15" ht="15.6">
      <c r="A360" s="560"/>
      <c r="B360" s="6"/>
      <c r="C360" s="6"/>
      <c r="D360" s="6"/>
      <c r="E360" s="6"/>
      <c r="F360" s="6"/>
      <c r="G360" s="6"/>
      <c r="H360" s="6"/>
      <c r="I360" s="6"/>
      <c r="J360" s="6"/>
      <c r="K360" s="6"/>
      <c r="L360" s="6"/>
      <c r="M360" s="6"/>
      <c r="N360" s="6"/>
      <c r="O360" s="6"/>
    </row>
    <row r="361" spans="1:15" ht="15.6">
      <c r="A361" s="560"/>
      <c r="B361" s="6"/>
      <c r="C361" s="6"/>
      <c r="D361" s="6"/>
      <c r="E361" s="6"/>
      <c r="F361" s="6"/>
      <c r="G361" s="6"/>
      <c r="H361" s="6"/>
      <c r="I361" s="6"/>
      <c r="J361" s="6"/>
      <c r="K361" s="6"/>
      <c r="L361" s="6"/>
      <c r="M361" s="6"/>
      <c r="N361" s="6"/>
      <c r="O361" s="6"/>
    </row>
    <row r="362" spans="1:15" ht="15.6">
      <c r="A362" s="560"/>
      <c r="B362" s="6"/>
      <c r="C362" s="6"/>
      <c r="D362" s="6"/>
      <c r="E362" s="6"/>
      <c r="F362" s="6"/>
      <c r="G362" s="6"/>
      <c r="H362" s="6"/>
      <c r="I362" s="6"/>
      <c r="J362" s="6"/>
      <c r="K362" s="6"/>
      <c r="L362" s="6"/>
      <c r="M362" s="6"/>
      <c r="N362" s="6"/>
      <c r="O362" s="6"/>
    </row>
    <row r="363" spans="1:15" ht="15.6">
      <c r="A363" s="560"/>
      <c r="B363" s="6"/>
      <c r="C363" s="6"/>
      <c r="D363" s="6"/>
      <c r="E363" s="6"/>
      <c r="F363" s="6"/>
      <c r="G363" s="6"/>
      <c r="H363" s="6"/>
      <c r="I363" s="6"/>
      <c r="J363" s="6"/>
      <c r="K363" s="6"/>
      <c r="L363" s="6"/>
      <c r="M363" s="6"/>
      <c r="N363" s="6"/>
      <c r="O363" s="6"/>
    </row>
    <row r="364" spans="1:15" ht="15.6">
      <c r="A364" s="560"/>
      <c r="B364" s="6"/>
      <c r="C364" s="6"/>
      <c r="D364" s="6"/>
      <c r="E364" s="6"/>
      <c r="F364" s="6"/>
      <c r="G364" s="6"/>
      <c r="H364" s="6"/>
      <c r="I364" s="6"/>
      <c r="J364" s="6"/>
      <c r="K364" s="6"/>
      <c r="L364" s="6"/>
      <c r="M364" s="6"/>
      <c r="N364" s="6"/>
      <c r="O364" s="6"/>
    </row>
    <row r="365" spans="1:15" ht="15.6">
      <c r="A365" s="560"/>
      <c r="B365" s="6"/>
      <c r="C365" s="6"/>
      <c r="D365" s="6"/>
      <c r="E365" s="6"/>
      <c r="F365" s="6"/>
      <c r="G365" s="6"/>
      <c r="H365" s="6"/>
      <c r="I365" s="6"/>
      <c r="J365" s="6"/>
      <c r="K365" s="6"/>
      <c r="L365" s="6"/>
      <c r="M365" s="6"/>
      <c r="N365" s="6"/>
      <c r="O365" s="6"/>
    </row>
    <row r="366" spans="1:15" ht="15.6">
      <c r="A366" s="560"/>
      <c r="B366" s="6"/>
      <c r="C366" s="6"/>
      <c r="D366" s="6"/>
      <c r="E366" s="6"/>
      <c r="F366" s="6"/>
      <c r="G366" s="6"/>
      <c r="H366" s="6"/>
      <c r="I366" s="6"/>
      <c r="J366" s="6"/>
      <c r="K366" s="6"/>
      <c r="L366" s="6"/>
      <c r="M366" s="6"/>
      <c r="N366" s="6"/>
      <c r="O366" s="6"/>
    </row>
    <row r="367" spans="1:15" ht="15.6">
      <c r="A367" s="560"/>
      <c r="B367" s="6"/>
      <c r="C367" s="6"/>
      <c r="D367" s="6"/>
      <c r="E367" s="6"/>
      <c r="F367" s="6"/>
      <c r="G367" s="6"/>
      <c r="H367" s="6"/>
      <c r="I367" s="6"/>
      <c r="J367" s="6"/>
      <c r="K367" s="6"/>
      <c r="L367" s="6"/>
      <c r="M367" s="6"/>
      <c r="N367" s="6"/>
      <c r="O367" s="6"/>
    </row>
    <row r="368" spans="1:15" ht="15.6">
      <c r="A368" s="560"/>
      <c r="B368" s="6"/>
      <c r="C368" s="6"/>
      <c r="D368" s="6"/>
      <c r="E368" s="6"/>
      <c r="F368" s="6"/>
      <c r="G368" s="6"/>
      <c r="H368" s="6"/>
      <c r="I368" s="6"/>
      <c r="J368" s="6"/>
      <c r="K368" s="6"/>
      <c r="L368" s="6"/>
      <c r="M368" s="6"/>
      <c r="N368" s="6"/>
      <c r="O368" s="6"/>
    </row>
    <row r="369" spans="1:15" ht="15.6">
      <c r="A369" s="560"/>
      <c r="B369" s="6"/>
      <c r="C369" s="6"/>
      <c r="D369" s="6"/>
      <c r="E369" s="6"/>
      <c r="F369" s="6"/>
      <c r="G369" s="6"/>
      <c r="H369" s="6"/>
      <c r="I369" s="6"/>
      <c r="J369" s="6"/>
      <c r="K369" s="6"/>
      <c r="L369" s="6"/>
      <c r="M369" s="6"/>
      <c r="N369" s="6"/>
      <c r="O369" s="6"/>
    </row>
    <row r="370" spans="1:15" ht="15.6">
      <c r="A370" s="560"/>
      <c r="B370" s="6"/>
      <c r="C370" s="6"/>
      <c r="D370" s="6"/>
      <c r="E370" s="6"/>
      <c r="F370" s="6"/>
      <c r="G370" s="6"/>
      <c r="H370" s="6"/>
      <c r="I370" s="6"/>
      <c r="J370" s="6"/>
      <c r="K370" s="6"/>
      <c r="L370" s="6"/>
      <c r="M370" s="6"/>
      <c r="N370" s="6"/>
      <c r="O370" s="6"/>
    </row>
    <row r="371" spans="1:15" ht="15.6">
      <c r="A371" s="560"/>
      <c r="B371" s="6"/>
      <c r="C371" s="6"/>
      <c r="D371" s="6"/>
      <c r="E371" s="6"/>
      <c r="F371" s="6"/>
      <c r="G371" s="6"/>
      <c r="H371" s="6"/>
      <c r="I371" s="6"/>
      <c r="J371" s="6"/>
      <c r="K371" s="6"/>
      <c r="L371" s="6"/>
      <c r="M371" s="6"/>
      <c r="N371" s="6"/>
      <c r="O371" s="6"/>
    </row>
    <row r="372" spans="1:15" ht="15.6">
      <c r="A372" s="560"/>
      <c r="B372" s="6"/>
      <c r="C372" s="6"/>
      <c r="D372" s="6"/>
      <c r="E372" s="6"/>
      <c r="F372" s="6"/>
      <c r="G372" s="6"/>
      <c r="H372" s="6"/>
      <c r="I372" s="6"/>
      <c r="J372" s="6"/>
      <c r="K372" s="6"/>
      <c r="L372" s="6"/>
      <c r="M372" s="6"/>
      <c r="N372" s="6"/>
      <c r="O372" s="6"/>
    </row>
    <row r="373" spans="1:15" ht="15.6">
      <c r="A373" s="560"/>
      <c r="B373" s="6"/>
      <c r="C373" s="6"/>
      <c r="D373" s="6"/>
      <c r="E373" s="6"/>
      <c r="F373" s="6"/>
      <c r="G373" s="6"/>
      <c r="H373" s="6"/>
      <c r="I373" s="6"/>
      <c r="J373" s="6"/>
      <c r="K373" s="6"/>
      <c r="L373" s="6"/>
      <c r="M373" s="6"/>
      <c r="N373" s="6"/>
      <c r="O373" s="6"/>
    </row>
    <row r="374" spans="1:15" ht="15.6">
      <c r="A374" s="560"/>
      <c r="B374" s="6"/>
      <c r="C374" s="6"/>
      <c r="D374" s="6"/>
      <c r="E374" s="6"/>
      <c r="F374" s="6"/>
      <c r="G374" s="6"/>
      <c r="H374" s="6"/>
      <c r="I374" s="6"/>
      <c r="J374" s="6"/>
      <c r="K374" s="6"/>
      <c r="L374" s="6"/>
      <c r="M374" s="6"/>
      <c r="N374" s="6"/>
      <c r="O374" s="6"/>
    </row>
    <row r="375" spans="1:15" ht="15.6">
      <c r="A375" s="560"/>
      <c r="B375" s="6"/>
      <c r="C375" s="6"/>
      <c r="D375" s="6"/>
      <c r="E375" s="6"/>
      <c r="F375" s="6"/>
      <c r="G375" s="6"/>
      <c r="H375" s="6"/>
      <c r="I375" s="6"/>
      <c r="J375" s="6"/>
      <c r="K375" s="6"/>
      <c r="L375" s="6"/>
      <c r="M375" s="6"/>
      <c r="N375" s="6"/>
      <c r="O375" s="6"/>
    </row>
    <row r="376" spans="1:15" ht="15.6">
      <c r="A376" s="560"/>
      <c r="B376" s="6"/>
      <c r="C376" s="6"/>
      <c r="D376" s="6"/>
      <c r="E376" s="6"/>
      <c r="F376" s="6"/>
      <c r="G376" s="6"/>
      <c r="H376" s="6"/>
      <c r="I376" s="6"/>
      <c r="J376" s="6"/>
      <c r="K376" s="6"/>
      <c r="L376" s="6"/>
      <c r="M376" s="6"/>
      <c r="N376" s="6"/>
      <c r="O376" s="6"/>
    </row>
    <row r="377" spans="1:15" ht="15.6">
      <c r="A377" s="560"/>
      <c r="B377" s="6"/>
      <c r="C377" s="6"/>
      <c r="D377" s="6"/>
      <c r="E377" s="6"/>
      <c r="F377" s="6"/>
      <c r="G377" s="6"/>
      <c r="H377" s="6"/>
      <c r="I377" s="6"/>
      <c r="J377" s="6"/>
      <c r="K377" s="6"/>
      <c r="L377" s="6"/>
      <c r="M377" s="6"/>
      <c r="N377" s="6"/>
      <c r="O377" s="6"/>
    </row>
    <row r="378" spans="1:15" ht="15.6">
      <c r="A378" s="560"/>
      <c r="B378" s="6"/>
      <c r="C378" s="6"/>
      <c r="D378" s="6"/>
      <c r="E378" s="6"/>
      <c r="F378" s="6"/>
      <c r="G378" s="6"/>
      <c r="H378" s="6"/>
      <c r="I378" s="6"/>
      <c r="J378" s="6"/>
      <c r="K378" s="6"/>
      <c r="L378" s="6"/>
      <c r="M378" s="6"/>
      <c r="N378" s="6"/>
      <c r="O378" s="6"/>
    </row>
    <row r="379" spans="1:15" ht="15.6">
      <c r="A379" s="560"/>
      <c r="B379" s="6"/>
      <c r="C379" s="6"/>
      <c r="D379" s="6"/>
      <c r="E379" s="6"/>
      <c r="F379" s="6"/>
      <c r="G379" s="6"/>
      <c r="H379" s="6"/>
      <c r="I379" s="6"/>
      <c r="J379" s="6"/>
      <c r="K379" s="6"/>
      <c r="L379" s="6"/>
      <c r="M379" s="6"/>
      <c r="N379" s="6"/>
      <c r="O379" s="6"/>
    </row>
    <row r="380" spans="1:15" ht="15.6">
      <c r="A380" s="560"/>
      <c r="B380" s="6"/>
      <c r="C380" s="6"/>
      <c r="D380" s="6"/>
      <c r="E380" s="6"/>
      <c r="F380" s="6"/>
      <c r="G380" s="6"/>
      <c r="H380" s="6"/>
      <c r="I380" s="6"/>
      <c r="J380" s="6"/>
      <c r="K380" s="6"/>
      <c r="L380" s="6"/>
      <c r="M380" s="6"/>
      <c r="N380" s="6"/>
      <c r="O380" s="6"/>
    </row>
    <row r="381" spans="1:15" ht="15.6">
      <c r="A381" s="560"/>
      <c r="B381" s="6"/>
      <c r="C381" s="6"/>
      <c r="D381" s="6"/>
      <c r="E381" s="6"/>
      <c r="F381" s="6"/>
      <c r="G381" s="6"/>
      <c r="H381" s="6"/>
      <c r="I381" s="6"/>
      <c r="J381" s="6"/>
      <c r="K381" s="6"/>
      <c r="L381" s="6"/>
      <c r="M381" s="6"/>
      <c r="N381" s="6"/>
      <c r="O381" s="6"/>
    </row>
    <row r="382" spans="1:15" ht="15.6">
      <c r="A382" s="560"/>
      <c r="B382" s="6"/>
      <c r="C382" s="6"/>
      <c r="D382" s="6"/>
      <c r="E382" s="6"/>
      <c r="F382" s="6"/>
      <c r="G382" s="6"/>
      <c r="H382" s="6"/>
      <c r="I382" s="6"/>
      <c r="J382" s="6"/>
      <c r="K382" s="6"/>
      <c r="L382" s="6"/>
      <c r="M382" s="6"/>
      <c r="N382" s="6"/>
      <c r="O382" s="6"/>
    </row>
    <row r="383" spans="1:15" ht="15.6">
      <c r="A383" s="560"/>
      <c r="B383" s="6"/>
      <c r="C383" s="6"/>
      <c r="D383" s="6"/>
      <c r="E383" s="6"/>
      <c r="F383" s="6"/>
      <c r="G383" s="6"/>
      <c r="H383" s="6"/>
      <c r="I383" s="6"/>
      <c r="J383" s="6"/>
      <c r="K383" s="6"/>
      <c r="L383" s="6"/>
      <c r="M383" s="6"/>
      <c r="N383" s="6"/>
      <c r="O383" s="6"/>
    </row>
    <row r="384" spans="1:15" ht="15.6">
      <c r="A384" s="560"/>
      <c r="B384" s="6"/>
      <c r="C384" s="6"/>
      <c r="D384" s="6"/>
      <c r="E384" s="6"/>
      <c r="F384" s="6"/>
      <c r="G384" s="6"/>
      <c r="H384" s="6"/>
      <c r="I384" s="6"/>
      <c r="J384" s="6"/>
      <c r="K384" s="6"/>
      <c r="L384" s="6"/>
      <c r="M384" s="6"/>
      <c r="N384" s="6"/>
      <c r="O384" s="6"/>
    </row>
    <row r="385" spans="1:15" ht="15.6">
      <c r="A385" s="560"/>
      <c r="B385" s="6"/>
      <c r="C385" s="6"/>
      <c r="D385" s="6"/>
      <c r="E385" s="6"/>
      <c r="F385" s="6"/>
      <c r="G385" s="6"/>
      <c r="H385" s="6"/>
      <c r="I385" s="6"/>
      <c r="J385" s="6"/>
      <c r="K385" s="6"/>
      <c r="L385" s="6"/>
      <c r="M385" s="6"/>
      <c r="N385" s="6"/>
      <c r="O385" s="6"/>
    </row>
    <row r="386" spans="1:15" ht="15.6">
      <c r="A386" s="560"/>
      <c r="B386" s="6"/>
      <c r="C386" s="6"/>
      <c r="D386" s="6"/>
      <c r="E386" s="6"/>
      <c r="F386" s="6"/>
      <c r="G386" s="6"/>
      <c r="H386" s="6"/>
      <c r="I386" s="6"/>
      <c r="J386" s="6"/>
      <c r="K386" s="6"/>
      <c r="L386" s="6"/>
      <c r="M386" s="6"/>
      <c r="N386" s="6"/>
      <c r="O386" s="6"/>
    </row>
    <row r="387" spans="1:15" ht="15.6">
      <c r="A387" s="560"/>
      <c r="B387" s="6"/>
      <c r="C387" s="6"/>
      <c r="D387" s="6"/>
      <c r="E387" s="6"/>
      <c r="F387" s="6"/>
      <c r="G387" s="6"/>
      <c r="H387" s="6"/>
      <c r="I387" s="6"/>
      <c r="J387" s="6"/>
      <c r="K387" s="6"/>
      <c r="L387" s="6"/>
      <c r="M387" s="6"/>
      <c r="N387" s="6"/>
      <c r="O387" s="6"/>
    </row>
    <row r="388" spans="1:15" ht="15.6">
      <c r="A388" s="560"/>
      <c r="B388" s="6"/>
      <c r="C388" s="6"/>
      <c r="D388" s="6"/>
      <c r="E388" s="6"/>
      <c r="F388" s="6"/>
      <c r="G388" s="6"/>
      <c r="H388" s="6"/>
      <c r="I388" s="6"/>
      <c r="J388" s="6"/>
      <c r="K388" s="6"/>
      <c r="L388" s="6"/>
      <c r="M388" s="6"/>
      <c r="N388" s="6"/>
      <c r="O388" s="6"/>
    </row>
    <row r="389" spans="1:15" ht="15.6">
      <c r="A389" s="560"/>
      <c r="B389" s="6"/>
      <c r="C389" s="6"/>
      <c r="D389" s="6"/>
      <c r="E389" s="6"/>
      <c r="F389" s="6"/>
      <c r="G389" s="6"/>
      <c r="H389" s="6"/>
      <c r="I389" s="6"/>
      <c r="J389" s="6"/>
      <c r="K389" s="6"/>
      <c r="L389" s="6"/>
      <c r="M389" s="6"/>
      <c r="N389" s="6"/>
      <c r="O389" s="6"/>
    </row>
    <row r="390" spans="1:15" ht="15.6">
      <c r="A390" s="560"/>
      <c r="B390" s="6"/>
      <c r="C390" s="6"/>
      <c r="D390" s="6"/>
      <c r="E390" s="6"/>
      <c r="F390" s="6"/>
      <c r="G390" s="6"/>
      <c r="H390" s="6"/>
      <c r="I390" s="6"/>
      <c r="J390" s="6"/>
      <c r="K390" s="6"/>
      <c r="L390" s="6"/>
      <c r="M390" s="6"/>
      <c r="N390" s="6"/>
      <c r="O390" s="6"/>
    </row>
    <row r="391" spans="1:15" ht="15.6">
      <c r="A391" s="560"/>
      <c r="B391" s="6"/>
      <c r="C391" s="6"/>
      <c r="D391" s="6"/>
      <c r="E391" s="6"/>
      <c r="F391" s="6"/>
      <c r="G391" s="6"/>
      <c r="H391" s="6"/>
      <c r="I391" s="6"/>
      <c r="J391" s="6"/>
      <c r="K391" s="6"/>
      <c r="L391" s="6"/>
      <c r="M391" s="6"/>
      <c r="N391" s="6"/>
      <c r="O391" s="6"/>
    </row>
    <row r="392" spans="1:15" ht="15.6">
      <c r="A392" s="560"/>
      <c r="B392" s="6"/>
      <c r="C392" s="6"/>
      <c r="D392" s="6"/>
      <c r="E392" s="6"/>
      <c r="F392" s="6"/>
      <c r="G392" s="6"/>
      <c r="H392" s="6"/>
      <c r="I392" s="6"/>
      <c r="J392" s="6"/>
      <c r="K392" s="6"/>
      <c r="L392" s="6"/>
      <c r="M392" s="6"/>
      <c r="N392" s="6"/>
      <c r="O392" s="6"/>
    </row>
    <row r="393" spans="1:15" ht="15.6">
      <c r="A393" s="560"/>
      <c r="B393" s="6"/>
      <c r="C393" s="6"/>
      <c r="D393" s="6"/>
      <c r="E393" s="6"/>
      <c r="F393" s="6"/>
      <c r="G393" s="6"/>
      <c r="H393" s="6"/>
      <c r="I393" s="6"/>
      <c r="J393" s="6"/>
      <c r="K393" s="6"/>
      <c r="L393" s="6"/>
      <c r="M393" s="6"/>
      <c r="N393" s="6"/>
      <c r="O393" s="6"/>
    </row>
    <row r="394" spans="1:15" ht="15.6">
      <c r="A394" s="560"/>
      <c r="B394" s="6"/>
      <c r="C394" s="6"/>
      <c r="D394" s="6"/>
      <c r="E394" s="6"/>
      <c r="F394" s="6"/>
      <c r="G394" s="6"/>
      <c r="H394" s="6"/>
      <c r="I394" s="6"/>
      <c r="J394" s="6"/>
      <c r="K394" s="6"/>
      <c r="L394" s="6"/>
      <c r="M394" s="6"/>
      <c r="N394" s="6"/>
      <c r="O394" s="6"/>
    </row>
    <row r="395" spans="1:15" ht="15.6">
      <c r="A395" s="560"/>
      <c r="B395" s="6"/>
      <c r="C395" s="6"/>
      <c r="D395" s="6"/>
      <c r="E395" s="6"/>
      <c r="F395" s="6"/>
      <c r="G395" s="6"/>
      <c r="H395" s="6"/>
      <c r="I395" s="6"/>
      <c r="J395" s="6"/>
      <c r="K395" s="6"/>
      <c r="L395" s="6"/>
      <c r="M395" s="6"/>
      <c r="N395" s="6"/>
      <c r="O395" s="6"/>
    </row>
    <row r="396" spans="1:15" ht="15.6">
      <c r="A396" s="560"/>
      <c r="B396" s="6"/>
      <c r="C396" s="6"/>
      <c r="D396" s="6"/>
      <c r="E396" s="6"/>
      <c r="F396" s="6"/>
      <c r="G396" s="6"/>
      <c r="H396" s="6"/>
      <c r="I396" s="6"/>
      <c r="J396" s="6"/>
      <c r="K396" s="6"/>
      <c r="L396" s="6"/>
      <c r="M396" s="6"/>
      <c r="N396" s="6"/>
      <c r="O396" s="6"/>
    </row>
    <row r="397" spans="1:15" ht="15.6">
      <c r="A397" s="560"/>
      <c r="B397" s="6"/>
      <c r="C397" s="6"/>
      <c r="D397" s="6"/>
      <c r="E397" s="6"/>
      <c r="F397" s="6"/>
      <c r="G397" s="6"/>
      <c r="H397" s="6"/>
      <c r="I397" s="6"/>
      <c r="J397" s="6"/>
      <c r="K397" s="6"/>
      <c r="L397" s="6"/>
      <c r="M397" s="6"/>
      <c r="N397" s="6"/>
      <c r="O397" s="6"/>
    </row>
    <row r="398" spans="1:15" ht="15.6">
      <c r="A398" s="560"/>
      <c r="B398" s="6"/>
      <c r="C398" s="6"/>
      <c r="D398" s="6"/>
      <c r="E398" s="6"/>
      <c r="F398" s="6"/>
      <c r="G398" s="6"/>
      <c r="H398" s="6"/>
      <c r="I398" s="6"/>
      <c r="J398" s="6"/>
      <c r="K398" s="6"/>
      <c r="L398" s="6"/>
      <c r="M398" s="6"/>
      <c r="N398" s="6"/>
      <c r="O398" s="6"/>
    </row>
    <row r="399" spans="1:15" ht="15.6">
      <c r="A399" s="560"/>
      <c r="B399" s="6"/>
      <c r="C399" s="6"/>
      <c r="D399" s="6"/>
      <c r="E399" s="6"/>
      <c r="F399" s="6"/>
      <c r="G399" s="6"/>
      <c r="H399" s="6"/>
      <c r="I399" s="6"/>
      <c r="J399" s="6"/>
      <c r="K399" s="6"/>
      <c r="L399" s="6"/>
      <c r="M399" s="6"/>
      <c r="N399" s="6"/>
      <c r="O399" s="6"/>
    </row>
    <row r="400" spans="1:15" ht="15.6">
      <c r="A400" s="560"/>
      <c r="B400" s="6"/>
      <c r="C400" s="6"/>
      <c r="D400" s="6"/>
      <c r="E400" s="6"/>
      <c r="F400" s="6"/>
      <c r="G400" s="6"/>
      <c r="H400" s="6"/>
      <c r="I400" s="6"/>
      <c r="J400" s="6"/>
      <c r="K400" s="6"/>
      <c r="L400" s="6"/>
      <c r="M400" s="6"/>
      <c r="N400" s="6"/>
      <c r="O400" s="6"/>
    </row>
    <row r="401" spans="1:15" ht="15.6">
      <c r="A401" s="560"/>
      <c r="B401" s="6"/>
      <c r="C401" s="6"/>
      <c r="D401" s="6"/>
      <c r="E401" s="6"/>
      <c r="F401" s="6"/>
      <c r="G401" s="6"/>
      <c r="H401" s="6"/>
      <c r="I401" s="6"/>
      <c r="J401" s="6"/>
      <c r="K401" s="6"/>
      <c r="L401" s="6"/>
      <c r="M401" s="6"/>
      <c r="N401" s="6"/>
      <c r="O401" s="6"/>
    </row>
    <row r="402" spans="1:15" ht="15.6">
      <c r="A402" s="560"/>
      <c r="B402" s="6"/>
      <c r="C402" s="6"/>
      <c r="D402" s="6"/>
      <c r="E402" s="6"/>
      <c r="F402" s="6"/>
      <c r="G402" s="6"/>
      <c r="H402" s="6"/>
      <c r="I402" s="6"/>
      <c r="J402" s="6"/>
      <c r="K402" s="6"/>
      <c r="L402" s="6"/>
      <c r="M402" s="6"/>
      <c r="N402" s="6"/>
      <c r="O402" s="6"/>
    </row>
    <row r="403" spans="1:15" ht="15.6">
      <c r="A403" s="560"/>
      <c r="B403" s="6"/>
      <c r="C403" s="6"/>
      <c r="D403" s="6"/>
      <c r="E403" s="6"/>
      <c r="F403" s="6"/>
      <c r="G403" s="6"/>
      <c r="H403" s="6"/>
      <c r="I403" s="6"/>
      <c r="J403" s="6"/>
      <c r="K403" s="6"/>
      <c r="L403" s="6"/>
      <c r="M403" s="6"/>
      <c r="N403" s="6"/>
      <c r="O403" s="6"/>
    </row>
    <row r="404" spans="1:15" ht="15.6">
      <c r="A404" s="560"/>
      <c r="B404" s="6"/>
      <c r="C404" s="6"/>
      <c r="D404" s="6"/>
      <c r="E404" s="6"/>
      <c r="F404" s="6"/>
      <c r="G404" s="6"/>
      <c r="H404" s="6"/>
      <c r="I404" s="6"/>
      <c r="J404" s="6"/>
      <c r="K404" s="6"/>
      <c r="L404" s="6"/>
      <c r="M404" s="6"/>
      <c r="N404" s="6"/>
      <c r="O404" s="6"/>
    </row>
    <row r="405" spans="1:15" ht="15.6">
      <c r="A405" s="560"/>
      <c r="B405" s="6"/>
      <c r="C405" s="6"/>
      <c r="D405" s="6"/>
      <c r="E405" s="6"/>
      <c r="F405" s="6"/>
      <c r="G405" s="6"/>
      <c r="H405" s="6"/>
      <c r="I405" s="6"/>
      <c r="J405" s="6"/>
      <c r="K405" s="6"/>
      <c r="L405" s="6"/>
      <c r="M405" s="6"/>
      <c r="N405" s="6"/>
      <c r="O405" s="6"/>
    </row>
    <row r="406" spans="1:15" ht="15.6">
      <c r="A406" s="560"/>
      <c r="B406" s="6"/>
      <c r="C406" s="6"/>
      <c r="D406" s="6"/>
      <c r="E406" s="6"/>
      <c r="F406" s="6"/>
      <c r="G406" s="6"/>
      <c r="H406" s="6"/>
      <c r="I406" s="6"/>
      <c r="J406" s="6"/>
      <c r="K406" s="6"/>
      <c r="L406" s="6"/>
      <c r="M406" s="6"/>
      <c r="N406" s="6"/>
      <c r="O406" s="6"/>
    </row>
    <row r="407" spans="1:15" ht="15.6">
      <c r="A407" s="560"/>
      <c r="B407" s="6"/>
      <c r="C407" s="6"/>
      <c r="D407" s="6"/>
      <c r="E407" s="6"/>
      <c r="F407" s="6"/>
      <c r="G407" s="6"/>
      <c r="H407" s="6"/>
      <c r="I407" s="6"/>
      <c r="J407" s="6"/>
      <c r="K407" s="6"/>
      <c r="L407" s="6"/>
      <c r="M407" s="6"/>
      <c r="N407" s="6"/>
      <c r="O407" s="6"/>
    </row>
    <row r="408" spans="1:15" ht="15.6">
      <c r="A408" s="560"/>
      <c r="B408" s="6"/>
      <c r="C408" s="6"/>
      <c r="D408" s="6"/>
      <c r="E408" s="6"/>
      <c r="F408" s="6"/>
      <c r="G408" s="6"/>
      <c r="H408" s="6"/>
      <c r="I408" s="6"/>
      <c r="J408" s="6"/>
      <c r="K408" s="6"/>
      <c r="L408" s="6"/>
      <c r="M408" s="6"/>
      <c r="N408" s="6"/>
      <c r="O408" s="6"/>
    </row>
    <row r="409" spans="1:15" ht="15.6">
      <c r="A409" s="560"/>
      <c r="B409" s="6"/>
      <c r="C409" s="6"/>
      <c r="D409" s="6"/>
      <c r="E409" s="6"/>
      <c r="F409" s="6"/>
      <c r="G409" s="6"/>
      <c r="H409" s="6"/>
      <c r="I409" s="6"/>
      <c r="J409" s="6"/>
      <c r="K409" s="6"/>
      <c r="L409" s="6"/>
      <c r="M409" s="6"/>
      <c r="N409" s="6"/>
      <c r="O409" s="6"/>
    </row>
    <row r="410" spans="1:15" ht="15.6">
      <c r="A410" s="560"/>
      <c r="B410" s="6"/>
      <c r="C410" s="6"/>
      <c r="D410" s="6"/>
      <c r="E410" s="6"/>
      <c r="F410" s="6"/>
      <c r="G410" s="6"/>
      <c r="H410" s="6"/>
      <c r="I410" s="6"/>
      <c r="J410" s="6"/>
      <c r="K410" s="6"/>
      <c r="L410" s="6"/>
      <c r="M410" s="6"/>
      <c r="N410" s="6"/>
      <c r="O410" s="6"/>
    </row>
    <row r="411" spans="1:15" ht="15.6">
      <c r="A411" s="560"/>
      <c r="B411" s="6"/>
      <c r="C411" s="6"/>
      <c r="D411" s="6"/>
      <c r="E411" s="6"/>
      <c r="F411" s="6"/>
      <c r="G411" s="6"/>
      <c r="H411" s="6"/>
      <c r="I411" s="6"/>
      <c r="J411" s="6"/>
      <c r="K411" s="6"/>
      <c r="L411" s="6"/>
      <c r="M411" s="6"/>
      <c r="N411" s="6"/>
      <c r="O411" s="6"/>
    </row>
    <row r="412" spans="1:15" ht="15.6">
      <c r="A412" s="560"/>
      <c r="B412" s="6"/>
      <c r="C412" s="6"/>
      <c r="D412" s="6"/>
      <c r="E412" s="6"/>
      <c r="F412" s="6"/>
      <c r="G412" s="6"/>
      <c r="H412" s="6"/>
      <c r="I412" s="6"/>
      <c r="J412" s="6"/>
      <c r="K412" s="6"/>
      <c r="L412" s="6"/>
      <c r="M412" s="6"/>
      <c r="N412" s="6"/>
      <c r="O412" s="6"/>
    </row>
    <row r="413" spans="1:15" ht="15.6">
      <c r="A413" s="560"/>
      <c r="B413" s="6"/>
      <c r="C413" s="6"/>
      <c r="D413" s="6"/>
      <c r="E413" s="6"/>
      <c r="F413" s="6"/>
      <c r="G413" s="6"/>
      <c r="H413" s="6"/>
      <c r="I413" s="6"/>
      <c r="J413" s="6"/>
      <c r="K413" s="6"/>
      <c r="L413" s="6"/>
      <c r="M413" s="6"/>
      <c r="N413" s="6"/>
      <c r="O413" s="6"/>
    </row>
    <row r="414" spans="1:15" ht="15.6">
      <c r="A414" s="560"/>
      <c r="B414" s="6"/>
      <c r="C414" s="6"/>
      <c r="D414" s="6"/>
      <c r="E414" s="6"/>
      <c r="F414" s="6"/>
      <c r="G414" s="6"/>
      <c r="H414" s="6"/>
      <c r="I414" s="6"/>
      <c r="J414" s="6"/>
      <c r="K414" s="6"/>
      <c r="L414" s="6"/>
      <c r="M414" s="6"/>
      <c r="N414" s="6"/>
      <c r="O414" s="6"/>
    </row>
    <row r="415" spans="1:15" ht="15.6">
      <c r="A415" s="560"/>
      <c r="B415" s="6"/>
      <c r="C415" s="6"/>
      <c r="D415" s="6"/>
      <c r="E415" s="6"/>
      <c r="F415" s="6"/>
      <c r="G415" s="6"/>
      <c r="H415" s="6"/>
      <c r="I415" s="6"/>
      <c r="J415" s="6"/>
      <c r="K415" s="6"/>
      <c r="L415" s="6"/>
      <c r="M415" s="6"/>
      <c r="N415" s="6"/>
      <c r="O415" s="6"/>
    </row>
    <row r="416" spans="1:15" ht="15.6">
      <c r="A416" s="560"/>
      <c r="B416" s="6"/>
      <c r="C416" s="6"/>
      <c r="D416" s="6"/>
      <c r="E416" s="6"/>
      <c r="F416" s="6"/>
      <c r="G416" s="6"/>
      <c r="H416" s="6"/>
      <c r="I416" s="6"/>
      <c r="J416" s="6"/>
      <c r="K416" s="6"/>
      <c r="L416" s="6"/>
      <c r="M416" s="6"/>
      <c r="N416" s="6"/>
      <c r="O416" s="6"/>
    </row>
    <row r="417" spans="1:15" ht="15.6">
      <c r="A417" s="560"/>
      <c r="B417" s="6"/>
      <c r="C417" s="6"/>
      <c r="D417" s="6"/>
      <c r="E417" s="6"/>
      <c r="F417" s="6"/>
      <c r="G417" s="6"/>
      <c r="H417" s="6"/>
      <c r="I417" s="6"/>
      <c r="J417" s="6"/>
      <c r="K417" s="6"/>
      <c r="L417" s="6"/>
      <c r="M417" s="6"/>
      <c r="N417" s="6"/>
      <c r="O417" s="6"/>
    </row>
    <row r="418" spans="1:15" ht="15.6">
      <c r="A418" s="560"/>
      <c r="B418" s="6"/>
      <c r="C418" s="6"/>
      <c r="D418" s="6"/>
      <c r="E418" s="6"/>
      <c r="F418" s="6"/>
      <c r="G418" s="6"/>
      <c r="H418" s="6"/>
      <c r="I418" s="6"/>
      <c r="J418" s="6"/>
      <c r="K418" s="6"/>
      <c r="L418" s="6"/>
      <c r="M418" s="6"/>
      <c r="N418" s="6"/>
      <c r="O418" s="6"/>
    </row>
    <row r="419" spans="1:15" ht="15.6">
      <c r="A419" s="560"/>
      <c r="B419" s="6"/>
      <c r="C419" s="6"/>
      <c r="D419" s="6"/>
      <c r="E419" s="6"/>
      <c r="F419" s="6"/>
      <c r="G419" s="6"/>
      <c r="H419" s="6"/>
      <c r="I419" s="6"/>
      <c r="J419" s="6"/>
      <c r="K419" s="6"/>
      <c r="L419" s="6"/>
      <c r="M419" s="6"/>
      <c r="N419" s="6"/>
      <c r="O419" s="6"/>
    </row>
    <row r="420" spans="1:15" ht="15.6">
      <c r="A420" s="560"/>
      <c r="B420" s="6"/>
      <c r="C420" s="6"/>
      <c r="D420" s="6"/>
      <c r="E420" s="6"/>
      <c r="F420" s="6"/>
      <c r="G420" s="6"/>
      <c r="H420" s="6"/>
      <c r="I420" s="6"/>
      <c r="J420" s="6"/>
      <c r="K420" s="6"/>
      <c r="L420" s="6"/>
      <c r="M420" s="6"/>
      <c r="N420" s="6"/>
      <c r="O420" s="6"/>
    </row>
    <row r="421" spans="1:15" ht="15.6">
      <c r="A421" s="560"/>
      <c r="B421" s="6"/>
      <c r="C421" s="6"/>
      <c r="D421" s="6"/>
      <c r="E421" s="6"/>
      <c r="F421" s="6"/>
      <c r="G421" s="6"/>
      <c r="H421" s="6"/>
      <c r="I421" s="6"/>
      <c r="J421" s="6"/>
      <c r="K421" s="6"/>
      <c r="L421" s="6"/>
      <c r="M421" s="6"/>
      <c r="N421" s="6"/>
      <c r="O421" s="6"/>
    </row>
    <row r="422" spans="1:15" ht="15.6">
      <c r="A422" s="560"/>
      <c r="B422" s="6"/>
      <c r="C422" s="6"/>
      <c r="D422" s="6"/>
      <c r="E422" s="6"/>
      <c r="F422" s="6"/>
      <c r="G422" s="6"/>
      <c r="H422" s="6"/>
      <c r="I422" s="6"/>
      <c r="J422" s="6"/>
      <c r="K422" s="6"/>
      <c r="L422" s="6"/>
      <c r="M422" s="6"/>
      <c r="N422" s="6"/>
      <c r="O422" s="6"/>
    </row>
    <row r="423" spans="1:15" ht="15.6">
      <c r="A423" s="560"/>
      <c r="B423" s="6"/>
      <c r="C423" s="6"/>
      <c r="D423" s="6"/>
      <c r="E423" s="6"/>
      <c r="F423" s="6"/>
      <c r="G423" s="6"/>
      <c r="H423" s="6"/>
      <c r="I423" s="6"/>
      <c r="J423" s="6"/>
      <c r="K423" s="6"/>
      <c r="L423" s="6"/>
      <c r="M423" s="6"/>
      <c r="N423" s="6"/>
      <c r="O423" s="6"/>
    </row>
    <row r="424" spans="1:15" ht="15.6">
      <c r="A424" s="560"/>
      <c r="B424" s="6"/>
      <c r="C424" s="6"/>
      <c r="D424" s="6"/>
      <c r="E424" s="6"/>
      <c r="F424" s="6"/>
      <c r="G424" s="6"/>
      <c r="H424" s="6"/>
      <c r="I424" s="6"/>
      <c r="J424" s="6"/>
      <c r="K424" s="6"/>
      <c r="L424" s="6"/>
      <c r="M424" s="6"/>
      <c r="N424" s="6"/>
      <c r="O424" s="6"/>
    </row>
    <row r="425" spans="1:15" ht="15.6">
      <c r="A425" s="560"/>
      <c r="B425" s="6"/>
      <c r="C425" s="6"/>
      <c r="D425" s="6"/>
      <c r="E425" s="6"/>
      <c r="F425" s="6"/>
      <c r="G425" s="6"/>
      <c r="H425" s="6"/>
      <c r="I425" s="6"/>
      <c r="J425" s="6"/>
      <c r="K425" s="6"/>
      <c r="L425" s="6"/>
      <c r="M425" s="6"/>
      <c r="N425" s="6"/>
      <c r="O425" s="6"/>
    </row>
    <row r="426" spans="1:15" ht="15.6">
      <c r="A426" s="560"/>
      <c r="B426" s="6"/>
      <c r="C426" s="6"/>
      <c r="D426" s="6"/>
      <c r="E426" s="6"/>
      <c r="F426" s="6"/>
      <c r="G426" s="6"/>
      <c r="H426" s="6"/>
      <c r="I426" s="6"/>
      <c r="J426" s="6"/>
      <c r="K426" s="6"/>
      <c r="L426" s="6"/>
      <c r="M426" s="6"/>
      <c r="N426" s="6"/>
      <c r="O426" s="6"/>
    </row>
    <row r="427" spans="1:15" ht="15.6">
      <c r="A427" s="560"/>
      <c r="B427" s="6"/>
      <c r="C427" s="6"/>
      <c r="D427" s="6"/>
      <c r="E427" s="6"/>
      <c r="F427" s="6"/>
      <c r="G427" s="6"/>
      <c r="H427" s="6"/>
      <c r="I427" s="6"/>
      <c r="J427" s="6"/>
      <c r="K427" s="6"/>
      <c r="L427" s="6"/>
      <c r="M427" s="6"/>
      <c r="N427" s="6"/>
      <c r="O427" s="6"/>
    </row>
    <row r="428" spans="1:15" ht="15.6">
      <c r="A428" s="560"/>
      <c r="B428" s="6"/>
      <c r="C428" s="6"/>
      <c r="D428" s="6"/>
      <c r="E428" s="6"/>
      <c r="F428" s="6"/>
      <c r="G428" s="6"/>
      <c r="H428" s="6"/>
      <c r="I428" s="6"/>
      <c r="J428" s="6"/>
      <c r="K428" s="6"/>
      <c r="L428" s="6"/>
      <c r="M428" s="6"/>
      <c r="N428" s="6"/>
      <c r="O428" s="6"/>
    </row>
    <row r="429" spans="1:15" ht="15.6">
      <c r="A429" s="560"/>
      <c r="B429" s="6"/>
      <c r="C429" s="6"/>
      <c r="D429" s="6"/>
      <c r="E429" s="6"/>
      <c r="F429" s="6"/>
      <c r="G429" s="6"/>
      <c r="H429" s="6"/>
      <c r="I429" s="6"/>
      <c r="J429" s="6"/>
      <c r="K429" s="6"/>
      <c r="L429" s="6"/>
      <c r="M429" s="6"/>
      <c r="N429" s="6"/>
      <c r="O429" s="6"/>
    </row>
    <row r="430" spans="1:15" ht="15.6">
      <c r="A430" s="560"/>
      <c r="B430" s="6"/>
      <c r="C430" s="6"/>
      <c r="D430" s="6"/>
      <c r="E430" s="6"/>
      <c r="F430" s="6"/>
      <c r="G430" s="6"/>
      <c r="H430" s="6"/>
      <c r="I430" s="6"/>
      <c r="J430" s="6"/>
      <c r="K430" s="6"/>
      <c r="L430" s="6"/>
      <c r="M430" s="6"/>
      <c r="N430" s="6"/>
      <c r="O430" s="6"/>
    </row>
    <row r="431" spans="1:15" ht="15.6">
      <c r="A431" s="560"/>
      <c r="B431" s="6"/>
      <c r="C431" s="6"/>
      <c r="D431" s="6"/>
      <c r="E431" s="6"/>
      <c r="F431" s="6"/>
      <c r="G431" s="6"/>
      <c r="H431" s="6"/>
      <c r="I431" s="6"/>
      <c r="J431" s="6"/>
      <c r="K431" s="6"/>
      <c r="L431" s="6"/>
      <c r="M431" s="6"/>
      <c r="N431" s="6"/>
      <c r="O431" s="6"/>
    </row>
    <row r="432" spans="1:15" ht="15.6">
      <c r="A432" s="560"/>
      <c r="B432" s="6"/>
      <c r="C432" s="6"/>
      <c r="D432" s="6"/>
      <c r="E432" s="6"/>
      <c r="F432" s="6"/>
      <c r="G432" s="6"/>
      <c r="H432" s="6"/>
      <c r="I432" s="6"/>
      <c r="J432" s="6"/>
      <c r="K432" s="6"/>
      <c r="L432" s="6"/>
      <c r="M432" s="6"/>
      <c r="N432" s="6"/>
      <c r="O432" s="6"/>
    </row>
    <row r="433" spans="1:15" ht="15.6">
      <c r="A433" s="560"/>
      <c r="B433" s="6"/>
      <c r="C433" s="6"/>
      <c r="D433" s="6"/>
      <c r="E433" s="6"/>
      <c r="F433" s="6"/>
      <c r="G433" s="6"/>
      <c r="H433" s="6"/>
      <c r="I433" s="6"/>
      <c r="J433" s="6"/>
      <c r="K433" s="6"/>
      <c r="L433" s="6"/>
      <c r="M433" s="6"/>
      <c r="N433" s="6"/>
      <c r="O433" s="6"/>
    </row>
    <row r="434" spans="1:15" ht="15.6">
      <c r="A434" s="560"/>
      <c r="B434" s="6"/>
      <c r="C434" s="6"/>
      <c r="D434" s="6"/>
      <c r="E434" s="6"/>
      <c r="F434" s="6"/>
      <c r="G434" s="6"/>
      <c r="H434" s="6"/>
      <c r="I434" s="6"/>
      <c r="J434" s="6"/>
      <c r="K434" s="6"/>
      <c r="L434" s="6"/>
      <c r="M434" s="6"/>
      <c r="N434" s="6"/>
      <c r="O434" s="6"/>
    </row>
    <row r="435" spans="1:15" ht="15.6">
      <c r="A435" s="560"/>
      <c r="B435" s="6"/>
      <c r="C435" s="6"/>
      <c r="D435" s="6"/>
      <c r="E435" s="6"/>
      <c r="F435" s="6"/>
      <c r="G435" s="6"/>
      <c r="H435" s="6"/>
      <c r="I435" s="6"/>
      <c r="J435" s="6"/>
      <c r="K435" s="6"/>
      <c r="L435" s="6"/>
      <c r="M435" s="6"/>
      <c r="N435" s="6"/>
      <c r="O435" s="6"/>
    </row>
    <row r="436" spans="1:15" ht="15.6">
      <c r="A436" s="560"/>
      <c r="B436" s="6"/>
      <c r="C436" s="6"/>
      <c r="D436" s="6"/>
      <c r="E436" s="6"/>
      <c r="F436" s="6"/>
      <c r="G436" s="6"/>
      <c r="H436" s="6"/>
      <c r="I436" s="6"/>
      <c r="J436" s="6"/>
      <c r="K436" s="6"/>
      <c r="L436" s="6"/>
      <c r="M436" s="6"/>
      <c r="N436" s="6"/>
      <c r="O436" s="6"/>
    </row>
    <row r="437" spans="1:15" ht="15.6">
      <c r="A437" s="560"/>
      <c r="B437" s="6"/>
      <c r="C437" s="6"/>
      <c r="D437" s="6"/>
      <c r="E437" s="6"/>
      <c r="F437" s="6"/>
      <c r="G437" s="6"/>
      <c r="H437" s="6"/>
      <c r="I437" s="6"/>
      <c r="J437" s="6"/>
      <c r="K437" s="6"/>
      <c r="L437" s="6"/>
      <c r="M437" s="6"/>
      <c r="N437" s="6"/>
      <c r="O437" s="6"/>
    </row>
    <row r="438" spans="1:15" ht="15.6">
      <c r="A438" s="560"/>
      <c r="B438" s="6"/>
      <c r="C438" s="6"/>
      <c r="D438" s="6"/>
      <c r="E438" s="6"/>
      <c r="F438" s="6"/>
      <c r="G438" s="6"/>
      <c r="H438" s="6"/>
      <c r="I438" s="6"/>
      <c r="J438" s="6"/>
      <c r="K438" s="6"/>
      <c r="L438" s="6"/>
      <c r="M438" s="6"/>
      <c r="N438" s="6"/>
      <c r="O438" s="6"/>
    </row>
    <row r="439" spans="1:15" ht="15.6">
      <c r="A439" s="560"/>
      <c r="B439" s="6"/>
      <c r="C439" s="6"/>
      <c r="D439" s="6"/>
      <c r="E439" s="6"/>
      <c r="F439" s="6"/>
      <c r="G439" s="6"/>
      <c r="H439" s="6"/>
      <c r="I439" s="6"/>
      <c r="J439" s="6"/>
      <c r="K439" s="6"/>
      <c r="L439" s="6"/>
      <c r="M439" s="6"/>
      <c r="N439" s="6"/>
      <c r="O439" s="6"/>
    </row>
    <row r="440" spans="1:15" ht="15.6">
      <c r="A440" s="560"/>
      <c r="B440" s="6"/>
      <c r="C440" s="6"/>
      <c r="D440" s="6"/>
      <c r="E440" s="6"/>
      <c r="F440" s="6"/>
      <c r="G440" s="6"/>
      <c r="H440" s="6"/>
      <c r="I440" s="6"/>
      <c r="J440" s="6"/>
      <c r="K440" s="6"/>
      <c r="L440" s="6"/>
      <c r="M440" s="6"/>
      <c r="N440" s="6"/>
      <c r="O440" s="6"/>
    </row>
    <row r="441" spans="1:15" ht="15.6">
      <c r="A441" s="560"/>
      <c r="B441" s="6"/>
      <c r="C441" s="6"/>
      <c r="D441" s="6"/>
      <c r="E441" s="6"/>
      <c r="F441" s="6"/>
      <c r="G441" s="6"/>
      <c r="H441" s="6"/>
      <c r="I441" s="6"/>
      <c r="J441" s="6"/>
      <c r="K441" s="6"/>
      <c r="L441" s="6"/>
      <c r="M441" s="6"/>
      <c r="N441" s="6"/>
      <c r="O441" s="6"/>
    </row>
    <row r="442" spans="1:15" ht="15.6">
      <c r="A442" s="560"/>
      <c r="B442" s="6"/>
      <c r="C442" s="6"/>
      <c r="D442" s="6"/>
      <c r="E442" s="6"/>
      <c r="F442" s="6"/>
      <c r="G442" s="6"/>
      <c r="H442" s="6"/>
      <c r="I442" s="6"/>
      <c r="J442" s="6"/>
      <c r="K442" s="6"/>
      <c r="L442" s="6"/>
      <c r="M442" s="6"/>
      <c r="N442" s="6"/>
      <c r="O442" s="6"/>
    </row>
    <row r="443" spans="1:15" ht="15.6">
      <c r="A443" s="560"/>
      <c r="B443" s="6"/>
      <c r="C443" s="6"/>
      <c r="D443" s="6"/>
      <c r="E443" s="6"/>
      <c r="F443" s="6"/>
      <c r="G443" s="6"/>
      <c r="H443" s="6"/>
      <c r="I443" s="6"/>
      <c r="J443" s="6"/>
      <c r="K443" s="6"/>
      <c r="L443" s="6"/>
      <c r="M443" s="6"/>
      <c r="N443" s="6"/>
      <c r="O443" s="6"/>
    </row>
    <row r="444" spans="1:15" ht="15.6">
      <c r="A444" s="560"/>
      <c r="B444" s="6"/>
      <c r="C444" s="6"/>
      <c r="D444" s="6"/>
      <c r="E444" s="6"/>
      <c r="F444" s="6"/>
      <c r="G444" s="6"/>
      <c r="H444" s="6"/>
      <c r="I444" s="6"/>
      <c r="J444" s="6"/>
      <c r="K444" s="6"/>
      <c r="L444" s="6"/>
      <c r="M444" s="6"/>
      <c r="N444" s="6"/>
      <c r="O444" s="6"/>
    </row>
    <row r="445" spans="1:15" ht="15.6">
      <c r="A445" s="560"/>
      <c r="B445" s="6"/>
      <c r="C445" s="6"/>
      <c r="D445" s="6"/>
      <c r="E445" s="6"/>
      <c r="F445" s="6"/>
      <c r="G445" s="6"/>
      <c r="H445" s="6"/>
      <c r="I445" s="6"/>
      <c r="J445" s="6"/>
      <c r="K445" s="6"/>
      <c r="L445" s="6"/>
      <c r="M445" s="6"/>
      <c r="N445" s="6"/>
      <c r="O445" s="6"/>
    </row>
    <row r="446" spans="1:15" ht="15.6">
      <c r="A446" s="560"/>
      <c r="B446" s="6"/>
      <c r="C446" s="6"/>
      <c r="D446" s="6"/>
      <c r="E446" s="6"/>
      <c r="F446" s="6"/>
      <c r="G446" s="6"/>
      <c r="H446" s="6"/>
      <c r="I446" s="6"/>
      <c r="J446" s="6"/>
      <c r="K446" s="6"/>
      <c r="L446" s="6"/>
      <c r="M446" s="6"/>
      <c r="N446" s="6"/>
      <c r="O446" s="6"/>
    </row>
    <row r="447" spans="1:15" ht="15.6">
      <c r="A447" s="560"/>
      <c r="B447" s="6"/>
      <c r="C447" s="6"/>
      <c r="D447" s="6"/>
      <c r="E447" s="6"/>
      <c r="F447" s="6"/>
      <c r="G447" s="6"/>
      <c r="H447" s="6"/>
      <c r="I447" s="6"/>
      <c r="J447" s="6"/>
      <c r="K447" s="6"/>
      <c r="L447" s="6"/>
      <c r="M447" s="6"/>
      <c r="N447" s="6"/>
      <c r="O447" s="6"/>
    </row>
    <row r="448" spans="1:15" ht="15.6">
      <c r="A448" s="560"/>
      <c r="B448" s="6"/>
      <c r="C448" s="6"/>
      <c r="D448" s="6"/>
      <c r="E448" s="6"/>
      <c r="F448" s="6"/>
      <c r="G448" s="6"/>
      <c r="H448" s="6"/>
      <c r="I448" s="6"/>
      <c r="J448" s="6"/>
      <c r="K448" s="6"/>
      <c r="L448" s="6"/>
      <c r="M448" s="6"/>
      <c r="N448" s="6"/>
      <c r="O448" s="6"/>
    </row>
    <row r="449" spans="1:15" ht="15.6">
      <c r="A449" s="560"/>
      <c r="B449" s="6"/>
      <c r="C449" s="6"/>
      <c r="D449" s="6"/>
      <c r="E449" s="6"/>
      <c r="F449" s="6"/>
      <c r="G449" s="6"/>
      <c r="H449" s="6"/>
      <c r="I449" s="6"/>
      <c r="J449" s="6"/>
      <c r="K449" s="6"/>
      <c r="L449" s="6"/>
      <c r="M449" s="6"/>
      <c r="N449" s="6"/>
      <c r="O449" s="6"/>
    </row>
    <row r="450" spans="1:15" ht="15.6">
      <c r="A450" s="560"/>
      <c r="B450" s="6"/>
      <c r="C450" s="6"/>
      <c r="D450" s="6"/>
      <c r="E450" s="6"/>
      <c r="F450" s="6"/>
      <c r="G450" s="6"/>
      <c r="H450" s="6"/>
      <c r="I450" s="6"/>
      <c r="J450" s="6"/>
      <c r="K450" s="6"/>
      <c r="L450" s="6"/>
      <c r="M450" s="6"/>
      <c r="N450" s="6"/>
      <c r="O450" s="6"/>
    </row>
    <row r="451" spans="1:15" ht="15.6">
      <c r="A451" s="560"/>
      <c r="B451" s="6"/>
      <c r="C451" s="6"/>
      <c r="D451" s="6"/>
      <c r="E451" s="6"/>
      <c r="F451" s="6"/>
      <c r="G451" s="6"/>
      <c r="H451" s="6"/>
      <c r="I451" s="6"/>
      <c r="J451" s="6"/>
      <c r="K451" s="6"/>
      <c r="L451" s="6"/>
      <c r="M451" s="6"/>
      <c r="N451" s="6"/>
      <c r="O451" s="6"/>
    </row>
    <row r="452" spans="1:15" ht="15.6">
      <c r="A452" s="560"/>
      <c r="B452" s="6"/>
      <c r="C452" s="6"/>
      <c r="D452" s="6"/>
      <c r="E452" s="6"/>
      <c r="F452" s="6"/>
      <c r="G452" s="6"/>
      <c r="H452" s="6"/>
      <c r="I452" s="6"/>
      <c r="J452" s="6"/>
      <c r="K452" s="6"/>
      <c r="L452" s="6"/>
      <c r="M452" s="6"/>
      <c r="N452" s="6"/>
      <c r="O452" s="6"/>
    </row>
    <row r="453" spans="1:15" ht="15.6">
      <c r="A453" s="560"/>
      <c r="B453" s="6"/>
      <c r="C453" s="6"/>
      <c r="D453" s="6"/>
      <c r="E453" s="6"/>
      <c r="F453" s="6"/>
      <c r="G453" s="6"/>
      <c r="H453" s="6"/>
      <c r="I453" s="6"/>
      <c r="J453" s="6"/>
      <c r="K453" s="6"/>
      <c r="L453" s="6"/>
      <c r="M453" s="6"/>
      <c r="N453" s="6"/>
      <c r="O453" s="6"/>
    </row>
    <row r="454" spans="1:15" ht="15.6">
      <c r="A454" s="560"/>
      <c r="B454" s="6"/>
      <c r="C454" s="6"/>
      <c r="D454" s="6"/>
      <c r="E454" s="6"/>
      <c r="F454" s="6"/>
      <c r="G454" s="6"/>
      <c r="H454" s="6"/>
      <c r="I454" s="6"/>
      <c r="J454" s="6"/>
      <c r="K454" s="6"/>
      <c r="L454" s="6"/>
      <c r="M454" s="6"/>
      <c r="N454" s="6"/>
      <c r="O454" s="6"/>
    </row>
    <row r="455" spans="1:15" ht="15.6">
      <c r="A455" s="560"/>
      <c r="B455" s="6"/>
      <c r="C455" s="6"/>
      <c r="D455" s="6"/>
      <c r="E455" s="6"/>
      <c r="F455" s="6"/>
      <c r="G455" s="6"/>
      <c r="H455" s="6"/>
      <c r="I455" s="6"/>
      <c r="J455" s="6"/>
      <c r="K455" s="6"/>
      <c r="L455" s="6"/>
      <c r="M455" s="6"/>
      <c r="N455" s="6"/>
      <c r="O455" s="6"/>
    </row>
    <row r="456" spans="1:15" ht="15.6">
      <c r="A456" s="560"/>
      <c r="B456" s="6"/>
      <c r="C456" s="6"/>
      <c r="D456" s="6"/>
      <c r="E456" s="6"/>
      <c r="F456" s="6"/>
      <c r="G456" s="6"/>
      <c r="H456" s="6"/>
      <c r="I456" s="6"/>
      <c r="J456" s="6"/>
      <c r="K456" s="6"/>
      <c r="L456" s="6"/>
      <c r="M456" s="6"/>
      <c r="N456" s="6"/>
      <c r="O456" s="6"/>
    </row>
    <row r="457" spans="1:15" ht="15.6">
      <c r="A457" s="560"/>
      <c r="B457" s="6"/>
      <c r="C457" s="6"/>
      <c r="D457" s="6"/>
      <c r="E457" s="6"/>
      <c r="F457" s="6"/>
      <c r="G457" s="6"/>
      <c r="H457" s="6"/>
      <c r="I457" s="6"/>
      <c r="J457" s="6"/>
      <c r="K457" s="6"/>
      <c r="L457" s="6"/>
      <c r="M457" s="6"/>
      <c r="N457" s="6"/>
      <c r="O457" s="6"/>
    </row>
    <row r="458" spans="1:15" ht="15.6">
      <c r="A458" s="560"/>
      <c r="B458" s="6"/>
      <c r="C458" s="6"/>
      <c r="D458" s="6"/>
      <c r="E458" s="6"/>
      <c r="F458" s="6"/>
      <c r="G458" s="6"/>
      <c r="H458" s="6"/>
      <c r="I458" s="6"/>
      <c r="J458" s="6"/>
      <c r="K458" s="6"/>
      <c r="L458" s="6"/>
      <c r="M458" s="6"/>
      <c r="N458" s="6"/>
      <c r="O458" s="6"/>
    </row>
    <row r="459" spans="1:15" ht="15.6">
      <c r="A459" s="560"/>
      <c r="B459" s="6"/>
      <c r="C459" s="6"/>
      <c r="D459" s="6"/>
      <c r="E459" s="6"/>
      <c r="F459" s="6"/>
      <c r="G459" s="6"/>
      <c r="H459" s="6"/>
      <c r="I459" s="6"/>
      <c r="J459" s="6"/>
      <c r="K459" s="6"/>
      <c r="L459" s="6"/>
      <c r="M459" s="6"/>
      <c r="N459" s="6"/>
      <c r="O459" s="6"/>
    </row>
    <row r="460" spans="1:15" ht="15.6">
      <c r="A460" s="560"/>
      <c r="B460" s="6"/>
      <c r="C460" s="6"/>
      <c r="D460" s="6"/>
      <c r="E460" s="6"/>
      <c r="F460" s="6"/>
      <c r="G460" s="6"/>
      <c r="H460" s="6"/>
      <c r="I460" s="6"/>
      <c r="J460" s="6"/>
      <c r="K460" s="6"/>
      <c r="L460" s="6"/>
      <c r="M460" s="6"/>
      <c r="N460" s="6"/>
      <c r="O460" s="6"/>
    </row>
    <row r="461" spans="1:15" ht="15.6">
      <c r="A461" s="560"/>
      <c r="B461" s="6"/>
      <c r="C461" s="6"/>
      <c r="D461" s="6"/>
      <c r="E461" s="6"/>
      <c r="F461" s="6"/>
      <c r="G461" s="6"/>
      <c r="H461" s="6"/>
      <c r="I461" s="6"/>
      <c r="J461" s="6"/>
      <c r="K461" s="6"/>
      <c r="L461" s="6"/>
      <c r="M461" s="6"/>
      <c r="N461" s="6"/>
      <c r="O461" s="6"/>
    </row>
    <row r="462" spans="1:15" ht="15.6">
      <c r="A462" s="560"/>
      <c r="B462" s="6"/>
      <c r="C462" s="6"/>
      <c r="D462" s="6"/>
      <c r="E462" s="6"/>
      <c r="F462" s="6"/>
      <c r="G462" s="6"/>
      <c r="H462" s="6"/>
      <c r="I462" s="6"/>
      <c r="J462" s="6"/>
      <c r="K462" s="6"/>
      <c r="L462" s="6"/>
      <c r="M462" s="6"/>
      <c r="N462" s="6"/>
      <c r="O462" s="6"/>
    </row>
    <row r="463" spans="1:15" ht="15.6">
      <c r="A463" s="560"/>
      <c r="B463" s="6"/>
      <c r="C463" s="6"/>
      <c r="D463" s="6"/>
      <c r="E463" s="6"/>
      <c r="F463" s="6"/>
      <c r="G463" s="6"/>
      <c r="H463" s="6"/>
      <c r="I463" s="6"/>
      <c r="J463" s="6"/>
      <c r="K463" s="6"/>
      <c r="L463" s="6"/>
      <c r="M463" s="6"/>
      <c r="N463" s="6"/>
      <c r="O463" s="6"/>
    </row>
    <row r="464" spans="1:15" ht="15.6">
      <c r="A464" s="560"/>
      <c r="B464" s="6"/>
      <c r="C464" s="6"/>
      <c r="D464" s="6"/>
      <c r="E464" s="6"/>
      <c r="F464" s="6"/>
      <c r="G464" s="6"/>
      <c r="H464" s="6"/>
      <c r="I464" s="6"/>
      <c r="J464" s="6"/>
      <c r="K464" s="6"/>
      <c r="L464" s="6"/>
      <c r="M464" s="6"/>
      <c r="N464" s="6"/>
      <c r="O464" s="6"/>
    </row>
    <row r="465" spans="1:15" ht="15.6">
      <c r="A465" s="560"/>
      <c r="B465" s="6"/>
      <c r="C465" s="6"/>
      <c r="D465" s="6"/>
      <c r="E465" s="6"/>
      <c r="F465" s="6"/>
      <c r="G465" s="6"/>
      <c r="H465" s="6"/>
      <c r="I465" s="6"/>
      <c r="J465" s="6"/>
      <c r="K465" s="6"/>
      <c r="L465" s="6"/>
      <c r="M465" s="6"/>
      <c r="N465" s="6"/>
      <c r="O465" s="6"/>
    </row>
    <row r="466" spans="1:15" ht="15.6">
      <c r="A466" s="560"/>
      <c r="B466" s="6"/>
      <c r="C466" s="6"/>
      <c r="D466" s="6"/>
      <c r="E466" s="6"/>
      <c r="F466" s="6"/>
      <c r="G466" s="6"/>
      <c r="H466" s="6"/>
      <c r="I466" s="6"/>
      <c r="J466" s="6"/>
      <c r="K466" s="6"/>
      <c r="L466" s="6"/>
      <c r="M466" s="6"/>
      <c r="N466" s="6"/>
      <c r="O466" s="6"/>
    </row>
    <row r="467" spans="1:15" ht="15.6">
      <c r="A467" s="560"/>
      <c r="B467" s="6"/>
      <c r="C467" s="6"/>
      <c r="D467" s="6"/>
      <c r="E467" s="6"/>
      <c r="F467" s="6"/>
      <c r="G467" s="6"/>
      <c r="H467" s="6"/>
      <c r="I467" s="6"/>
      <c r="J467" s="6"/>
      <c r="K467" s="6"/>
      <c r="L467" s="6"/>
      <c r="M467" s="6"/>
      <c r="N467" s="6"/>
      <c r="O467" s="6"/>
    </row>
    <row r="468" spans="1:15" ht="15.6">
      <c r="A468" s="560"/>
      <c r="B468" s="6"/>
      <c r="C468" s="6"/>
      <c r="D468" s="6"/>
      <c r="E468" s="6"/>
      <c r="F468" s="6"/>
      <c r="G468" s="6"/>
      <c r="H468" s="6"/>
      <c r="I468" s="6"/>
      <c r="J468" s="6"/>
      <c r="K468" s="6"/>
      <c r="L468" s="6"/>
      <c r="M468" s="6"/>
      <c r="N468" s="6"/>
      <c r="O468" s="6"/>
    </row>
    <row r="469" spans="1:15" ht="15.6">
      <c r="A469" s="560"/>
      <c r="B469" s="6"/>
      <c r="C469" s="6"/>
      <c r="D469" s="6"/>
      <c r="E469" s="6"/>
      <c r="F469" s="6"/>
      <c r="G469" s="6"/>
      <c r="H469" s="6"/>
      <c r="I469" s="6"/>
      <c r="J469" s="6"/>
      <c r="K469" s="6"/>
      <c r="L469" s="6"/>
      <c r="M469" s="6"/>
      <c r="N469" s="6"/>
      <c r="O469" s="6"/>
    </row>
    <row r="470" spans="1:15" ht="15.6">
      <c r="A470" s="560"/>
      <c r="B470" s="6"/>
      <c r="C470" s="6"/>
      <c r="D470" s="6"/>
      <c r="E470" s="6"/>
      <c r="F470" s="6"/>
      <c r="G470" s="6"/>
      <c r="H470" s="6"/>
      <c r="I470" s="6"/>
      <c r="J470" s="6"/>
      <c r="K470" s="6"/>
      <c r="L470" s="6"/>
      <c r="M470" s="6"/>
      <c r="N470" s="6"/>
      <c r="O470" s="6"/>
    </row>
    <row r="471" spans="1:15" ht="15.6">
      <c r="A471" s="560"/>
      <c r="B471" s="6"/>
      <c r="C471" s="6"/>
      <c r="D471" s="6"/>
      <c r="E471" s="6"/>
      <c r="F471" s="6"/>
      <c r="G471" s="6"/>
      <c r="H471" s="6"/>
      <c r="I471" s="6"/>
      <c r="J471" s="6"/>
      <c r="K471" s="6"/>
      <c r="L471" s="6"/>
      <c r="M471" s="6"/>
      <c r="N471" s="6"/>
      <c r="O471" s="6"/>
    </row>
    <row r="472" spans="1:15" ht="15.6">
      <c r="A472" s="560"/>
      <c r="B472" s="6"/>
      <c r="C472" s="6"/>
      <c r="D472" s="6"/>
      <c r="E472" s="6"/>
      <c r="F472" s="6"/>
      <c r="G472" s="6"/>
      <c r="H472" s="6"/>
      <c r="I472" s="6"/>
      <c r="J472" s="6"/>
      <c r="K472" s="6"/>
      <c r="L472" s="6"/>
      <c r="M472" s="6"/>
      <c r="N472" s="6"/>
      <c r="O472" s="6"/>
    </row>
    <row r="473" spans="1:15" ht="15.6">
      <c r="A473" s="560"/>
      <c r="B473" s="6"/>
      <c r="C473" s="6"/>
      <c r="D473" s="6"/>
      <c r="E473" s="6"/>
      <c r="F473" s="6"/>
      <c r="G473" s="6"/>
      <c r="H473" s="6"/>
      <c r="I473" s="6"/>
      <c r="J473" s="6"/>
      <c r="K473" s="6"/>
      <c r="L473" s="6"/>
      <c r="M473" s="6"/>
      <c r="N473" s="6"/>
      <c r="O473" s="6"/>
    </row>
    <row r="474" spans="1:15" ht="15.6">
      <c r="A474" s="560"/>
      <c r="B474" s="6"/>
      <c r="C474" s="6"/>
      <c r="D474" s="6"/>
      <c r="E474" s="6"/>
      <c r="F474" s="6"/>
      <c r="G474" s="6"/>
      <c r="H474" s="6"/>
      <c r="I474" s="6"/>
      <c r="J474" s="6"/>
      <c r="K474" s="6"/>
      <c r="L474" s="6"/>
      <c r="M474" s="6"/>
      <c r="N474" s="6"/>
      <c r="O474" s="6"/>
    </row>
    <row r="475" spans="1:15" ht="15.6">
      <c r="A475" s="560"/>
      <c r="B475" s="6"/>
      <c r="C475" s="6"/>
      <c r="D475" s="6"/>
      <c r="E475" s="6"/>
      <c r="F475" s="6"/>
      <c r="G475" s="6"/>
      <c r="H475" s="6"/>
      <c r="I475" s="6"/>
      <c r="J475" s="6"/>
      <c r="K475" s="6"/>
      <c r="L475" s="6"/>
      <c r="M475" s="6"/>
      <c r="N475" s="6"/>
      <c r="O475" s="6"/>
    </row>
    <row r="476" spans="1:15" ht="15.6">
      <c r="A476" s="560"/>
      <c r="B476" s="6"/>
      <c r="C476" s="6"/>
      <c r="D476" s="6"/>
      <c r="E476" s="6"/>
      <c r="F476" s="6"/>
      <c r="G476" s="6"/>
      <c r="H476" s="6"/>
      <c r="I476" s="6"/>
      <c r="J476" s="6"/>
      <c r="K476" s="6"/>
      <c r="L476" s="6"/>
      <c r="M476" s="6"/>
      <c r="N476" s="6"/>
      <c r="O476" s="6"/>
    </row>
    <row r="477" spans="1:15" ht="15.6">
      <c r="A477" s="560"/>
      <c r="B477" s="6"/>
      <c r="C477" s="6"/>
      <c r="D477" s="6"/>
      <c r="E477" s="6"/>
      <c r="F477" s="6"/>
      <c r="G477" s="6"/>
      <c r="H477" s="6"/>
      <c r="I477" s="6"/>
      <c r="J477" s="6"/>
      <c r="K477" s="6"/>
      <c r="L477" s="6"/>
      <c r="M477" s="6"/>
      <c r="N477" s="6"/>
      <c r="O477" s="6"/>
    </row>
    <row r="478" spans="1:15" ht="15.6">
      <c r="A478" s="560"/>
      <c r="B478" s="6"/>
      <c r="C478" s="6"/>
      <c r="D478" s="6"/>
      <c r="E478" s="6"/>
      <c r="F478" s="6"/>
      <c r="G478" s="6"/>
      <c r="H478" s="6"/>
      <c r="I478" s="6"/>
      <c r="J478" s="6"/>
      <c r="K478" s="6"/>
      <c r="L478" s="6"/>
      <c r="M478" s="6"/>
      <c r="N478" s="6"/>
      <c r="O478" s="6"/>
    </row>
    <row r="479" spans="1:15" ht="15.6">
      <c r="A479" s="560"/>
      <c r="B479" s="6"/>
      <c r="C479" s="6"/>
      <c r="D479" s="6"/>
      <c r="E479" s="6"/>
      <c r="F479" s="6"/>
      <c r="G479" s="6"/>
      <c r="H479" s="6"/>
      <c r="I479" s="6"/>
      <c r="J479" s="6"/>
      <c r="K479" s="6"/>
      <c r="L479" s="6"/>
      <c r="M479" s="6"/>
      <c r="N479" s="6"/>
      <c r="O479" s="6"/>
    </row>
    <row r="480" spans="1:15" ht="15.6">
      <c r="A480" s="560"/>
      <c r="B480" s="6"/>
      <c r="C480" s="6"/>
      <c r="D480" s="6"/>
      <c r="E480" s="6"/>
      <c r="F480" s="6"/>
      <c r="G480" s="6"/>
      <c r="H480" s="6"/>
      <c r="I480" s="6"/>
      <c r="J480" s="6"/>
      <c r="K480" s="6"/>
      <c r="L480" s="6"/>
      <c r="M480" s="6"/>
      <c r="N480" s="6"/>
      <c r="O480" s="6"/>
    </row>
    <row r="481" spans="1:15" ht="15.6">
      <c r="A481" s="560"/>
      <c r="B481" s="6"/>
      <c r="C481" s="6"/>
      <c r="D481" s="6"/>
      <c r="E481" s="6"/>
      <c r="F481" s="6"/>
      <c r="G481" s="6"/>
      <c r="H481" s="6"/>
      <c r="I481" s="6"/>
      <c r="J481" s="6"/>
      <c r="K481" s="6"/>
      <c r="L481" s="6"/>
      <c r="M481" s="6"/>
      <c r="N481" s="6"/>
      <c r="O481" s="6"/>
    </row>
    <row r="482" spans="1:15" ht="15.6">
      <c r="A482" s="560"/>
      <c r="B482" s="6"/>
      <c r="C482" s="6"/>
      <c r="D482" s="6"/>
      <c r="E482" s="6"/>
      <c r="F482" s="6"/>
      <c r="G482" s="6"/>
      <c r="H482" s="6"/>
      <c r="I482" s="6"/>
      <c r="J482" s="6"/>
      <c r="K482" s="6"/>
      <c r="L482" s="6"/>
      <c r="M482" s="6"/>
      <c r="N482" s="6"/>
      <c r="O482" s="6"/>
    </row>
    <row r="483" spans="1:15" ht="15.6">
      <c r="A483" s="560"/>
      <c r="B483" s="6"/>
      <c r="C483" s="6"/>
      <c r="D483" s="6"/>
      <c r="E483" s="6"/>
      <c r="F483" s="6"/>
      <c r="G483" s="6"/>
      <c r="H483" s="6"/>
      <c r="I483" s="6"/>
      <c r="J483" s="6"/>
      <c r="K483" s="6"/>
      <c r="L483" s="6"/>
      <c r="M483" s="6"/>
      <c r="N483" s="6"/>
      <c r="O483" s="6"/>
    </row>
    <row r="484" spans="1:15" ht="15.6">
      <c r="A484" s="560"/>
      <c r="B484" s="6"/>
      <c r="C484" s="6"/>
      <c r="D484" s="6"/>
      <c r="E484" s="6"/>
      <c r="F484" s="6"/>
      <c r="G484" s="6"/>
      <c r="H484" s="6"/>
      <c r="I484" s="6"/>
      <c r="J484" s="6"/>
      <c r="K484" s="6"/>
      <c r="L484" s="6"/>
      <c r="M484" s="6"/>
      <c r="N484" s="6"/>
      <c r="O484" s="6"/>
    </row>
    <row r="485" spans="1:15" ht="15.6">
      <c r="A485" s="560"/>
      <c r="B485" s="6"/>
      <c r="C485" s="6"/>
      <c r="D485" s="6"/>
      <c r="E485" s="6"/>
      <c r="F485" s="6"/>
      <c r="G485" s="6"/>
      <c r="H485" s="6"/>
      <c r="I485" s="6"/>
      <c r="J485" s="6"/>
      <c r="K485" s="6"/>
      <c r="L485" s="6"/>
      <c r="M485" s="6"/>
      <c r="N485" s="6"/>
      <c r="O485" s="6"/>
    </row>
    <row r="486" spans="1:15" ht="15.6">
      <c r="A486" s="560"/>
      <c r="B486" s="6"/>
      <c r="C486" s="6"/>
      <c r="D486" s="6"/>
      <c r="E486" s="6"/>
      <c r="F486" s="6"/>
      <c r="G486" s="6"/>
      <c r="H486" s="6"/>
      <c r="I486" s="6"/>
      <c r="J486" s="6"/>
      <c r="K486" s="6"/>
      <c r="L486" s="6"/>
      <c r="M486" s="6"/>
      <c r="N486" s="6"/>
      <c r="O486" s="6"/>
    </row>
    <row r="487" spans="1:15" ht="15.6">
      <c r="A487" s="560"/>
      <c r="B487" s="6"/>
      <c r="C487" s="6"/>
      <c r="D487" s="6"/>
      <c r="E487" s="6"/>
      <c r="F487" s="6"/>
      <c r="G487" s="6"/>
      <c r="H487" s="6"/>
      <c r="I487" s="6"/>
      <c r="J487" s="6"/>
      <c r="K487" s="6"/>
      <c r="L487" s="6"/>
      <c r="M487" s="6"/>
      <c r="N487" s="6"/>
      <c r="O487" s="6"/>
    </row>
    <row r="488" spans="1:15" ht="15.6">
      <c r="A488" s="560"/>
      <c r="B488" s="6"/>
      <c r="C488" s="6"/>
      <c r="D488" s="6"/>
      <c r="E488" s="6"/>
      <c r="F488" s="6"/>
      <c r="G488" s="6"/>
      <c r="H488" s="6"/>
      <c r="I488" s="6"/>
      <c r="J488" s="6"/>
      <c r="K488" s="6"/>
      <c r="L488" s="6"/>
      <c r="M488" s="6"/>
      <c r="N488" s="6"/>
      <c r="O488" s="6"/>
    </row>
    <row r="489" spans="1:15" ht="15.6">
      <c r="A489" s="560"/>
      <c r="B489" s="6"/>
      <c r="C489" s="6"/>
      <c r="D489" s="6"/>
      <c r="E489" s="6"/>
      <c r="F489" s="6"/>
      <c r="G489" s="6"/>
      <c r="H489" s="6"/>
      <c r="I489" s="6"/>
      <c r="J489" s="6"/>
      <c r="K489" s="6"/>
      <c r="L489" s="6"/>
      <c r="M489" s="6"/>
      <c r="N489" s="6"/>
      <c r="O489" s="6"/>
    </row>
    <row r="490" spans="1:15" ht="15.6">
      <c r="A490" s="560"/>
      <c r="B490" s="6"/>
      <c r="C490" s="6"/>
      <c r="D490" s="6"/>
      <c r="E490" s="6"/>
      <c r="F490" s="6"/>
      <c r="G490" s="6"/>
      <c r="H490" s="6"/>
      <c r="I490" s="6"/>
      <c r="J490" s="6"/>
      <c r="K490" s="6"/>
      <c r="L490" s="6"/>
      <c r="M490" s="6"/>
      <c r="N490" s="6"/>
      <c r="O490" s="6"/>
    </row>
    <row r="491" spans="1:15" ht="15.6">
      <c r="A491" s="560"/>
      <c r="B491" s="6"/>
      <c r="C491" s="6"/>
      <c r="D491" s="6"/>
      <c r="E491" s="6"/>
      <c r="F491" s="6"/>
      <c r="G491" s="6"/>
      <c r="H491" s="6"/>
      <c r="I491" s="6"/>
      <c r="J491" s="6"/>
      <c r="K491" s="6"/>
      <c r="L491" s="6"/>
      <c r="M491" s="6"/>
      <c r="N491" s="6"/>
      <c r="O491" s="6"/>
    </row>
    <row r="492" spans="1:15" ht="15.6">
      <c r="A492" s="560"/>
      <c r="B492" s="6"/>
      <c r="C492" s="6"/>
      <c r="D492" s="6"/>
      <c r="E492" s="6"/>
      <c r="F492" s="6"/>
      <c r="G492" s="6"/>
      <c r="H492" s="6"/>
      <c r="I492" s="6"/>
      <c r="J492" s="6"/>
      <c r="K492" s="6"/>
      <c r="L492" s="6"/>
      <c r="M492" s="6"/>
      <c r="N492" s="6"/>
      <c r="O492" s="6"/>
    </row>
    <row r="493" spans="1:15" ht="15.6">
      <c r="A493" s="560"/>
      <c r="B493" s="6"/>
      <c r="C493" s="6"/>
      <c r="D493" s="6"/>
      <c r="E493" s="6"/>
      <c r="F493" s="6"/>
      <c r="G493" s="6"/>
      <c r="H493" s="6"/>
      <c r="I493" s="6"/>
      <c r="J493" s="6"/>
      <c r="K493" s="6"/>
      <c r="L493" s="6"/>
      <c r="M493" s="6"/>
      <c r="N493" s="6"/>
      <c r="O493" s="6"/>
    </row>
    <row r="494" spans="1:15" ht="15.6">
      <c r="A494" s="560"/>
      <c r="B494" s="6"/>
      <c r="C494" s="6"/>
      <c r="D494" s="6"/>
      <c r="E494" s="6"/>
      <c r="F494" s="6"/>
      <c r="G494" s="6"/>
      <c r="H494" s="6"/>
      <c r="I494" s="6"/>
      <c r="J494" s="6"/>
      <c r="K494" s="6"/>
      <c r="L494" s="6"/>
      <c r="M494" s="6"/>
      <c r="N494" s="6"/>
      <c r="O494" s="6"/>
    </row>
    <row r="495" spans="1:15" ht="15.6">
      <c r="A495" s="560"/>
      <c r="B495" s="6"/>
      <c r="C495" s="6"/>
      <c r="D495" s="6"/>
      <c r="E495" s="6"/>
      <c r="F495" s="6"/>
      <c r="G495" s="6"/>
      <c r="H495" s="6"/>
      <c r="I495" s="6"/>
      <c r="J495" s="6"/>
      <c r="K495" s="6"/>
      <c r="L495" s="6"/>
      <c r="M495" s="6"/>
      <c r="N495" s="6"/>
      <c r="O495" s="6"/>
    </row>
    <row r="496" spans="1:15" ht="15.6">
      <c r="A496" s="560"/>
      <c r="B496" s="6"/>
      <c r="C496" s="6"/>
      <c r="D496" s="6"/>
      <c r="E496" s="6"/>
      <c r="F496" s="6"/>
      <c r="G496" s="6"/>
      <c r="H496" s="6"/>
      <c r="I496" s="6"/>
      <c r="J496" s="6"/>
      <c r="K496" s="6"/>
      <c r="L496" s="6"/>
      <c r="M496" s="6"/>
      <c r="N496" s="6"/>
      <c r="O496" s="6"/>
    </row>
    <row r="497" spans="1:15" ht="15.6">
      <c r="A497" s="560"/>
      <c r="B497" s="6"/>
      <c r="C497" s="6"/>
      <c r="D497" s="6"/>
      <c r="E497" s="6"/>
      <c r="F497" s="6"/>
      <c r="G497" s="6"/>
      <c r="H497" s="6"/>
      <c r="I497" s="6"/>
      <c r="J497" s="6"/>
      <c r="K497" s="6"/>
      <c r="L497" s="6"/>
      <c r="M497" s="6"/>
      <c r="N497" s="6"/>
      <c r="O497" s="6"/>
    </row>
    <row r="498" spans="1:15" ht="15.6">
      <c r="A498" s="560"/>
      <c r="B498" s="6"/>
      <c r="C498" s="6"/>
      <c r="D498" s="6"/>
      <c r="E498" s="6"/>
      <c r="F498" s="6"/>
      <c r="G498" s="6"/>
      <c r="H498" s="6"/>
      <c r="I498" s="6"/>
      <c r="J498" s="6"/>
      <c r="K498" s="6"/>
      <c r="L498" s="6"/>
      <c r="M498" s="6"/>
      <c r="N498" s="6"/>
      <c r="O498" s="6"/>
    </row>
    <row r="499" spans="1:15" ht="15.6">
      <c r="A499" s="560"/>
      <c r="B499" s="6"/>
      <c r="C499" s="6"/>
      <c r="D499" s="6"/>
      <c r="E499" s="6"/>
      <c r="F499" s="6"/>
      <c r="G499" s="6"/>
      <c r="H499" s="6"/>
      <c r="I499" s="6"/>
      <c r="J499" s="6"/>
      <c r="K499" s="6"/>
      <c r="L499" s="6"/>
      <c r="M499" s="6"/>
      <c r="N499" s="6"/>
      <c r="O499" s="6"/>
    </row>
    <row r="500" spans="1:15" ht="15.6">
      <c r="A500" s="560"/>
      <c r="B500" s="6"/>
      <c r="C500" s="6"/>
      <c r="D500" s="6"/>
      <c r="E500" s="6"/>
      <c r="F500" s="6"/>
      <c r="G500" s="6"/>
      <c r="H500" s="6"/>
      <c r="I500" s="6"/>
      <c r="J500" s="6"/>
      <c r="K500" s="6"/>
      <c r="L500" s="6"/>
      <c r="M500" s="6"/>
      <c r="N500" s="6"/>
      <c r="O500" s="6"/>
    </row>
    <row r="501" spans="1:15" ht="15.6">
      <c r="A501" s="560"/>
      <c r="B501" s="6"/>
      <c r="C501" s="6"/>
      <c r="D501" s="6"/>
      <c r="E501" s="6"/>
      <c r="F501" s="6"/>
      <c r="G501" s="6"/>
      <c r="H501" s="6"/>
      <c r="I501" s="6"/>
      <c r="J501" s="6"/>
      <c r="K501" s="6"/>
      <c r="L501" s="6"/>
      <c r="M501" s="6"/>
      <c r="N501" s="6"/>
      <c r="O501" s="6"/>
    </row>
    <row r="502" spans="1:15" ht="15.6">
      <c r="A502" s="560"/>
      <c r="B502" s="6"/>
      <c r="C502" s="6"/>
      <c r="D502" s="6"/>
      <c r="E502" s="6"/>
      <c r="F502" s="6"/>
      <c r="G502" s="6"/>
      <c r="H502" s="6"/>
      <c r="I502" s="6"/>
      <c r="J502" s="6"/>
      <c r="K502" s="6"/>
      <c r="L502" s="6"/>
      <c r="M502" s="6"/>
      <c r="N502" s="6"/>
      <c r="O502" s="6"/>
    </row>
    <row r="503" spans="1:15" ht="15.6">
      <c r="A503" s="560"/>
      <c r="B503" s="6"/>
      <c r="C503" s="6"/>
      <c r="D503" s="6"/>
      <c r="E503" s="6"/>
      <c r="F503" s="6"/>
      <c r="G503" s="6"/>
      <c r="H503" s="6"/>
      <c r="I503" s="6"/>
      <c r="J503" s="6"/>
      <c r="K503" s="6"/>
      <c r="L503" s="6"/>
      <c r="M503" s="6"/>
      <c r="N503" s="6"/>
      <c r="O503" s="6"/>
    </row>
    <row r="504" spans="1:15" ht="15.6">
      <c r="A504" s="560"/>
      <c r="B504" s="6"/>
      <c r="C504" s="6"/>
      <c r="D504" s="6"/>
      <c r="E504" s="6"/>
      <c r="F504" s="6"/>
      <c r="G504" s="6"/>
      <c r="H504" s="6"/>
      <c r="I504" s="6"/>
      <c r="J504" s="6"/>
      <c r="K504" s="6"/>
      <c r="L504" s="6"/>
      <c r="M504" s="6"/>
      <c r="N504" s="6"/>
      <c r="O504" s="6"/>
    </row>
    <row r="505" spans="1:15" ht="15.6">
      <c r="A505" s="560"/>
      <c r="B505" s="6"/>
      <c r="C505" s="6"/>
      <c r="D505" s="6"/>
      <c r="E505" s="6"/>
      <c r="F505" s="6"/>
      <c r="G505" s="6"/>
      <c r="H505" s="6"/>
      <c r="I505" s="6"/>
      <c r="J505" s="6"/>
      <c r="K505" s="6"/>
      <c r="L505" s="6"/>
      <c r="M505" s="6"/>
      <c r="N505" s="6"/>
      <c r="O505" s="6"/>
    </row>
    <row r="506" spans="1:15" ht="15.6">
      <c r="A506" s="560"/>
      <c r="B506" s="6"/>
      <c r="C506" s="6"/>
      <c r="D506" s="6"/>
      <c r="E506" s="6"/>
      <c r="F506" s="6"/>
      <c r="G506" s="6"/>
      <c r="H506" s="6"/>
      <c r="I506" s="6"/>
      <c r="J506" s="6"/>
      <c r="K506" s="6"/>
      <c r="L506" s="6"/>
      <c r="M506" s="6"/>
      <c r="N506" s="6"/>
      <c r="O506" s="6"/>
    </row>
    <row r="507" spans="1:15" ht="15.6">
      <c r="A507" s="560"/>
      <c r="B507" s="6"/>
      <c r="C507" s="6"/>
      <c r="D507" s="6"/>
      <c r="E507" s="6"/>
      <c r="F507" s="6"/>
      <c r="G507" s="6"/>
      <c r="H507" s="6"/>
      <c r="I507" s="6"/>
      <c r="J507" s="6"/>
      <c r="K507" s="6"/>
      <c r="L507" s="6"/>
      <c r="M507" s="6"/>
      <c r="N507" s="6"/>
      <c r="O507" s="6"/>
    </row>
    <row r="508" spans="1:15" ht="15.6">
      <c r="A508" s="560"/>
      <c r="B508" s="6"/>
      <c r="C508" s="6"/>
      <c r="D508" s="6"/>
      <c r="E508" s="6"/>
      <c r="F508" s="6"/>
      <c r="G508" s="6"/>
      <c r="H508" s="6"/>
      <c r="I508" s="6"/>
      <c r="J508" s="6"/>
      <c r="K508" s="6"/>
      <c r="L508" s="6"/>
      <c r="M508" s="6"/>
      <c r="N508" s="6"/>
      <c r="O508" s="6"/>
    </row>
    <row r="509" spans="1:15" ht="15.6">
      <c r="A509" s="560"/>
      <c r="B509" s="6"/>
      <c r="C509" s="6"/>
      <c r="D509" s="6"/>
      <c r="E509" s="6"/>
      <c r="F509" s="6"/>
      <c r="G509" s="6"/>
      <c r="H509" s="6"/>
      <c r="I509" s="6"/>
      <c r="J509" s="6"/>
      <c r="K509" s="6"/>
      <c r="L509" s="6"/>
      <c r="M509" s="6"/>
      <c r="N509" s="6"/>
      <c r="O509" s="6"/>
    </row>
    <row r="510" spans="1:15" ht="15.6">
      <c r="A510" s="560"/>
      <c r="B510" s="6"/>
      <c r="C510" s="6"/>
      <c r="D510" s="6"/>
      <c r="E510" s="6"/>
      <c r="F510" s="6"/>
      <c r="G510" s="6"/>
      <c r="H510" s="6"/>
      <c r="I510" s="6"/>
      <c r="J510" s="6"/>
      <c r="K510" s="6"/>
      <c r="L510" s="6"/>
      <c r="M510" s="6"/>
      <c r="N510" s="6"/>
      <c r="O510" s="6"/>
    </row>
    <row r="511" spans="1:15" ht="15.6">
      <c r="A511" s="560"/>
      <c r="B511" s="6"/>
      <c r="C511" s="6"/>
      <c r="D511" s="6"/>
      <c r="E511" s="6"/>
      <c r="F511" s="6"/>
      <c r="G511" s="6"/>
      <c r="H511" s="6"/>
      <c r="I511" s="6"/>
      <c r="J511" s="6"/>
      <c r="K511" s="6"/>
      <c r="L511" s="6"/>
      <c r="M511" s="6"/>
      <c r="N511" s="6"/>
      <c r="O511" s="6"/>
    </row>
    <row r="512" spans="1:15" ht="15.6">
      <c r="A512" s="560"/>
      <c r="B512" s="6"/>
      <c r="C512" s="6"/>
      <c r="D512" s="6"/>
      <c r="E512" s="6"/>
      <c r="F512" s="6"/>
      <c r="G512" s="6"/>
      <c r="H512" s="6"/>
      <c r="I512" s="6"/>
      <c r="J512" s="6"/>
      <c r="K512" s="6"/>
      <c r="L512" s="6"/>
      <c r="M512" s="6"/>
      <c r="N512" s="6"/>
      <c r="O512" s="6"/>
    </row>
    <row r="513" spans="1:15" ht="15.6">
      <c r="A513" s="560"/>
      <c r="B513" s="6"/>
      <c r="C513" s="6"/>
      <c r="D513" s="6"/>
      <c r="E513" s="6"/>
      <c r="F513" s="6"/>
      <c r="G513" s="6"/>
      <c r="H513" s="6"/>
      <c r="I513" s="6"/>
      <c r="J513" s="6"/>
      <c r="K513" s="6"/>
      <c r="L513" s="6"/>
      <c r="M513" s="6"/>
      <c r="N513" s="6"/>
      <c r="O513" s="6"/>
    </row>
    <row r="514" spans="1:15" ht="15.6">
      <c r="A514" s="560"/>
      <c r="B514" s="6"/>
      <c r="C514" s="6"/>
      <c r="D514" s="6"/>
      <c r="E514" s="6"/>
      <c r="F514" s="6"/>
      <c r="G514" s="6"/>
      <c r="H514" s="6"/>
      <c r="I514" s="6"/>
      <c r="J514" s="6"/>
      <c r="K514" s="6"/>
      <c r="L514" s="6"/>
      <c r="M514" s="6"/>
      <c r="N514" s="6"/>
      <c r="O514" s="6"/>
    </row>
    <row r="515" spans="1:15" ht="15.6">
      <c r="A515" s="560"/>
      <c r="B515" s="6"/>
      <c r="C515" s="6"/>
      <c r="D515" s="6"/>
      <c r="E515" s="6"/>
      <c r="F515" s="6"/>
      <c r="G515" s="6"/>
      <c r="H515" s="6"/>
      <c r="I515" s="6"/>
      <c r="J515" s="6"/>
      <c r="K515" s="6"/>
      <c r="L515" s="6"/>
      <c r="M515" s="6"/>
      <c r="N515" s="6"/>
      <c r="O515" s="6"/>
    </row>
    <row r="516" spans="1:15" ht="15.6">
      <c r="A516" s="560"/>
      <c r="B516" s="6"/>
      <c r="C516" s="6"/>
      <c r="D516" s="6"/>
      <c r="E516" s="6"/>
      <c r="F516" s="6"/>
      <c r="G516" s="6"/>
      <c r="H516" s="6"/>
      <c r="I516" s="6"/>
      <c r="J516" s="6"/>
      <c r="K516" s="6"/>
      <c r="L516" s="6"/>
      <c r="M516" s="6"/>
      <c r="N516" s="6"/>
      <c r="O516" s="6"/>
    </row>
    <row r="517" spans="1:15" ht="15.6">
      <c r="A517" s="560"/>
      <c r="B517" s="6"/>
      <c r="C517" s="6"/>
      <c r="D517" s="6"/>
      <c r="E517" s="6"/>
      <c r="F517" s="6"/>
      <c r="G517" s="6"/>
      <c r="H517" s="6"/>
      <c r="I517" s="6"/>
      <c r="J517" s="6"/>
      <c r="K517" s="6"/>
      <c r="L517" s="6"/>
      <c r="M517" s="6"/>
      <c r="N517" s="6"/>
      <c r="O517" s="6"/>
    </row>
    <row r="518" spans="1:15" ht="15.6">
      <c r="A518" s="560"/>
      <c r="B518" s="6"/>
      <c r="C518" s="6"/>
      <c r="D518" s="6"/>
      <c r="E518" s="6"/>
      <c r="F518" s="6"/>
      <c r="G518" s="6"/>
      <c r="H518" s="6"/>
      <c r="I518" s="6"/>
      <c r="J518" s="6"/>
      <c r="K518" s="6"/>
      <c r="L518" s="6"/>
      <c r="M518" s="6"/>
      <c r="N518" s="6"/>
      <c r="O518" s="6"/>
    </row>
    <row r="519" spans="1:15" ht="15.6">
      <c r="A519" s="560"/>
      <c r="B519" s="6"/>
      <c r="C519" s="6"/>
      <c r="D519" s="6"/>
      <c r="E519" s="6"/>
      <c r="F519" s="6"/>
      <c r="G519" s="6"/>
      <c r="H519" s="6"/>
      <c r="I519" s="6"/>
      <c r="J519" s="6"/>
      <c r="K519" s="6"/>
      <c r="L519" s="6"/>
      <c r="M519" s="6"/>
      <c r="N519" s="6"/>
      <c r="O519" s="6"/>
    </row>
    <row r="520" spans="1:15" ht="15.6">
      <c r="A520" s="560"/>
      <c r="B520" s="6"/>
      <c r="C520" s="6"/>
      <c r="D520" s="6"/>
      <c r="E520" s="6"/>
      <c r="F520" s="6"/>
      <c r="G520" s="6"/>
      <c r="H520" s="6"/>
      <c r="I520" s="6"/>
      <c r="J520" s="6"/>
      <c r="K520" s="6"/>
      <c r="L520" s="6"/>
      <c r="M520" s="6"/>
      <c r="N520" s="6"/>
      <c r="O520" s="6"/>
    </row>
    <row r="521" spans="1:15" ht="15.6">
      <c r="A521" s="560"/>
      <c r="B521" s="6"/>
      <c r="C521" s="6"/>
      <c r="D521" s="6"/>
      <c r="E521" s="6"/>
      <c r="F521" s="6"/>
      <c r="G521" s="6"/>
      <c r="H521" s="6"/>
      <c r="I521" s="6"/>
      <c r="J521" s="6"/>
      <c r="K521" s="6"/>
      <c r="L521" s="6"/>
      <c r="M521" s="6"/>
      <c r="N521" s="6"/>
      <c r="O521" s="6"/>
    </row>
    <row r="522" spans="1:15" ht="15.6">
      <c r="A522" s="560"/>
      <c r="B522" s="6"/>
      <c r="C522" s="6"/>
      <c r="D522" s="6"/>
      <c r="E522" s="6"/>
      <c r="F522" s="6"/>
      <c r="G522" s="6"/>
      <c r="H522" s="6"/>
      <c r="I522" s="6"/>
      <c r="J522" s="6"/>
      <c r="K522" s="6"/>
      <c r="L522" s="6"/>
      <c r="M522" s="6"/>
      <c r="N522" s="6"/>
      <c r="O522" s="6"/>
    </row>
    <row r="523" spans="1:15" ht="15.6">
      <c r="A523" s="560"/>
      <c r="B523" s="6"/>
      <c r="C523" s="6"/>
      <c r="D523" s="6"/>
      <c r="E523" s="6"/>
      <c r="F523" s="6"/>
      <c r="G523" s="6"/>
      <c r="H523" s="6"/>
      <c r="I523" s="6"/>
      <c r="J523" s="6"/>
      <c r="K523" s="6"/>
      <c r="L523" s="6"/>
      <c r="M523" s="6"/>
      <c r="N523" s="6"/>
      <c r="O523" s="6"/>
    </row>
    <row r="524" spans="1:15" ht="15.6">
      <c r="A524" s="560"/>
      <c r="B524" s="6"/>
      <c r="C524" s="6"/>
      <c r="D524" s="6"/>
      <c r="E524" s="6"/>
      <c r="F524" s="6"/>
      <c r="G524" s="6"/>
      <c r="H524" s="6"/>
      <c r="I524" s="6"/>
      <c r="J524" s="6"/>
      <c r="K524" s="6"/>
      <c r="L524" s="6"/>
      <c r="M524" s="6"/>
      <c r="N524" s="6"/>
      <c r="O524" s="6"/>
    </row>
    <row r="525" spans="1:15" ht="15.6">
      <c r="A525" s="560"/>
      <c r="B525" s="6"/>
      <c r="C525" s="6"/>
      <c r="D525" s="6"/>
      <c r="E525" s="6"/>
      <c r="F525" s="6"/>
      <c r="G525" s="6"/>
      <c r="H525" s="6"/>
      <c r="I525" s="6"/>
      <c r="J525" s="6"/>
      <c r="K525" s="6"/>
      <c r="L525" s="6"/>
      <c r="M525" s="6"/>
      <c r="N525" s="6"/>
      <c r="O525" s="6"/>
    </row>
    <row r="526" spans="1:15" ht="15.6">
      <c r="A526" s="560"/>
      <c r="B526" s="6"/>
      <c r="C526" s="6"/>
      <c r="D526" s="6"/>
      <c r="E526" s="6"/>
      <c r="F526" s="6"/>
      <c r="G526" s="6"/>
      <c r="H526" s="6"/>
      <c r="I526" s="6"/>
      <c r="J526" s="6"/>
      <c r="K526" s="6"/>
      <c r="L526" s="6"/>
      <c r="M526" s="6"/>
      <c r="N526" s="6"/>
      <c r="O526" s="6"/>
    </row>
    <row r="527" spans="1:15" ht="15.6">
      <c r="A527" s="560"/>
      <c r="B527" s="6"/>
      <c r="C527" s="6"/>
      <c r="D527" s="6"/>
      <c r="E527" s="6"/>
      <c r="F527" s="6"/>
      <c r="G527" s="6"/>
      <c r="H527" s="6"/>
      <c r="I527" s="6"/>
      <c r="J527" s="6"/>
      <c r="K527" s="6"/>
      <c r="L527" s="6"/>
      <c r="M527" s="6"/>
      <c r="N527" s="6"/>
      <c r="O527" s="6"/>
    </row>
    <row r="528" spans="1:15" ht="15.6">
      <c r="A528" s="560"/>
      <c r="B528" s="6"/>
      <c r="C528" s="6"/>
      <c r="D528" s="6"/>
      <c r="E528" s="6"/>
      <c r="F528" s="6"/>
      <c r="G528" s="6"/>
      <c r="H528" s="6"/>
      <c r="I528" s="6"/>
      <c r="J528" s="6"/>
      <c r="K528" s="6"/>
      <c r="L528" s="6"/>
      <c r="M528" s="6"/>
      <c r="N528" s="6"/>
      <c r="O528" s="6"/>
    </row>
    <row r="529" spans="1:15" ht="15.6">
      <c r="A529" s="560"/>
      <c r="B529" s="6"/>
      <c r="C529" s="6"/>
      <c r="D529" s="6"/>
      <c r="E529" s="6"/>
      <c r="F529" s="6"/>
      <c r="G529" s="6"/>
      <c r="H529" s="6"/>
      <c r="I529" s="6"/>
      <c r="J529" s="6"/>
      <c r="K529" s="6"/>
      <c r="L529" s="6"/>
      <c r="M529" s="6"/>
      <c r="N529" s="6"/>
      <c r="O529" s="6"/>
    </row>
    <row r="530" spans="1:15" ht="15.6">
      <c r="A530" s="560"/>
      <c r="B530" s="6"/>
      <c r="C530" s="6"/>
      <c r="D530" s="6"/>
      <c r="E530" s="6"/>
      <c r="F530" s="6"/>
      <c r="G530" s="6"/>
      <c r="H530" s="6"/>
      <c r="I530" s="6"/>
      <c r="J530" s="6"/>
      <c r="K530" s="6"/>
      <c r="L530" s="6"/>
      <c r="M530" s="6"/>
      <c r="N530" s="6"/>
      <c r="O530" s="6"/>
    </row>
    <row r="531" spans="1:15" ht="15.6">
      <c r="A531" s="560"/>
      <c r="B531" s="6"/>
      <c r="C531" s="6"/>
      <c r="D531" s="6"/>
      <c r="E531" s="6"/>
      <c r="F531" s="6"/>
      <c r="G531" s="6"/>
      <c r="H531" s="6"/>
      <c r="I531" s="6"/>
      <c r="J531" s="6"/>
      <c r="K531" s="6"/>
      <c r="L531" s="6"/>
      <c r="M531" s="6"/>
      <c r="N531" s="6"/>
      <c r="O531" s="6"/>
    </row>
    <row r="532" spans="1:15" ht="15.6">
      <c r="A532" s="560"/>
      <c r="B532" s="6"/>
      <c r="C532" s="6"/>
      <c r="D532" s="6"/>
      <c r="E532" s="6"/>
      <c r="F532" s="6"/>
      <c r="G532" s="6"/>
      <c r="H532" s="6"/>
      <c r="I532" s="6"/>
      <c r="J532" s="6"/>
      <c r="K532" s="6"/>
      <c r="L532" s="6"/>
      <c r="M532" s="6"/>
      <c r="N532" s="6"/>
      <c r="O532" s="6"/>
    </row>
    <row r="533" spans="1:15" ht="15.6">
      <c r="A533" s="560"/>
      <c r="B533" s="6"/>
      <c r="C533" s="6"/>
      <c r="D533" s="6"/>
      <c r="E533" s="6"/>
      <c r="F533" s="6"/>
      <c r="G533" s="6"/>
      <c r="H533" s="6"/>
      <c r="I533" s="6"/>
      <c r="J533" s="6"/>
      <c r="K533" s="6"/>
      <c r="L533" s="6"/>
      <c r="M533" s="6"/>
      <c r="N533" s="6"/>
      <c r="O533" s="6"/>
    </row>
    <row r="534" spans="1:15" ht="15.6">
      <c r="A534" s="560"/>
      <c r="B534" s="6"/>
      <c r="C534" s="6"/>
      <c r="D534" s="6"/>
      <c r="E534" s="6"/>
      <c r="F534" s="6"/>
      <c r="G534" s="6"/>
      <c r="H534" s="6"/>
      <c r="I534" s="6"/>
      <c r="J534" s="6"/>
      <c r="K534" s="6"/>
      <c r="L534" s="6"/>
      <c r="M534" s="6"/>
      <c r="N534" s="6"/>
      <c r="O534" s="6"/>
    </row>
    <row r="535" spans="1:15" ht="15.6">
      <c r="A535" s="560"/>
      <c r="B535" s="6"/>
      <c r="C535" s="6"/>
      <c r="D535" s="6"/>
      <c r="E535" s="6"/>
      <c r="F535" s="6"/>
      <c r="G535" s="6"/>
      <c r="H535" s="6"/>
      <c r="I535" s="6"/>
      <c r="J535" s="6"/>
      <c r="K535" s="6"/>
      <c r="L535" s="6"/>
      <c r="M535" s="6"/>
      <c r="N535" s="6"/>
      <c r="O535" s="6"/>
    </row>
    <row r="536" spans="1:15" ht="15.6">
      <c r="A536" s="560"/>
      <c r="B536" s="6"/>
      <c r="C536" s="6"/>
      <c r="D536" s="6"/>
      <c r="E536" s="6"/>
      <c r="F536" s="6"/>
      <c r="G536" s="6"/>
      <c r="H536" s="6"/>
      <c r="I536" s="6"/>
      <c r="J536" s="6"/>
      <c r="K536" s="6"/>
      <c r="L536" s="6"/>
      <c r="M536" s="6"/>
      <c r="N536" s="6"/>
      <c r="O536" s="6"/>
    </row>
    <row r="537" spans="1:15" ht="15.6">
      <c r="A537" s="560"/>
      <c r="B537" s="6"/>
      <c r="C537" s="6"/>
      <c r="D537" s="6"/>
      <c r="E537" s="6"/>
      <c r="F537" s="6"/>
      <c r="G537" s="6"/>
      <c r="H537" s="6"/>
      <c r="I537" s="6"/>
      <c r="J537" s="6"/>
      <c r="K537" s="6"/>
      <c r="L537" s="6"/>
      <c r="M537" s="6"/>
      <c r="N537" s="6"/>
      <c r="O537" s="6"/>
    </row>
    <row r="538" spans="1:15" ht="15.6">
      <c r="A538" s="560"/>
      <c r="B538" s="6"/>
      <c r="C538" s="6"/>
      <c r="D538" s="6"/>
      <c r="E538" s="6"/>
      <c r="F538" s="6"/>
      <c r="G538" s="6"/>
      <c r="H538" s="6"/>
      <c r="I538" s="6"/>
      <c r="J538" s="6"/>
      <c r="K538" s="6"/>
      <c r="L538" s="6"/>
      <c r="M538" s="6"/>
      <c r="N538" s="6"/>
      <c r="O538" s="6"/>
    </row>
    <row r="539" spans="1:15" ht="15.6">
      <c r="A539" s="560"/>
      <c r="B539" s="6"/>
      <c r="C539" s="6"/>
      <c r="D539" s="6"/>
      <c r="E539" s="6"/>
      <c r="F539" s="6"/>
      <c r="G539" s="6"/>
      <c r="H539" s="6"/>
      <c r="I539" s="6"/>
      <c r="J539" s="6"/>
      <c r="K539" s="6"/>
      <c r="L539" s="6"/>
      <c r="M539" s="6"/>
      <c r="N539" s="6"/>
      <c r="O539" s="6"/>
    </row>
    <row r="540" spans="1:15" ht="15.6">
      <c r="A540" s="560"/>
      <c r="B540" s="6"/>
      <c r="C540" s="6"/>
      <c r="D540" s="6"/>
      <c r="E540" s="6"/>
      <c r="F540" s="6"/>
      <c r="G540" s="6"/>
      <c r="H540" s="6"/>
      <c r="I540" s="6"/>
      <c r="J540" s="6"/>
      <c r="K540" s="6"/>
      <c r="L540" s="6"/>
      <c r="M540" s="6"/>
      <c r="N540" s="6"/>
      <c r="O540" s="6"/>
    </row>
    <row r="541" spans="1:15" ht="15.6">
      <c r="A541" s="560"/>
      <c r="B541" s="6"/>
      <c r="C541" s="6"/>
      <c r="D541" s="6"/>
      <c r="E541" s="6"/>
      <c r="F541" s="6"/>
      <c r="G541" s="6"/>
      <c r="H541" s="6"/>
      <c r="I541" s="6"/>
      <c r="J541" s="6"/>
      <c r="K541" s="6"/>
      <c r="L541" s="6"/>
      <c r="M541" s="6"/>
      <c r="N541" s="6"/>
      <c r="O541" s="6"/>
    </row>
    <row r="542" spans="1:15" ht="15.6">
      <c r="A542" s="560"/>
      <c r="B542" s="6"/>
      <c r="C542" s="6"/>
      <c r="D542" s="6"/>
      <c r="E542" s="6"/>
      <c r="F542" s="6"/>
      <c r="G542" s="6"/>
      <c r="H542" s="6"/>
      <c r="I542" s="6"/>
      <c r="J542" s="6"/>
      <c r="K542" s="6"/>
      <c r="L542" s="6"/>
      <c r="M542" s="6"/>
      <c r="N542" s="6"/>
      <c r="O542" s="6"/>
    </row>
    <row r="543" spans="1:15" ht="15.6">
      <c r="A543" s="560"/>
      <c r="B543" s="6"/>
      <c r="C543" s="6"/>
      <c r="D543" s="6"/>
      <c r="E543" s="6"/>
      <c r="F543" s="6"/>
      <c r="G543" s="6"/>
      <c r="H543" s="6"/>
      <c r="I543" s="6"/>
      <c r="J543" s="6"/>
      <c r="K543" s="6"/>
      <c r="L543" s="6"/>
      <c r="M543" s="6"/>
      <c r="N543" s="6"/>
      <c r="O543" s="6"/>
    </row>
    <row r="544" spans="1:15" ht="15.6">
      <c r="A544" s="560"/>
      <c r="B544" s="6"/>
      <c r="C544" s="6"/>
      <c r="D544" s="6"/>
      <c r="E544" s="6"/>
      <c r="F544" s="6"/>
      <c r="G544" s="6"/>
      <c r="H544" s="6"/>
      <c r="I544" s="6"/>
      <c r="J544" s="6"/>
      <c r="K544" s="6"/>
      <c r="L544" s="6"/>
      <c r="M544" s="6"/>
      <c r="N544" s="6"/>
      <c r="O544" s="6"/>
    </row>
    <row r="545" spans="1:15" ht="15.6">
      <c r="A545" s="560"/>
      <c r="B545" s="6"/>
      <c r="C545" s="6"/>
      <c r="D545" s="6"/>
      <c r="E545" s="6"/>
      <c r="F545" s="6"/>
      <c r="G545" s="6"/>
      <c r="H545" s="6"/>
      <c r="I545" s="6"/>
      <c r="J545" s="6"/>
      <c r="K545" s="6"/>
      <c r="L545" s="6"/>
      <c r="M545" s="6"/>
      <c r="N545" s="6"/>
      <c r="O545" s="6"/>
    </row>
    <row r="546" spans="1:15" ht="15.6">
      <c r="A546" s="560"/>
      <c r="B546" s="6"/>
      <c r="C546" s="6"/>
      <c r="D546" s="6"/>
      <c r="E546" s="6"/>
      <c r="F546" s="6"/>
      <c r="G546" s="6"/>
      <c r="H546" s="6"/>
      <c r="I546" s="6"/>
      <c r="J546" s="6"/>
      <c r="K546" s="6"/>
      <c r="L546" s="6"/>
      <c r="M546" s="6"/>
      <c r="N546" s="6"/>
      <c r="O546" s="6"/>
    </row>
    <row r="547" spans="1:15" ht="15.6">
      <c r="A547" s="560"/>
      <c r="B547" s="6"/>
      <c r="C547" s="6"/>
      <c r="D547" s="6"/>
      <c r="E547" s="6"/>
      <c r="F547" s="6"/>
      <c r="G547" s="6"/>
      <c r="H547" s="6"/>
      <c r="I547" s="6"/>
      <c r="J547" s="6"/>
      <c r="K547" s="6"/>
      <c r="L547" s="6"/>
      <c r="M547" s="6"/>
      <c r="N547" s="6"/>
      <c r="O547" s="6"/>
    </row>
    <row r="548" spans="1:15" ht="15.6">
      <c r="A548" s="560"/>
      <c r="B548" s="6"/>
      <c r="C548" s="6"/>
      <c r="D548" s="6"/>
      <c r="E548" s="6"/>
      <c r="F548" s="6"/>
      <c r="G548" s="6"/>
      <c r="H548" s="6"/>
      <c r="I548" s="6"/>
      <c r="J548" s="6"/>
      <c r="K548" s="6"/>
      <c r="L548" s="6"/>
      <c r="M548" s="6"/>
      <c r="N548" s="6"/>
      <c r="O548" s="6"/>
    </row>
    <row r="549" spans="1:15" ht="15.6">
      <c r="A549" s="560"/>
      <c r="B549" s="6"/>
      <c r="C549" s="6"/>
      <c r="D549" s="6"/>
      <c r="E549" s="6"/>
      <c r="F549" s="6"/>
      <c r="G549" s="6"/>
      <c r="H549" s="6"/>
      <c r="I549" s="6"/>
      <c r="J549" s="6"/>
      <c r="K549" s="6"/>
      <c r="L549" s="6"/>
      <c r="M549" s="6"/>
      <c r="N549" s="6"/>
      <c r="O549" s="6"/>
    </row>
    <row r="550" spans="1:15" ht="15.6">
      <c r="A550" s="560"/>
      <c r="B550" s="6"/>
      <c r="C550" s="6"/>
      <c r="D550" s="6"/>
      <c r="E550" s="6"/>
      <c r="F550" s="6"/>
      <c r="G550" s="6"/>
      <c r="H550" s="6"/>
      <c r="I550" s="6"/>
      <c r="J550" s="6"/>
      <c r="K550" s="6"/>
      <c r="L550" s="6"/>
      <c r="M550" s="6"/>
      <c r="N550" s="6"/>
      <c r="O550" s="6"/>
    </row>
    <row r="551" spans="1:15" ht="15.6">
      <c r="A551" s="560"/>
      <c r="B551" s="6"/>
      <c r="C551" s="6"/>
      <c r="D551" s="6"/>
      <c r="E551" s="6"/>
      <c r="F551" s="6"/>
      <c r="G551" s="6"/>
      <c r="H551" s="6"/>
      <c r="I551" s="6"/>
      <c r="J551" s="6"/>
      <c r="K551" s="6"/>
      <c r="L551" s="6"/>
      <c r="M551" s="6"/>
      <c r="N551" s="6"/>
      <c r="O551" s="6"/>
    </row>
    <row r="552" spans="1:15" ht="15.6">
      <c r="A552" s="560"/>
      <c r="B552" s="6"/>
      <c r="C552" s="6"/>
      <c r="D552" s="6"/>
      <c r="E552" s="6"/>
      <c r="F552" s="6"/>
      <c r="G552" s="6"/>
      <c r="H552" s="6"/>
      <c r="I552" s="6"/>
      <c r="J552" s="6"/>
      <c r="K552" s="6"/>
      <c r="L552" s="6"/>
      <c r="M552" s="6"/>
      <c r="N552" s="6"/>
      <c r="O552" s="6"/>
    </row>
    <row r="553" spans="1:15" ht="15.6">
      <c r="A553" s="560"/>
      <c r="B553" s="6"/>
      <c r="C553" s="6"/>
      <c r="D553" s="6"/>
      <c r="E553" s="6"/>
      <c r="F553" s="6"/>
      <c r="G553" s="6"/>
      <c r="H553" s="6"/>
      <c r="I553" s="6"/>
      <c r="J553" s="6"/>
      <c r="K553" s="6"/>
      <c r="L553" s="6"/>
      <c r="M553" s="6"/>
      <c r="N553" s="6"/>
      <c r="O553" s="6"/>
    </row>
    <row r="554" spans="1:15" ht="15.6">
      <c r="A554" s="560"/>
      <c r="B554" s="6"/>
      <c r="C554" s="6"/>
      <c r="D554" s="6"/>
      <c r="E554" s="6"/>
      <c r="F554" s="6"/>
      <c r="G554" s="6"/>
      <c r="H554" s="6"/>
      <c r="I554" s="6"/>
      <c r="J554" s="6"/>
      <c r="K554" s="6"/>
      <c r="L554" s="6"/>
      <c r="M554" s="6"/>
      <c r="N554" s="6"/>
      <c r="O554" s="6"/>
    </row>
    <row r="555" spans="1:15" ht="15.6">
      <c r="A555" s="560"/>
      <c r="B555" s="6"/>
      <c r="C555" s="6"/>
      <c r="D555" s="6"/>
      <c r="E555" s="6"/>
      <c r="F555" s="6"/>
      <c r="G555" s="6"/>
      <c r="H555" s="6"/>
      <c r="I555" s="6"/>
      <c r="J555" s="6"/>
      <c r="K555" s="6"/>
      <c r="L555" s="6"/>
      <c r="M555" s="6"/>
      <c r="N555" s="6"/>
      <c r="O555" s="6"/>
    </row>
    <row r="556" spans="1:15" ht="15.6">
      <c r="A556" s="560"/>
      <c r="B556" s="6"/>
      <c r="C556" s="6"/>
      <c r="D556" s="6"/>
      <c r="E556" s="6"/>
      <c r="F556" s="6"/>
      <c r="G556" s="6"/>
      <c r="H556" s="6"/>
      <c r="I556" s="6"/>
      <c r="J556" s="6"/>
      <c r="K556" s="6"/>
      <c r="L556" s="6"/>
      <c r="M556" s="6"/>
      <c r="N556" s="6"/>
      <c r="O556" s="6"/>
    </row>
    <row r="557" spans="1:15" ht="15.6">
      <c r="A557" s="560"/>
      <c r="B557" s="6"/>
      <c r="C557" s="6"/>
      <c r="D557" s="6"/>
      <c r="E557" s="6"/>
      <c r="F557" s="6"/>
      <c r="G557" s="6"/>
      <c r="H557" s="6"/>
      <c r="I557" s="6"/>
      <c r="J557" s="6"/>
      <c r="K557" s="6"/>
      <c r="L557" s="6"/>
      <c r="M557" s="6"/>
      <c r="N557" s="6"/>
      <c r="O557" s="6"/>
    </row>
    <row r="558" spans="1:15" ht="15.6">
      <c r="A558" s="560"/>
      <c r="B558" s="6"/>
      <c r="C558" s="6"/>
      <c r="D558" s="6"/>
      <c r="E558" s="6"/>
      <c r="F558" s="6"/>
      <c r="G558" s="6"/>
      <c r="H558" s="6"/>
      <c r="I558" s="6"/>
      <c r="J558" s="6"/>
      <c r="K558" s="6"/>
      <c r="L558" s="6"/>
      <c r="M558" s="6"/>
      <c r="N558" s="6"/>
      <c r="O558" s="6"/>
    </row>
    <row r="559" spans="1:15" ht="15.6">
      <c r="A559" s="560"/>
      <c r="B559" s="6"/>
      <c r="C559" s="6"/>
      <c r="D559" s="6"/>
      <c r="E559" s="6"/>
      <c r="F559" s="6"/>
      <c r="G559" s="6"/>
      <c r="H559" s="6"/>
      <c r="I559" s="6"/>
      <c r="J559" s="6"/>
      <c r="K559" s="6"/>
      <c r="L559" s="6"/>
      <c r="M559" s="6"/>
      <c r="N559" s="6"/>
      <c r="O559" s="6"/>
    </row>
    <row r="560" spans="1:15" ht="15.6">
      <c r="A560" s="560"/>
      <c r="B560" s="6"/>
      <c r="C560" s="6"/>
      <c r="D560" s="6"/>
      <c r="E560" s="6"/>
      <c r="F560" s="6"/>
      <c r="G560" s="6"/>
      <c r="H560" s="6"/>
      <c r="I560" s="6"/>
      <c r="J560" s="6"/>
      <c r="K560" s="6"/>
      <c r="L560" s="6"/>
      <c r="M560" s="6"/>
      <c r="N560" s="6"/>
      <c r="O560" s="6"/>
    </row>
    <row r="561" spans="1:15" ht="15.6">
      <c r="A561" s="560"/>
      <c r="B561" s="6"/>
      <c r="C561" s="6"/>
      <c r="D561" s="6"/>
      <c r="E561" s="6"/>
      <c r="F561" s="6"/>
      <c r="G561" s="6"/>
      <c r="H561" s="6"/>
      <c r="I561" s="6"/>
      <c r="J561" s="6"/>
      <c r="K561" s="6"/>
      <c r="L561" s="6"/>
      <c r="M561" s="6"/>
      <c r="N561" s="6"/>
      <c r="O561" s="6"/>
    </row>
    <row r="562" spans="1:15" ht="15.6">
      <c r="A562" s="560"/>
      <c r="B562" s="6"/>
      <c r="C562" s="6"/>
      <c r="D562" s="6"/>
      <c r="E562" s="6"/>
      <c r="F562" s="6"/>
      <c r="G562" s="6"/>
      <c r="H562" s="6"/>
      <c r="I562" s="6"/>
      <c r="J562" s="6"/>
      <c r="K562" s="6"/>
      <c r="L562" s="6"/>
      <c r="M562" s="6"/>
      <c r="N562" s="6"/>
      <c r="O562" s="6"/>
    </row>
    <row r="563" spans="1:15" ht="15.6">
      <c r="A563" s="560"/>
      <c r="B563" s="6"/>
      <c r="C563" s="6"/>
      <c r="D563" s="6"/>
      <c r="E563" s="6"/>
      <c r="F563" s="6"/>
      <c r="G563" s="6"/>
      <c r="H563" s="6"/>
      <c r="I563" s="6"/>
      <c r="J563" s="6"/>
      <c r="K563" s="6"/>
      <c r="L563" s="6"/>
      <c r="M563" s="6"/>
      <c r="N563" s="6"/>
      <c r="O563" s="6"/>
    </row>
    <row r="564" spans="1:15" ht="15.6">
      <c r="A564" s="560"/>
      <c r="B564" s="6"/>
      <c r="C564" s="6"/>
      <c r="D564" s="6"/>
      <c r="E564" s="6"/>
      <c r="F564" s="6"/>
      <c r="G564" s="6"/>
      <c r="H564" s="6"/>
      <c r="I564" s="6"/>
      <c r="J564" s="6"/>
      <c r="K564" s="6"/>
      <c r="L564" s="6"/>
      <c r="M564" s="6"/>
      <c r="N564" s="6"/>
      <c r="O564" s="6"/>
    </row>
    <row r="565" spans="1:15" ht="15.6">
      <c r="A565" s="560"/>
      <c r="B565" s="6"/>
      <c r="C565" s="6"/>
      <c r="D565" s="6"/>
      <c r="E565" s="6"/>
      <c r="F565" s="6"/>
      <c r="G565" s="6"/>
      <c r="H565" s="6"/>
      <c r="I565" s="6"/>
      <c r="J565" s="6"/>
      <c r="K565" s="6"/>
      <c r="L565" s="6"/>
      <c r="M565" s="6"/>
      <c r="N565" s="6"/>
      <c r="O565" s="6"/>
    </row>
    <row r="566" spans="1:15" ht="15.6">
      <c r="A566" s="560"/>
      <c r="B566" s="6"/>
      <c r="C566" s="6"/>
      <c r="D566" s="6"/>
      <c r="E566" s="6"/>
      <c r="F566" s="6"/>
      <c r="G566" s="6"/>
      <c r="H566" s="6"/>
      <c r="I566" s="6"/>
      <c r="J566" s="6"/>
      <c r="K566" s="6"/>
      <c r="L566" s="6"/>
      <c r="M566" s="6"/>
      <c r="N566" s="6"/>
      <c r="O566" s="6"/>
    </row>
    <row r="567" spans="1:15" ht="15.6">
      <c r="A567" s="560"/>
      <c r="B567" s="6"/>
      <c r="C567" s="6"/>
      <c r="D567" s="6"/>
      <c r="E567" s="6"/>
      <c r="F567" s="6"/>
      <c r="G567" s="6"/>
      <c r="H567" s="6"/>
      <c r="I567" s="6"/>
      <c r="J567" s="6"/>
      <c r="K567" s="6"/>
      <c r="L567" s="6"/>
      <c r="M567" s="6"/>
      <c r="N567" s="6"/>
      <c r="O567" s="6"/>
    </row>
    <row r="568" spans="1:15" ht="15.6">
      <c r="A568" s="560"/>
      <c r="B568" s="6"/>
      <c r="C568" s="6"/>
      <c r="D568" s="6"/>
      <c r="E568" s="6"/>
      <c r="F568" s="6"/>
      <c r="G568" s="6"/>
      <c r="H568" s="6"/>
      <c r="I568" s="6"/>
      <c r="J568" s="6"/>
      <c r="K568" s="6"/>
      <c r="L568" s="6"/>
      <c r="M568" s="6"/>
      <c r="N568" s="6"/>
      <c r="O568" s="6"/>
    </row>
    <row r="569" spans="1:15" ht="15.6">
      <c r="A569" s="560"/>
      <c r="B569" s="6"/>
      <c r="C569" s="6"/>
      <c r="D569" s="6"/>
      <c r="E569" s="6"/>
      <c r="F569" s="6"/>
      <c r="G569" s="6"/>
      <c r="H569" s="6"/>
      <c r="I569" s="6"/>
      <c r="J569" s="6"/>
      <c r="K569" s="6"/>
      <c r="L569" s="6"/>
      <c r="M569" s="6"/>
      <c r="N569" s="6"/>
      <c r="O569" s="6"/>
    </row>
    <row r="570" spans="1:15" ht="15.6">
      <c r="A570" s="560"/>
      <c r="B570" s="6"/>
      <c r="C570" s="6"/>
      <c r="D570" s="6"/>
      <c r="E570" s="6"/>
      <c r="F570" s="6"/>
      <c r="G570" s="6"/>
      <c r="H570" s="6"/>
      <c r="I570" s="6"/>
      <c r="J570" s="6"/>
      <c r="K570" s="6"/>
      <c r="L570" s="6"/>
      <c r="M570" s="6"/>
      <c r="N570" s="6"/>
      <c r="O570" s="6"/>
    </row>
    <row r="571" spans="1:15" ht="15.6">
      <c r="A571" s="560"/>
      <c r="B571" s="6"/>
      <c r="C571" s="6"/>
      <c r="D571" s="6"/>
      <c r="E571" s="6"/>
      <c r="F571" s="6"/>
      <c r="G571" s="6"/>
      <c r="H571" s="6"/>
      <c r="I571" s="6"/>
      <c r="J571" s="6"/>
      <c r="K571" s="6"/>
      <c r="L571" s="6"/>
      <c r="M571" s="6"/>
      <c r="N571" s="6"/>
      <c r="O571" s="6"/>
    </row>
    <row r="572" spans="1:15" ht="15.6">
      <c r="A572" s="560"/>
      <c r="B572" s="6"/>
      <c r="C572" s="6"/>
      <c r="D572" s="6"/>
      <c r="E572" s="6"/>
      <c r="F572" s="6"/>
      <c r="G572" s="6"/>
      <c r="H572" s="6"/>
      <c r="I572" s="6"/>
      <c r="J572" s="6"/>
      <c r="K572" s="6"/>
      <c r="L572" s="6"/>
      <c r="M572" s="6"/>
      <c r="N572" s="6"/>
      <c r="O572" s="6"/>
    </row>
    <row r="573" spans="1:15" ht="15.6">
      <c r="A573" s="560"/>
      <c r="B573" s="6"/>
      <c r="C573" s="6"/>
      <c r="D573" s="6"/>
      <c r="E573" s="6"/>
      <c r="F573" s="6"/>
      <c r="G573" s="6"/>
      <c r="H573" s="6"/>
      <c r="I573" s="6"/>
      <c r="J573" s="6"/>
      <c r="K573" s="6"/>
      <c r="L573" s="6"/>
      <c r="M573" s="6"/>
      <c r="N573" s="6"/>
      <c r="O573" s="6"/>
    </row>
    <row r="574" spans="1:15" ht="15.6">
      <c r="A574" s="560"/>
      <c r="B574" s="6"/>
      <c r="C574" s="6"/>
      <c r="D574" s="6"/>
      <c r="E574" s="6"/>
      <c r="F574" s="6"/>
      <c r="G574" s="6"/>
      <c r="H574" s="6"/>
      <c r="I574" s="6"/>
      <c r="J574" s="6"/>
      <c r="K574" s="6"/>
      <c r="L574" s="6"/>
      <c r="M574" s="6"/>
      <c r="N574" s="6"/>
      <c r="O574" s="6"/>
    </row>
    <row r="575" spans="1:15" ht="15.6">
      <c r="A575" s="560"/>
      <c r="B575" s="6"/>
      <c r="C575" s="6"/>
      <c r="D575" s="6"/>
      <c r="E575" s="6"/>
      <c r="F575" s="6"/>
      <c r="G575" s="6"/>
      <c r="H575" s="6"/>
      <c r="I575" s="6"/>
      <c r="J575" s="6"/>
      <c r="K575" s="6"/>
      <c r="L575" s="6"/>
      <c r="M575" s="6"/>
      <c r="N575" s="6"/>
      <c r="O575" s="6"/>
    </row>
    <row r="576" spans="1:15" ht="15.6">
      <c r="A576" s="560"/>
      <c r="B576" s="6"/>
      <c r="C576" s="6"/>
      <c r="D576" s="6"/>
      <c r="E576" s="6"/>
      <c r="F576" s="6"/>
      <c r="G576" s="6"/>
      <c r="H576" s="6"/>
      <c r="I576" s="6"/>
      <c r="J576" s="6"/>
      <c r="K576" s="6"/>
      <c r="L576" s="6"/>
      <c r="M576" s="6"/>
      <c r="N576" s="6"/>
      <c r="O576" s="6"/>
    </row>
    <row r="577" spans="1:15" ht="15.6">
      <c r="A577" s="560"/>
      <c r="B577" s="6"/>
      <c r="C577" s="6"/>
      <c r="D577" s="6"/>
      <c r="E577" s="6"/>
      <c r="F577" s="6"/>
      <c r="G577" s="6"/>
      <c r="H577" s="6"/>
      <c r="I577" s="6"/>
      <c r="J577" s="6"/>
      <c r="K577" s="6"/>
      <c r="L577" s="6"/>
      <c r="M577" s="6"/>
      <c r="N577" s="6"/>
      <c r="O577" s="6"/>
    </row>
    <row r="578" spans="1:15" ht="15.6">
      <c r="A578" s="560"/>
      <c r="B578" s="6"/>
      <c r="C578" s="6"/>
      <c r="D578" s="6"/>
      <c r="E578" s="6"/>
      <c r="F578" s="6"/>
      <c r="G578" s="6"/>
      <c r="H578" s="6"/>
      <c r="I578" s="6"/>
      <c r="J578" s="6"/>
      <c r="K578" s="6"/>
      <c r="L578" s="6"/>
      <c r="M578" s="6"/>
      <c r="N578" s="6"/>
      <c r="O578" s="6"/>
    </row>
    <row r="579" spans="1:15" ht="15.6">
      <c r="A579" s="560"/>
      <c r="B579" s="6"/>
      <c r="C579" s="6"/>
      <c r="D579" s="6"/>
      <c r="E579" s="6"/>
      <c r="F579" s="6"/>
      <c r="G579" s="6"/>
      <c r="H579" s="6"/>
      <c r="I579" s="6"/>
      <c r="J579" s="6"/>
      <c r="K579" s="6"/>
      <c r="L579" s="6"/>
      <c r="M579" s="6"/>
      <c r="N579" s="6"/>
      <c r="O579" s="6"/>
    </row>
    <row r="580" spans="1:15" ht="15.6">
      <c r="A580" s="560"/>
      <c r="B580" s="6"/>
      <c r="C580" s="6"/>
      <c r="D580" s="6"/>
      <c r="E580" s="6"/>
      <c r="F580" s="6"/>
      <c r="G580" s="6"/>
      <c r="H580" s="6"/>
      <c r="I580" s="6"/>
      <c r="J580" s="6"/>
      <c r="K580" s="6"/>
      <c r="L580" s="6"/>
      <c r="M580" s="6"/>
      <c r="N580" s="6"/>
      <c r="O580" s="6"/>
    </row>
    <row r="581" spans="1:15" ht="15.6">
      <c r="A581" s="560"/>
      <c r="B581" s="6"/>
      <c r="C581" s="6"/>
      <c r="D581" s="6"/>
      <c r="E581" s="6"/>
      <c r="F581" s="6"/>
      <c r="G581" s="6"/>
      <c r="H581" s="6"/>
      <c r="I581" s="6"/>
      <c r="J581" s="6"/>
      <c r="K581" s="6"/>
      <c r="L581" s="6"/>
      <c r="M581" s="6"/>
      <c r="N581" s="6"/>
      <c r="O581" s="6"/>
    </row>
    <row r="582" spans="1:15" ht="15.6">
      <c r="A582" s="560"/>
      <c r="B582" s="6"/>
      <c r="C582" s="6"/>
      <c r="D582" s="6"/>
      <c r="E582" s="6"/>
      <c r="F582" s="6"/>
      <c r="G582" s="6"/>
      <c r="H582" s="6"/>
      <c r="I582" s="6"/>
      <c r="J582" s="6"/>
      <c r="K582" s="6"/>
      <c r="L582" s="6"/>
      <c r="M582" s="6"/>
      <c r="N582" s="6"/>
      <c r="O582" s="6"/>
    </row>
    <row r="583" spans="1:15" ht="15.6">
      <c r="A583" s="560"/>
      <c r="B583" s="6"/>
      <c r="C583" s="6"/>
      <c r="D583" s="6"/>
      <c r="E583" s="6"/>
      <c r="F583" s="6"/>
      <c r="G583" s="6"/>
      <c r="H583" s="6"/>
      <c r="I583" s="6"/>
      <c r="J583" s="6"/>
      <c r="K583" s="6"/>
      <c r="L583" s="6"/>
      <c r="M583" s="6"/>
      <c r="N583" s="6"/>
      <c r="O583" s="6"/>
    </row>
    <row r="584" spans="1:15" ht="15.6">
      <c r="A584" s="560"/>
      <c r="B584" s="6"/>
      <c r="C584" s="6"/>
      <c r="D584" s="6"/>
      <c r="E584" s="6"/>
      <c r="F584" s="6"/>
      <c r="G584" s="6"/>
      <c r="H584" s="6"/>
      <c r="I584" s="6"/>
      <c r="J584" s="6"/>
      <c r="K584" s="6"/>
      <c r="L584" s="6"/>
      <c r="M584" s="6"/>
      <c r="N584" s="6"/>
      <c r="O584" s="6"/>
    </row>
    <row r="585" spans="1:15" ht="15.6">
      <c r="A585" s="560"/>
      <c r="B585" s="6"/>
      <c r="C585" s="6"/>
      <c r="D585" s="6"/>
      <c r="E585" s="6"/>
      <c r="F585" s="6"/>
      <c r="G585" s="6"/>
      <c r="H585" s="6"/>
      <c r="I585" s="6"/>
      <c r="J585" s="6"/>
      <c r="K585" s="6"/>
      <c r="L585" s="6"/>
      <c r="M585" s="6"/>
      <c r="N585" s="6"/>
      <c r="O585" s="6"/>
    </row>
    <row r="586" spans="1:15" ht="15.6">
      <c r="A586" s="560"/>
      <c r="B586" s="6"/>
      <c r="C586" s="6"/>
      <c r="D586" s="6"/>
      <c r="E586" s="6"/>
      <c r="F586" s="6"/>
      <c r="G586" s="6"/>
      <c r="H586" s="6"/>
      <c r="I586" s="6"/>
      <c r="J586" s="6"/>
      <c r="K586" s="6"/>
      <c r="L586" s="6"/>
      <c r="M586" s="6"/>
      <c r="N586" s="6"/>
      <c r="O586" s="6"/>
    </row>
    <row r="587" spans="1:15" ht="15.6">
      <c r="A587" s="560"/>
      <c r="B587" s="6"/>
      <c r="C587" s="6"/>
      <c r="D587" s="6"/>
      <c r="E587" s="6"/>
      <c r="F587" s="6"/>
      <c r="G587" s="6"/>
      <c r="H587" s="6"/>
      <c r="I587" s="6"/>
      <c r="J587" s="6"/>
      <c r="K587" s="6"/>
      <c r="L587" s="6"/>
      <c r="M587" s="6"/>
      <c r="N587" s="6"/>
      <c r="O587" s="6"/>
    </row>
    <row r="588" spans="1:15" ht="15.6">
      <c r="A588" s="560"/>
      <c r="B588" s="6"/>
      <c r="C588" s="6"/>
      <c r="D588" s="6"/>
      <c r="E588" s="6"/>
      <c r="F588" s="6"/>
      <c r="G588" s="6"/>
      <c r="H588" s="6"/>
      <c r="I588" s="6"/>
      <c r="J588" s="6"/>
      <c r="K588" s="6"/>
      <c r="L588" s="6"/>
      <c r="M588" s="6"/>
      <c r="N588" s="6"/>
      <c r="O588" s="6"/>
    </row>
    <row r="589" spans="1:15" ht="15.6">
      <c r="A589" s="560"/>
      <c r="B589" s="6"/>
      <c r="C589" s="6"/>
      <c r="D589" s="6"/>
      <c r="E589" s="6"/>
      <c r="F589" s="6"/>
      <c r="G589" s="6"/>
      <c r="H589" s="6"/>
      <c r="I589" s="6"/>
      <c r="J589" s="6"/>
      <c r="K589" s="6"/>
      <c r="L589" s="6"/>
      <c r="M589" s="6"/>
      <c r="N589" s="6"/>
      <c r="O589" s="6"/>
    </row>
    <row r="590" spans="1:15" ht="15.6">
      <c r="A590" s="560"/>
      <c r="B590" s="6"/>
      <c r="C590" s="6"/>
      <c r="D590" s="6"/>
      <c r="E590" s="6"/>
      <c r="F590" s="6"/>
      <c r="G590" s="6"/>
      <c r="H590" s="6"/>
      <c r="I590" s="6"/>
      <c r="J590" s="6"/>
      <c r="K590" s="6"/>
      <c r="L590" s="6"/>
      <c r="M590" s="6"/>
      <c r="N590" s="6"/>
      <c r="O590" s="6"/>
    </row>
    <row r="591" spans="1:15" ht="15.6">
      <c r="A591" s="560"/>
      <c r="B591" s="6"/>
      <c r="C591" s="6"/>
      <c r="D591" s="6"/>
      <c r="E591" s="6"/>
      <c r="F591" s="6"/>
      <c r="G591" s="6"/>
      <c r="H591" s="6"/>
      <c r="I591" s="6"/>
      <c r="J591" s="6"/>
      <c r="K591" s="6"/>
      <c r="L591" s="6"/>
      <c r="M591" s="6"/>
      <c r="N591" s="6"/>
      <c r="O591" s="6"/>
    </row>
    <row r="592" spans="1:15" ht="15.6">
      <c r="A592" s="560"/>
      <c r="B592" s="6"/>
      <c r="C592" s="6"/>
      <c r="D592" s="6"/>
      <c r="E592" s="6"/>
      <c r="F592" s="6"/>
      <c r="G592" s="6"/>
      <c r="H592" s="6"/>
      <c r="I592" s="6"/>
      <c r="J592" s="6"/>
      <c r="K592" s="6"/>
      <c r="L592" s="6"/>
      <c r="M592" s="6"/>
      <c r="N592" s="6"/>
      <c r="O592" s="6"/>
    </row>
    <row r="593" spans="1:15" ht="15.6">
      <c r="A593" s="560"/>
      <c r="B593" s="6"/>
      <c r="C593" s="6"/>
      <c r="D593" s="6"/>
      <c r="E593" s="6"/>
      <c r="F593" s="6"/>
      <c r="G593" s="6"/>
      <c r="H593" s="6"/>
      <c r="I593" s="6"/>
      <c r="J593" s="6"/>
      <c r="K593" s="6"/>
      <c r="L593" s="6"/>
      <c r="M593" s="6"/>
      <c r="N593" s="6"/>
      <c r="O593" s="6"/>
    </row>
    <row r="594" spans="1:15" ht="15.6">
      <c r="A594" s="560"/>
      <c r="B594" s="6"/>
      <c r="C594" s="6"/>
      <c r="D594" s="6"/>
      <c r="E594" s="6"/>
      <c r="F594" s="6"/>
      <c r="G594" s="6"/>
      <c r="H594" s="6"/>
      <c r="I594" s="6"/>
      <c r="J594" s="6"/>
      <c r="K594" s="6"/>
      <c r="L594" s="6"/>
      <c r="M594" s="6"/>
      <c r="N594" s="6"/>
      <c r="O594" s="6"/>
    </row>
    <row r="595" spans="1:15" ht="15.6">
      <c r="A595" s="560"/>
      <c r="B595" s="6"/>
      <c r="C595" s="6"/>
      <c r="D595" s="6"/>
      <c r="E595" s="6"/>
      <c r="F595" s="6"/>
      <c r="G595" s="6"/>
      <c r="H595" s="6"/>
      <c r="I595" s="6"/>
      <c r="J595" s="6"/>
      <c r="K595" s="6"/>
      <c r="L595" s="6"/>
      <c r="M595" s="6"/>
      <c r="N595" s="6"/>
      <c r="O595" s="6"/>
    </row>
    <row r="596" spans="1:15" ht="15.6">
      <c r="A596" s="560"/>
      <c r="B596" s="6"/>
      <c r="C596" s="6"/>
      <c r="D596" s="6"/>
      <c r="E596" s="6"/>
      <c r="F596" s="6"/>
      <c r="G596" s="6"/>
      <c r="H596" s="6"/>
      <c r="I596" s="6"/>
      <c r="J596" s="6"/>
      <c r="K596" s="6"/>
      <c r="L596" s="6"/>
      <c r="M596" s="6"/>
      <c r="N596" s="6"/>
      <c r="O596" s="6"/>
    </row>
    <row r="597" spans="1:15" ht="15.6">
      <c r="A597" s="560"/>
      <c r="B597" s="6"/>
      <c r="C597" s="6"/>
      <c r="D597" s="6"/>
      <c r="E597" s="6"/>
      <c r="F597" s="6"/>
      <c r="G597" s="6"/>
      <c r="H597" s="6"/>
      <c r="I597" s="6"/>
      <c r="J597" s="6"/>
      <c r="K597" s="6"/>
      <c r="L597" s="6"/>
      <c r="M597" s="6"/>
      <c r="N597" s="6"/>
      <c r="O597" s="6"/>
    </row>
    <row r="598" spans="1:15" ht="15.6">
      <c r="A598" s="560"/>
      <c r="B598" s="6"/>
      <c r="C598" s="6"/>
      <c r="D598" s="6"/>
      <c r="E598" s="6"/>
      <c r="F598" s="6"/>
      <c r="G598" s="6"/>
      <c r="H598" s="6"/>
      <c r="I598" s="6"/>
      <c r="J598" s="6"/>
      <c r="K598" s="6"/>
      <c r="L598" s="6"/>
      <c r="M598" s="6"/>
      <c r="N598" s="6"/>
      <c r="O598" s="6"/>
    </row>
    <row r="599" spans="1:15" ht="15.6">
      <c r="A599" s="560"/>
      <c r="B599" s="6"/>
      <c r="C599" s="6"/>
      <c r="D599" s="6"/>
      <c r="E599" s="6"/>
      <c r="F599" s="6"/>
      <c r="G599" s="6"/>
      <c r="H599" s="6"/>
      <c r="I599" s="6"/>
      <c r="J599" s="6"/>
      <c r="K599" s="6"/>
      <c r="L599" s="6"/>
      <c r="M599" s="6"/>
      <c r="N599" s="6"/>
      <c r="O599" s="6"/>
    </row>
    <row r="600" spans="1:15" ht="15.6">
      <c r="A600" s="560"/>
      <c r="B600" s="6"/>
      <c r="C600" s="6"/>
      <c r="D600" s="6"/>
      <c r="E600" s="6"/>
      <c r="F600" s="6"/>
      <c r="G600" s="6"/>
      <c r="H600" s="6"/>
      <c r="I600" s="6"/>
      <c r="J600" s="6"/>
      <c r="K600" s="6"/>
      <c r="L600" s="6"/>
      <c r="M600" s="6"/>
      <c r="N600" s="6"/>
      <c r="O600" s="6"/>
    </row>
    <row r="601" spans="1:15" ht="15.6">
      <c r="A601" s="560"/>
      <c r="B601" s="6"/>
      <c r="C601" s="6"/>
      <c r="D601" s="6"/>
      <c r="E601" s="6"/>
      <c r="F601" s="6"/>
      <c r="G601" s="6"/>
      <c r="H601" s="6"/>
      <c r="I601" s="6"/>
      <c r="J601" s="6"/>
      <c r="K601" s="6"/>
      <c r="L601" s="6"/>
      <c r="M601" s="6"/>
      <c r="N601" s="6"/>
      <c r="O601" s="6"/>
    </row>
    <row r="602" spans="1:15" ht="15.6">
      <c r="A602" s="560"/>
      <c r="B602" s="6"/>
      <c r="C602" s="6"/>
      <c r="D602" s="6"/>
      <c r="E602" s="6"/>
      <c r="F602" s="6"/>
      <c r="G602" s="6"/>
      <c r="H602" s="6"/>
      <c r="I602" s="6"/>
      <c r="J602" s="6"/>
      <c r="K602" s="6"/>
      <c r="L602" s="6"/>
      <c r="M602" s="6"/>
      <c r="N602" s="6"/>
      <c r="O602" s="6"/>
    </row>
    <row r="603" spans="1:15" ht="15.6">
      <c r="A603" s="560"/>
      <c r="B603" s="6"/>
      <c r="C603" s="6"/>
      <c r="D603" s="6"/>
      <c r="E603" s="6"/>
      <c r="F603" s="6"/>
      <c r="G603" s="6"/>
      <c r="H603" s="6"/>
      <c r="I603" s="6"/>
      <c r="J603" s="6"/>
      <c r="K603" s="6"/>
      <c r="L603" s="6"/>
      <c r="M603" s="6"/>
      <c r="N603" s="6"/>
      <c r="O603" s="6"/>
    </row>
    <row r="604" spans="1:15" ht="15.6">
      <c r="A604" s="560"/>
      <c r="B604" s="6"/>
      <c r="C604" s="6"/>
      <c r="D604" s="6"/>
      <c r="E604" s="6"/>
      <c r="F604" s="6"/>
      <c r="G604" s="6"/>
      <c r="H604" s="6"/>
      <c r="I604" s="6"/>
      <c r="J604" s="6"/>
      <c r="K604" s="6"/>
      <c r="L604" s="6"/>
      <c r="M604" s="6"/>
      <c r="N604" s="6"/>
      <c r="O604" s="6"/>
    </row>
    <row r="605" spans="1:15" ht="15.6">
      <c r="A605" s="560"/>
      <c r="B605" s="6"/>
      <c r="C605" s="6"/>
      <c r="D605" s="6"/>
      <c r="E605" s="6"/>
      <c r="F605" s="6"/>
      <c r="G605" s="6"/>
      <c r="H605" s="6"/>
      <c r="I605" s="6"/>
      <c r="J605" s="6"/>
      <c r="K605" s="6"/>
      <c r="L605" s="6"/>
      <c r="M605" s="6"/>
      <c r="N605" s="6"/>
      <c r="O605" s="6"/>
    </row>
    <row r="606" spans="1:15" ht="15.6">
      <c r="A606" s="560"/>
      <c r="B606" s="6"/>
      <c r="C606" s="6"/>
      <c r="D606" s="6"/>
      <c r="E606" s="6"/>
      <c r="F606" s="6"/>
      <c r="G606" s="6"/>
      <c r="H606" s="6"/>
      <c r="I606" s="6"/>
      <c r="J606" s="6"/>
      <c r="K606" s="6"/>
      <c r="L606" s="6"/>
      <c r="M606" s="6"/>
      <c r="N606" s="6"/>
      <c r="O606" s="6"/>
    </row>
    <row r="607" spans="1:15" ht="15.6">
      <c r="A607" s="560"/>
      <c r="B607" s="6"/>
      <c r="C607" s="6"/>
      <c r="D607" s="6"/>
      <c r="E607" s="6"/>
      <c r="F607" s="6"/>
      <c r="G607" s="6"/>
      <c r="H607" s="6"/>
      <c r="I607" s="6"/>
      <c r="J607" s="6"/>
      <c r="K607" s="6"/>
      <c r="L607" s="6"/>
      <c r="M607" s="6"/>
      <c r="N607" s="6"/>
      <c r="O607" s="6"/>
    </row>
    <row r="608" spans="1:15" ht="15.6">
      <c r="A608" s="560"/>
      <c r="B608" s="6"/>
      <c r="C608" s="6"/>
      <c r="D608" s="6"/>
      <c r="E608" s="6"/>
      <c r="F608" s="6"/>
      <c r="G608" s="6"/>
      <c r="H608" s="6"/>
      <c r="I608" s="6"/>
      <c r="J608" s="6"/>
      <c r="K608" s="6"/>
      <c r="L608" s="6"/>
      <c r="M608" s="6"/>
      <c r="N608" s="6"/>
      <c r="O608" s="6"/>
    </row>
    <row r="609" spans="1:15" ht="15.6">
      <c r="A609" s="560"/>
      <c r="B609" s="6"/>
      <c r="C609" s="6"/>
      <c r="D609" s="6"/>
      <c r="E609" s="6"/>
      <c r="F609" s="6"/>
      <c r="G609" s="6"/>
      <c r="H609" s="6"/>
      <c r="I609" s="6"/>
      <c r="J609" s="6"/>
      <c r="K609" s="6"/>
      <c r="L609" s="6"/>
      <c r="M609" s="6"/>
      <c r="N609" s="6"/>
      <c r="O609" s="6"/>
    </row>
    <row r="610" spans="1:15" ht="15.6">
      <c r="A610" s="560"/>
      <c r="B610" s="6"/>
      <c r="C610" s="6"/>
      <c r="D610" s="6"/>
      <c r="E610" s="6"/>
      <c r="F610" s="6"/>
      <c r="G610" s="6"/>
      <c r="H610" s="6"/>
      <c r="I610" s="6"/>
      <c r="J610" s="6"/>
      <c r="K610" s="6"/>
      <c r="L610" s="6"/>
      <c r="M610" s="6"/>
      <c r="N610" s="6"/>
      <c r="O610" s="6"/>
    </row>
    <row r="611" spans="1:15" ht="15.6">
      <c r="A611" s="560"/>
      <c r="B611" s="6"/>
      <c r="C611" s="6"/>
      <c r="D611" s="6"/>
      <c r="E611" s="6"/>
      <c r="F611" s="6"/>
      <c r="G611" s="6"/>
      <c r="H611" s="6"/>
      <c r="I611" s="6"/>
      <c r="J611" s="6"/>
      <c r="K611" s="6"/>
      <c r="L611" s="6"/>
      <c r="M611" s="6"/>
      <c r="N611" s="6"/>
      <c r="O611" s="6"/>
    </row>
    <row r="612" spans="1:15" ht="15.6">
      <c r="A612" s="560"/>
      <c r="B612" s="6"/>
      <c r="C612" s="6"/>
      <c r="D612" s="6"/>
      <c r="E612" s="6"/>
      <c r="F612" s="6"/>
      <c r="G612" s="6"/>
      <c r="H612" s="6"/>
      <c r="I612" s="6"/>
      <c r="J612" s="6"/>
      <c r="K612" s="6"/>
      <c r="L612" s="6"/>
      <c r="M612" s="6"/>
      <c r="N612" s="6"/>
      <c r="O612" s="6"/>
    </row>
    <row r="613" spans="1:15" ht="15.6">
      <c r="A613" s="560"/>
      <c r="B613" s="6"/>
      <c r="C613" s="6"/>
      <c r="D613" s="6"/>
      <c r="E613" s="6"/>
      <c r="F613" s="6"/>
      <c r="G613" s="6"/>
      <c r="H613" s="6"/>
      <c r="I613" s="6"/>
      <c r="J613" s="6"/>
      <c r="K613" s="6"/>
      <c r="L613" s="6"/>
      <c r="M613" s="6"/>
      <c r="N613" s="6"/>
      <c r="O613" s="6"/>
    </row>
    <row r="614" spans="1:15" ht="15.6">
      <c r="A614" s="560"/>
      <c r="B614" s="6"/>
      <c r="C614" s="6"/>
      <c r="D614" s="6"/>
      <c r="E614" s="6"/>
      <c r="F614" s="6"/>
      <c r="G614" s="6"/>
      <c r="H614" s="6"/>
      <c r="I614" s="6"/>
      <c r="J614" s="6"/>
      <c r="K614" s="6"/>
      <c r="L614" s="6"/>
      <c r="M614" s="6"/>
      <c r="N614" s="6"/>
      <c r="O614" s="6"/>
    </row>
    <row r="615" spans="1:15" ht="15.6">
      <c r="A615" s="560"/>
      <c r="B615" s="6"/>
      <c r="C615" s="6"/>
      <c r="D615" s="6"/>
      <c r="E615" s="6"/>
      <c r="F615" s="6"/>
      <c r="G615" s="6"/>
      <c r="H615" s="6"/>
      <c r="I615" s="6"/>
      <c r="J615" s="6"/>
      <c r="K615" s="6"/>
      <c r="L615" s="6"/>
      <c r="M615" s="6"/>
      <c r="N615" s="6"/>
      <c r="O615" s="6"/>
    </row>
    <row r="616" spans="1:15" ht="15.6">
      <c r="A616" s="560"/>
      <c r="B616" s="6"/>
      <c r="C616" s="6"/>
      <c r="D616" s="6"/>
      <c r="E616" s="6"/>
      <c r="F616" s="6"/>
      <c r="G616" s="6"/>
      <c r="H616" s="6"/>
      <c r="I616" s="6"/>
      <c r="J616" s="6"/>
      <c r="K616" s="6"/>
      <c r="L616" s="6"/>
      <c r="M616" s="6"/>
      <c r="N616" s="6"/>
      <c r="O616" s="6"/>
    </row>
    <row r="617" spans="1:15" ht="15.6">
      <c r="A617" s="560"/>
      <c r="B617" s="6"/>
      <c r="C617" s="6"/>
      <c r="D617" s="6"/>
      <c r="E617" s="6"/>
      <c r="F617" s="6"/>
      <c r="G617" s="6"/>
      <c r="H617" s="6"/>
      <c r="I617" s="6"/>
      <c r="J617" s="6"/>
      <c r="K617" s="6"/>
      <c r="L617" s="6"/>
      <c r="M617" s="6"/>
      <c r="N617" s="6"/>
      <c r="O617" s="6"/>
    </row>
    <row r="618" spans="1:15" ht="15.6">
      <c r="A618" s="560"/>
      <c r="B618" s="6"/>
      <c r="C618" s="6"/>
      <c r="D618" s="6"/>
      <c r="E618" s="6"/>
      <c r="F618" s="6"/>
      <c r="G618" s="6"/>
      <c r="H618" s="6"/>
      <c r="I618" s="6"/>
      <c r="J618" s="6"/>
      <c r="K618" s="6"/>
      <c r="L618" s="6"/>
      <c r="M618" s="6"/>
      <c r="N618" s="6"/>
      <c r="O618" s="6"/>
    </row>
    <row r="619" spans="1:15" ht="15.6">
      <c r="A619" s="560"/>
      <c r="B619" s="6"/>
      <c r="C619" s="6"/>
      <c r="D619" s="6"/>
      <c r="E619" s="6"/>
      <c r="F619" s="6"/>
      <c r="G619" s="6"/>
      <c r="H619" s="6"/>
      <c r="I619" s="6"/>
      <c r="J619" s="6"/>
      <c r="K619" s="6"/>
      <c r="L619" s="6"/>
      <c r="M619" s="6"/>
      <c r="N619" s="6"/>
      <c r="O619" s="6"/>
    </row>
    <row r="620" spans="1:15" ht="15.6">
      <c r="A620" s="560"/>
      <c r="B620" s="6"/>
      <c r="C620" s="6"/>
      <c r="D620" s="6"/>
      <c r="E620" s="6"/>
      <c r="F620" s="6"/>
      <c r="G620" s="6"/>
      <c r="H620" s="6"/>
      <c r="I620" s="6"/>
      <c r="J620" s="6"/>
      <c r="K620" s="6"/>
      <c r="L620" s="6"/>
      <c r="M620" s="6"/>
      <c r="N620" s="6"/>
      <c r="O620" s="6"/>
    </row>
    <row r="621" spans="1:15" ht="15.6">
      <c r="A621" s="560"/>
      <c r="B621" s="6"/>
      <c r="C621" s="6"/>
      <c r="D621" s="6"/>
      <c r="E621" s="6"/>
      <c r="F621" s="6"/>
      <c r="G621" s="6"/>
      <c r="H621" s="6"/>
      <c r="I621" s="6"/>
      <c r="J621" s="6"/>
      <c r="K621" s="6"/>
      <c r="L621" s="6"/>
      <c r="M621" s="6"/>
      <c r="N621" s="6"/>
      <c r="O621" s="6"/>
    </row>
    <row r="622" spans="1:15" ht="15.6">
      <c r="A622" s="560"/>
      <c r="B622" s="6"/>
      <c r="C622" s="6"/>
      <c r="D622" s="6"/>
      <c r="E622" s="6"/>
      <c r="F622" s="6"/>
      <c r="G622" s="6"/>
      <c r="H622" s="6"/>
      <c r="I622" s="6"/>
      <c r="J622" s="6"/>
      <c r="K622" s="6"/>
      <c r="L622" s="6"/>
      <c r="M622" s="6"/>
      <c r="N622" s="6"/>
      <c r="O622" s="6"/>
    </row>
    <row r="623" spans="1:15" ht="15.6">
      <c r="A623" s="560"/>
      <c r="B623" s="6"/>
      <c r="C623" s="6"/>
      <c r="D623" s="6"/>
      <c r="E623" s="6"/>
      <c r="F623" s="6"/>
      <c r="G623" s="6"/>
      <c r="H623" s="6"/>
      <c r="I623" s="6"/>
      <c r="J623" s="6"/>
      <c r="K623" s="6"/>
      <c r="L623" s="6"/>
      <c r="M623" s="6"/>
      <c r="N623" s="6"/>
      <c r="O623" s="6"/>
    </row>
    <row r="624" spans="1:15" ht="15.6">
      <c r="A624" s="560"/>
      <c r="B624" s="6"/>
      <c r="C624" s="6"/>
      <c r="D624" s="6"/>
      <c r="E624" s="6"/>
      <c r="F624" s="6"/>
      <c r="G624" s="6"/>
      <c r="H624" s="6"/>
      <c r="I624" s="6"/>
      <c r="J624" s="6"/>
      <c r="K624" s="6"/>
      <c r="L624" s="6"/>
      <c r="M624" s="6"/>
      <c r="N624" s="6"/>
      <c r="O624" s="6"/>
    </row>
    <row r="625" spans="1:15" ht="15.6">
      <c r="A625" s="560"/>
      <c r="B625" s="6"/>
      <c r="C625" s="6"/>
      <c r="D625" s="6"/>
      <c r="E625" s="6"/>
      <c r="F625" s="6"/>
      <c r="G625" s="6"/>
      <c r="H625" s="6"/>
      <c r="I625" s="6"/>
      <c r="J625" s="6"/>
      <c r="K625" s="6"/>
      <c r="L625" s="6"/>
      <c r="M625" s="6"/>
      <c r="N625" s="6"/>
      <c r="O625" s="6"/>
    </row>
    <row r="626" spans="1:15" ht="15.6">
      <c r="A626" s="560"/>
      <c r="B626" s="6"/>
      <c r="C626" s="6"/>
      <c r="D626" s="6"/>
      <c r="E626" s="6"/>
      <c r="F626" s="6"/>
      <c r="G626" s="6"/>
      <c r="H626" s="6"/>
      <c r="I626" s="6"/>
      <c r="J626" s="6"/>
      <c r="K626" s="6"/>
      <c r="L626" s="6"/>
      <c r="M626" s="6"/>
      <c r="N626" s="6"/>
      <c r="O626" s="6"/>
    </row>
    <row r="627" spans="1:15" ht="15.6">
      <c r="A627" s="560"/>
      <c r="B627" s="6"/>
      <c r="C627" s="6"/>
      <c r="D627" s="6"/>
      <c r="E627" s="6"/>
      <c r="F627" s="6"/>
      <c r="G627" s="6"/>
      <c r="H627" s="6"/>
      <c r="I627" s="6"/>
      <c r="J627" s="6"/>
      <c r="K627" s="6"/>
      <c r="L627" s="6"/>
      <c r="M627" s="6"/>
      <c r="N627" s="6"/>
      <c r="O627" s="6"/>
    </row>
    <row r="628" spans="1:15" ht="15.6">
      <c r="A628" s="560"/>
      <c r="B628" s="6"/>
      <c r="C628" s="6"/>
      <c r="D628" s="6"/>
      <c r="E628" s="6"/>
      <c r="F628" s="6"/>
      <c r="G628" s="6"/>
      <c r="H628" s="6"/>
      <c r="I628" s="6"/>
      <c r="J628" s="6"/>
      <c r="K628" s="6"/>
      <c r="L628" s="6"/>
      <c r="M628" s="6"/>
      <c r="N628" s="6"/>
      <c r="O628" s="6"/>
    </row>
    <row r="629" spans="1:15" ht="15.6">
      <c r="A629" s="560"/>
      <c r="B629" s="6"/>
      <c r="C629" s="6"/>
      <c r="D629" s="6"/>
      <c r="E629" s="6"/>
      <c r="F629" s="6"/>
      <c r="G629" s="6"/>
      <c r="H629" s="6"/>
      <c r="I629" s="6"/>
      <c r="J629" s="6"/>
      <c r="K629" s="6"/>
      <c r="L629" s="6"/>
      <c r="M629" s="6"/>
      <c r="N629" s="6"/>
      <c r="O629" s="6"/>
    </row>
    <row r="630" spans="1:15" ht="15.6">
      <c r="A630" s="560"/>
      <c r="B630" s="6"/>
      <c r="C630" s="6"/>
      <c r="D630" s="6"/>
      <c r="E630" s="6"/>
      <c r="F630" s="6"/>
      <c r="G630" s="6"/>
      <c r="H630" s="6"/>
      <c r="I630" s="6"/>
      <c r="J630" s="6"/>
      <c r="K630" s="6"/>
      <c r="L630" s="6"/>
      <c r="M630" s="6"/>
      <c r="N630" s="6"/>
      <c r="O630" s="6"/>
    </row>
    <row r="631" spans="1:15" ht="15.6">
      <c r="A631" s="560"/>
      <c r="B631" s="6"/>
      <c r="C631" s="6"/>
      <c r="D631" s="6"/>
      <c r="E631" s="6"/>
      <c r="F631" s="6"/>
      <c r="G631" s="6"/>
      <c r="H631" s="6"/>
      <c r="I631" s="6"/>
      <c r="J631" s="6"/>
      <c r="K631" s="6"/>
      <c r="L631" s="6"/>
      <c r="M631" s="6"/>
      <c r="N631" s="6"/>
      <c r="O631" s="6"/>
    </row>
    <row r="632" spans="1:15" ht="15.6">
      <c r="A632" s="560"/>
      <c r="B632" s="6"/>
      <c r="C632" s="6"/>
      <c r="D632" s="6"/>
      <c r="E632" s="6"/>
      <c r="F632" s="6"/>
      <c r="G632" s="6"/>
      <c r="H632" s="6"/>
      <c r="I632" s="6"/>
      <c r="J632" s="6"/>
      <c r="K632" s="6"/>
      <c r="L632" s="6"/>
      <c r="M632" s="6"/>
      <c r="N632" s="6"/>
      <c r="O632" s="6"/>
    </row>
    <row r="633" spans="1:15" ht="15.6">
      <c r="A633" s="560"/>
      <c r="B633" s="6"/>
      <c r="C633" s="6"/>
      <c r="D633" s="6"/>
      <c r="E633" s="6"/>
      <c r="F633" s="6"/>
      <c r="G633" s="6"/>
      <c r="H633" s="6"/>
      <c r="I633" s="6"/>
      <c r="J633" s="6"/>
      <c r="K633" s="6"/>
      <c r="L633" s="6"/>
      <c r="M633" s="6"/>
      <c r="N633" s="6"/>
      <c r="O633" s="6"/>
    </row>
    <row r="634" spans="1:15" ht="15.6">
      <c r="A634" s="560"/>
      <c r="B634" s="6"/>
      <c r="C634" s="6"/>
      <c r="D634" s="6"/>
      <c r="E634" s="6"/>
      <c r="F634" s="6"/>
      <c r="G634" s="6"/>
      <c r="H634" s="6"/>
      <c r="I634" s="6"/>
      <c r="J634" s="6"/>
      <c r="K634" s="6"/>
      <c r="L634" s="6"/>
      <c r="M634" s="6"/>
      <c r="N634" s="6"/>
      <c r="O634" s="6"/>
    </row>
    <row r="635" spans="1:15" ht="15.6">
      <c r="A635" s="560"/>
      <c r="B635" s="6"/>
      <c r="C635" s="6"/>
      <c r="D635" s="6"/>
      <c r="E635" s="6"/>
      <c r="F635" s="6"/>
      <c r="G635" s="6"/>
      <c r="H635" s="6"/>
      <c r="I635" s="6"/>
      <c r="J635" s="6"/>
      <c r="K635" s="6"/>
      <c r="L635" s="6"/>
      <c r="M635" s="6"/>
      <c r="N635" s="6"/>
      <c r="O635" s="6"/>
    </row>
    <row r="636" spans="1:15" ht="15.6">
      <c r="A636" s="560"/>
      <c r="B636" s="6"/>
      <c r="C636" s="6"/>
      <c r="D636" s="6"/>
      <c r="E636" s="6"/>
      <c r="F636" s="6"/>
      <c r="G636" s="6"/>
      <c r="H636" s="6"/>
      <c r="I636" s="6"/>
      <c r="J636" s="6"/>
      <c r="K636" s="6"/>
      <c r="L636" s="6"/>
      <c r="M636" s="6"/>
      <c r="N636" s="6"/>
      <c r="O636" s="6"/>
    </row>
    <row r="637" spans="1:15" ht="15.6">
      <c r="A637" s="560"/>
      <c r="B637" s="6"/>
      <c r="C637" s="6"/>
      <c r="D637" s="6"/>
      <c r="E637" s="6"/>
      <c r="F637" s="6"/>
      <c r="G637" s="6"/>
      <c r="H637" s="6"/>
      <c r="I637" s="6"/>
      <c r="J637" s="6"/>
      <c r="K637" s="6"/>
      <c r="L637" s="6"/>
      <c r="M637" s="6"/>
      <c r="N637" s="6"/>
      <c r="O637" s="6"/>
    </row>
    <row r="638" spans="1:15" ht="15.6">
      <c r="A638" s="560"/>
      <c r="B638" s="6"/>
      <c r="C638" s="6"/>
      <c r="D638" s="6"/>
      <c r="E638" s="6"/>
      <c r="F638" s="6"/>
      <c r="G638" s="6"/>
      <c r="H638" s="6"/>
      <c r="I638" s="6"/>
      <c r="J638" s="6"/>
      <c r="K638" s="6"/>
      <c r="L638" s="6"/>
      <c r="M638" s="6"/>
      <c r="N638" s="6"/>
      <c r="O638" s="6"/>
    </row>
    <row r="639" spans="1:15" ht="15.6">
      <c r="A639" s="560"/>
      <c r="B639" s="6"/>
      <c r="C639" s="6"/>
      <c r="D639" s="6"/>
      <c r="E639" s="6"/>
      <c r="F639" s="6"/>
      <c r="G639" s="6"/>
      <c r="H639" s="6"/>
      <c r="I639" s="6"/>
      <c r="J639" s="6"/>
      <c r="K639" s="6"/>
      <c r="L639" s="6"/>
      <c r="M639" s="6"/>
      <c r="N639" s="6"/>
      <c r="O639" s="6"/>
    </row>
    <row r="640" spans="1:15" ht="15.6">
      <c r="A640" s="560"/>
      <c r="B640" s="6"/>
      <c r="C640" s="6"/>
      <c r="D640" s="6"/>
      <c r="E640" s="6"/>
      <c r="F640" s="6"/>
      <c r="G640" s="6"/>
      <c r="H640" s="6"/>
      <c r="I640" s="6"/>
      <c r="J640" s="6"/>
      <c r="K640" s="6"/>
      <c r="L640" s="6"/>
      <c r="M640" s="6"/>
      <c r="N640" s="6"/>
      <c r="O640" s="6"/>
    </row>
    <row r="641" spans="1:15" ht="15.6">
      <c r="A641" s="560"/>
      <c r="B641" s="6"/>
      <c r="C641" s="6"/>
      <c r="D641" s="6"/>
      <c r="E641" s="6"/>
      <c r="F641" s="6"/>
      <c r="G641" s="6"/>
      <c r="H641" s="6"/>
      <c r="I641" s="6"/>
      <c r="J641" s="6"/>
      <c r="K641" s="6"/>
      <c r="L641" s="6"/>
      <c r="M641" s="6"/>
      <c r="N641" s="6"/>
      <c r="O641" s="6"/>
    </row>
    <row r="642" spans="1:15" ht="15.6">
      <c r="A642" s="560"/>
      <c r="B642" s="6"/>
      <c r="C642" s="6"/>
      <c r="D642" s="6"/>
      <c r="E642" s="6"/>
      <c r="F642" s="6"/>
      <c r="G642" s="6"/>
      <c r="H642" s="6"/>
      <c r="I642" s="6"/>
      <c r="J642" s="6"/>
      <c r="K642" s="6"/>
      <c r="L642" s="6"/>
      <c r="M642" s="6"/>
      <c r="N642" s="6"/>
      <c r="O642" s="6"/>
    </row>
    <row r="643" spans="1:15" ht="15.6">
      <c r="A643" s="560"/>
      <c r="B643" s="6"/>
      <c r="C643" s="6"/>
      <c r="D643" s="6"/>
      <c r="E643" s="6"/>
      <c r="F643" s="6"/>
      <c r="G643" s="6"/>
      <c r="H643" s="6"/>
      <c r="I643" s="6"/>
      <c r="J643" s="6"/>
      <c r="K643" s="6"/>
      <c r="L643" s="6"/>
      <c r="M643" s="6"/>
      <c r="N643" s="6"/>
      <c r="O643" s="6"/>
    </row>
    <row r="644" spans="1:15" ht="15.6">
      <c r="A644" s="560"/>
      <c r="B644" s="6"/>
      <c r="C644" s="6"/>
      <c r="D644" s="6"/>
      <c r="E644" s="6"/>
      <c r="F644" s="6"/>
      <c r="G644" s="6"/>
      <c r="H644" s="6"/>
      <c r="I644" s="6"/>
      <c r="J644" s="6"/>
      <c r="K644" s="6"/>
      <c r="L644" s="6"/>
      <c r="M644" s="6"/>
      <c r="N644" s="6"/>
      <c r="O644" s="6"/>
    </row>
    <row r="645" spans="1:15" ht="15.6">
      <c r="A645" s="560"/>
      <c r="B645" s="6"/>
      <c r="C645" s="6"/>
      <c r="D645" s="6"/>
      <c r="E645" s="6"/>
      <c r="F645" s="6"/>
      <c r="G645" s="6"/>
      <c r="H645" s="6"/>
      <c r="I645" s="6"/>
      <c r="J645" s="6"/>
      <c r="K645" s="6"/>
      <c r="L645" s="6"/>
      <c r="M645" s="6"/>
      <c r="N645" s="6"/>
      <c r="O645" s="6"/>
    </row>
    <row r="646" spans="1:15" ht="15.6">
      <c r="A646" s="560"/>
      <c r="B646" s="6"/>
      <c r="C646" s="6"/>
      <c r="D646" s="6"/>
      <c r="E646" s="6"/>
      <c r="F646" s="6"/>
      <c r="G646" s="6"/>
      <c r="H646" s="6"/>
      <c r="I646" s="6"/>
      <c r="J646" s="6"/>
      <c r="K646" s="6"/>
      <c r="L646" s="6"/>
      <c r="M646" s="6"/>
      <c r="N646" s="6"/>
      <c r="O646" s="6"/>
    </row>
    <row r="647" spans="1:15" ht="15.6">
      <c r="A647" s="560"/>
      <c r="B647" s="6"/>
      <c r="C647" s="6"/>
      <c r="D647" s="6"/>
      <c r="E647" s="6"/>
      <c r="F647" s="6"/>
      <c r="G647" s="6"/>
      <c r="H647" s="6"/>
      <c r="I647" s="6"/>
      <c r="J647" s="6"/>
      <c r="K647" s="6"/>
      <c r="L647" s="6"/>
      <c r="M647" s="6"/>
      <c r="N647" s="6"/>
      <c r="O647" s="6"/>
    </row>
    <row r="648" spans="1:15" ht="15.6">
      <c r="A648" s="560"/>
      <c r="B648" s="6"/>
      <c r="C648" s="6"/>
      <c r="D648" s="6"/>
      <c r="E648" s="6"/>
      <c r="F648" s="6"/>
      <c r="G648" s="6"/>
      <c r="H648" s="6"/>
      <c r="I648" s="6"/>
      <c r="J648" s="6"/>
      <c r="K648" s="6"/>
      <c r="L648" s="6"/>
      <c r="M648" s="6"/>
      <c r="N648" s="6"/>
      <c r="O648" s="6"/>
    </row>
    <row r="649" spans="1:15" ht="15.6">
      <c r="A649" s="560"/>
      <c r="B649" s="6"/>
      <c r="C649" s="6"/>
      <c r="D649" s="6"/>
      <c r="E649" s="6"/>
      <c r="F649" s="6"/>
      <c r="G649" s="6"/>
      <c r="H649" s="6"/>
      <c r="I649" s="6"/>
      <c r="J649" s="6"/>
      <c r="K649" s="6"/>
      <c r="L649" s="6"/>
      <c r="M649" s="6"/>
      <c r="N649" s="6"/>
      <c r="O649" s="6"/>
    </row>
    <row r="650" spans="1:15" ht="15.6">
      <c r="A650" s="560"/>
      <c r="B650" s="6"/>
      <c r="C650" s="6"/>
      <c r="D650" s="6"/>
      <c r="E650" s="6"/>
      <c r="F650" s="6"/>
      <c r="G650" s="6"/>
      <c r="H650" s="6"/>
      <c r="I650" s="6"/>
      <c r="J650" s="6"/>
      <c r="K650" s="6"/>
      <c r="L650" s="6"/>
      <c r="M650" s="6"/>
      <c r="N650" s="6"/>
      <c r="O650" s="6"/>
    </row>
    <row r="651" spans="1:15" ht="15.6">
      <c r="A651" s="560"/>
      <c r="B651" s="6"/>
      <c r="C651" s="6"/>
      <c r="D651" s="6"/>
      <c r="E651" s="6"/>
      <c r="F651" s="6"/>
      <c r="G651" s="6"/>
      <c r="H651" s="6"/>
      <c r="I651" s="6"/>
      <c r="J651" s="6"/>
      <c r="K651" s="6"/>
      <c r="L651" s="6"/>
      <c r="M651" s="6"/>
      <c r="N651" s="6"/>
      <c r="O651" s="6"/>
    </row>
    <row r="652" spans="1:15" ht="15.6">
      <c r="A652" s="560"/>
      <c r="B652" s="6"/>
      <c r="C652" s="6"/>
      <c r="D652" s="6"/>
      <c r="E652" s="6"/>
      <c r="F652" s="6"/>
      <c r="G652" s="6"/>
      <c r="H652" s="6"/>
      <c r="I652" s="6"/>
      <c r="J652" s="6"/>
      <c r="K652" s="6"/>
      <c r="L652" s="6"/>
      <c r="M652" s="6"/>
      <c r="N652" s="6"/>
      <c r="O652" s="6"/>
    </row>
    <row r="653" spans="1:15" ht="15.6">
      <c r="A653" s="560"/>
      <c r="B653" s="6"/>
      <c r="C653" s="6"/>
      <c r="D653" s="6"/>
      <c r="E653" s="6"/>
      <c r="F653" s="6"/>
      <c r="G653" s="6"/>
      <c r="H653" s="6"/>
      <c r="I653" s="6"/>
      <c r="J653" s="6"/>
      <c r="K653" s="6"/>
      <c r="L653" s="6"/>
      <c r="M653" s="6"/>
      <c r="N653" s="6"/>
      <c r="O653" s="6"/>
    </row>
    <row r="654" spans="1:15" ht="15.6">
      <c r="A654" s="560"/>
      <c r="B654" s="6"/>
      <c r="C654" s="6"/>
      <c r="D654" s="6"/>
      <c r="E654" s="6"/>
      <c r="F654" s="6"/>
      <c r="G654" s="6"/>
      <c r="H654" s="6"/>
      <c r="I654" s="6"/>
      <c r="J654" s="6"/>
      <c r="K654" s="6"/>
      <c r="L654" s="6"/>
      <c r="M654" s="6"/>
      <c r="N654" s="6"/>
      <c r="O654" s="6"/>
    </row>
    <row r="655" spans="1:15" ht="15.6">
      <c r="A655" s="560"/>
      <c r="B655" s="6"/>
      <c r="C655" s="6"/>
      <c r="D655" s="6"/>
      <c r="E655" s="6"/>
      <c r="F655" s="6"/>
      <c r="G655" s="6"/>
      <c r="H655" s="6"/>
      <c r="I655" s="6"/>
      <c r="J655" s="6"/>
      <c r="K655" s="6"/>
      <c r="L655" s="6"/>
      <c r="M655" s="6"/>
      <c r="N655" s="6"/>
      <c r="O655" s="6"/>
    </row>
    <row r="656" spans="1:15" ht="15.6">
      <c r="A656" s="560"/>
      <c r="B656" s="6"/>
      <c r="C656" s="6"/>
      <c r="D656" s="6"/>
      <c r="E656" s="6"/>
      <c r="F656" s="6"/>
      <c r="G656" s="6"/>
      <c r="H656" s="6"/>
      <c r="I656" s="6"/>
      <c r="J656" s="6"/>
      <c r="K656" s="6"/>
      <c r="L656" s="6"/>
      <c r="M656" s="6"/>
      <c r="N656" s="6"/>
      <c r="O656" s="6"/>
    </row>
    <row r="657" spans="1:15" ht="15.6">
      <c r="A657" s="560"/>
      <c r="B657" s="6"/>
      <c r="C657" s="6"/>
      <c r="D657" s="6"/>
      <c r="E657" s="6"/>
      <c r="F657" s="6"/>
      <c r="G657" s="6"/>
      <c r="H657" s="6"/>
      <c r="I657" s="6"/>
      <c r="J657" s="6"/>
      <c r="K657" s="6"/>
      <c r="L657" s="6"/>
      <c r="M657" s="6"/>
      <c r="N657" s="6"/>
      <c r="O657" s="6"/>
    </row>
    <row r="658" spans="1:15" ht="15.6">
      <c r="A658" s="560"/>
      <c r="B658" s="6"/>
      <c r="C658" s="6"/>
      <c r="D658" s="6"/>
      <c r="E658" s="6"/>
      <c r="F658" s="6"/>
      <c r="G658" s="6"/>
      <c r="H658" s="6"/>
      <c r="I658" s="6"/>
      <c r="J658" s="6"/>
      <c r="K658" s="6"/>
      <c r="L658" s="6"/>
      <c r="M658" s="6"/>
      <c r="N658" s="6"/>
      <c r="O658" s="6"/>
    </row>
    <row r="659" spans="1:15" ht="15.6">
      <c r="A659" s="560"/>
      <c r="B659" s="6"/>
      <c r="C659" s="6"/>
      <c r="D659" s="6"/>
      <c r="E659" s="6"/>
      <c r="F659" s="6"/>
      <c r="G659" s="6"/>
      <c r="H659" s="6"/>
      <c r="I659" s="6"/>
      <c r="J659" s="6"/>
      <c r="K659" s="6"/>
      <c r="L659" s="6"/>
      <c r="M659" s="6"/>
      <c r="N659" s="6"/>
      <c r="O659" s="6"/>
    </row>
    <row r="660" spans="1:15" ht="15.6">
      <c r="A660" s="560"/>
      <c r="B660" s="6"/>
      <c r="C660" s="6"/>
      <c r="D660" s="6"/>
      <c r="E660" s="6"/>
      <c r="F660" s="6"/>
      <c r="G660" s="6"/>
      <c r="H660" s="6"/>
      <c r="I660" s="6"/>
      <c r="J660" s="6"/>
      <c r="K660" s="6"/>
      <c r="L660" s="6"/>
      <c r="M660" s="6"/>
      <c r="N660" s="6"/>
      <c r="O660" s="6"/>
    </row>
    <row r="661" spans="1:15" ht="15.6">
      <c r="A661" s="560"/>
      <c r="B661" s="6"/>
      <c r="C661" s="6"/>
      <c r="D661" s="6"/>
      <c r="E661" s="6"/>
      <c r="F661" s="6"/>
      <c r="G661" s="6"/>
      <c r="H661" s="6"/>
      <c r="I661" s="6"/>
      <c r="J661" s="6"/>
      <c r="K661" s="6"/>
      <c r="L661" s="6"/>
      <c r="M661" s="6"/>
      <c r="N661" s="6"/>
      <c r="O661" s="6"/>
    </row>
    <row r="662" spans="1:15" ht="15.6">
      <c r="A662" s="560"/>
      <c r="B662" s="6"/>
      <c r="C662" s="6"/>
      <c r="D662" s="6"/>
      <c r="E662" s="6"/>
      <c r="F662" s="6"/>
      <c r="G662" s="6"/>
      <c r="H662" s="6"/>
      <c r="I662" s="6"/>
      <c r="J662" s="6"/>
      <c r="K662" s="6"/>
      <c r="L662" s="6"/>
      <c r="M662" s="6"/>
      <c r="N662" s="6"/>
      <c r="O662" s="6"/>
    </row>
    <row r="663" spans="1:15" ht="15.6">
      <c r="A663" s="560"/>
      <c r="B663" s="6"/>
      <c r="C663" s="6"/>
      <c r="D663" s="6"/>
      <c r="E663" s="6"/>
      <c r="F663" s="6"/>
      <c r="G663" s="6"/>
      <c r="H663" s="6"/>
      <c r="I663" s="6"/>
      <c r="J663" s="6"/>
      <c r="K663" s="6"/>
      <c r="L663" s="6"/>
      <c r="M663" s="6"/>
      <c r="N663" s="6"/>
      <c r="O663" s="6"/>
    </row>
    <row r="664" spans="1:15" ht="15.6">
      <c r="A664" s="560"/>
      <c r="B664" s="6"/>
      <c r="C664" s="6"/>
      <c r="D664" s="6"/>
      <c r="E664" s="6"/>
      <c r="F664" s="6"/>
      <c r="G664" s="6"/>
      <c r="H664" s="6"/>
      <c r="I664" s="6"/>
      <c r="J664" s="6"/>
      <c r="K664" s="6"/>
      <c r="L664" s="6"/>
      <c r="M664" s="6"/>
      <c r="N664" s="6"/>
      <c r="O664" s="6"/>
    </row>
    <row r="665" spans="1:15" ht="15.6">
      <c r="A665" s="560"/>
      <c r="B665" s="6"/>
      <c r="C665" s="6"/>
      <c r="D665" s="6"/>
      <c r="E665" s="6"/>
      <c r="F665" s="6"/>
      <c r="G665" s="6"/>
      <c r="H665" s="6"/>
      <c r="I665" s="6"/>
      <c r="J665" s="6"/>
      <c r="K665" s="6"/>
      <c r="L665" s="6"/>
      <c r="M665" s="6"/>
      <c r="N665" s="6"/>
      <c r="O665" s="6"/>
    </row>
    <row r="666" spans="1:15" ht="15.6">
      <c r="A666" s="560"/>
      <c r="B666" s="6"/>
      <c r="C666" s="6"/>
      <c r="D666" s="6"/>
      <c r="E666" s="6"/>
      <c r="F666" s="6"/>
      <c r="G666" s="6"/>
      <c r="H666" s="6"/>
      <c r="I666" s="6"/>
      <c r="J666" s="6"/>
      <c r="K666" s="6"/>
      <c r="L666" s="6"/>
      <c r="M666" s="6"/>
      <c r="N666" s="6"/>
      <c r="O666" s="6"/>
    </row>
    <row r="667" spans="1:15" ht="15.6">
      <c r="A667" s="560"/>
      <c r="B667" s="6"/>
      <c r="C667" s="6"/>
      <c r="D667" s="6"/>
      <c r="E667" s="6"/>
      <c r="F667" s="6"/>
      <c r="G667" s="6"/>
      <c r="H667" s="6"/>
      <c r="I667" s="6"/>
      <c r="J667" s="6"/>
      <c r="K667" s="6"/>
      <c r="L667" s="6"/>
      <c r="M667" s="6"/>
      <c r="N667" s="6"/>
      <c r="O667" s="6"/>
    </row>
    <row r="668" spans="1:15" ht="15.6">
      <c r="A668" s="560"/>
      <c r="B668" s="6"/>
      <c r="C668" s="6"/>
      <c r="D668" s="6"/>
      <c r="E668" s="6"/>
      <c r="F668" s="6"/>
      <c r="G668" s="6"/>
      <c r="H668" s="6"/>
      <c r="I668" s="6"/>
      <c r="J668" s="6"/>
      <c r="K668" s="6"/>
      <c r="L668" s="6"/>
      <c r="M668" s="6"/>
      <c r="N668" s="6"/>
      <c r="O668" s="6"/>
    </row>
    <row r="669" spans="1:15" ht="15.6">
      <c r="A669" s="560"/>
      <c r="B669" s="6"/>
      <c r="C669" s="6"/>
      <c r="D669" s="6"/>
      <c r="E669" s="6"/>
      <c r="F669" s="6"/>
      <c r="G669" s="6"/>
      <c r="H669" s="6"/>
      <c r="I669" s="6"/>
      <c r="J669" s="6"/>
      <c r="K669" s="6"/>
      <c r="L669" s="6"/>
      <c r="M669" s="6"/>
      <c r="N669" s="6"/>
      <c r="O669" s="6"/>
    </row>
    <row r="670" spans="1:15" ht="15.6">
      <c r="A670" s="560"/>
      <c r="B670" s="6"/>
      <c r="C670" s="6"/>
      <c r="D670" s="6"/>
      <c r="E670" s="6"/>
      <c r="F670" s="6"/>
      <c r="G670" s="6"/>
      <c r="H670" s="6"/>
      <c r="I670" s="6"/>
      <c r="J670" s="6"/>
      <c r="K670" s="6"/>
      <c r="L670" s="6"/>
      <c r="M670" s="6"/>
      <c r="N670" s="6"/>
      <c r="O670" s="6"/>
    </row>
    <row r="671" spans="1:15" ht="15.6">
      <c r="A671" s="560"/>
      <c r="B671" s="6"/>
      <c r="C671" s="6"/>
      <c r="D671" s="6"/>
      <c r="E671" s="6"/>
      <c r="F671" s="6"/>
      <c r="G671" s="6"/>
      <c r="H671" s="6"/>
      <c r="I671" s="6"/>
      <c r="J671" s="6"/>
      <c r="K671" s="6"/>
      <c r="L671" s="6"/>
      <c r="M671" s="6"/>
      <c r="N671" s="6"/>
      <c r="O671" s="6"/>
    </row>
    <row r="672" spans="1:15" ht="15.6">
      <c r="A672" s="560"/>
      <c r="B672" s="6"/>
      <c r="C672" s="6"/>
      <c r="D672" s="6"/>
      <c r="E672" s="6"/>
      <c r="F672" s="6"/>
      <c r="G672" s="6"/>
      <c r="H672" s="6"/>
      <c r="I672" s="6"/>
      <c r="J672" s="6"/>
      <c r="K672" s="6"/>
      <c r="L672" s="6"/>
      <c r="M672" s="6"/>
      <c r="N672" s="6"/>
      <c r="O672" s="6"/>
    </row>
    <row r="673" spans="1:15" ht="15.6">
      <c r="A673" s="560"/>
      <c r="B673" s="6"/>
      <c r="C673" s="6"/>
      <c r="D673" s="6"/>
      <c r="E673" s="6"/>
      <c r="F673" s="6"/>
      <c r="G673" s="6"/>
      <c r="H673" s="6"/>
      <c r="I673" s="6"/>
      <c r="J673" s="6"/>
      <c r="K673" s="6"/>
      <c r="L673" s="6"/>
      <c r="M673" s="6"/>
      <c r="N673" s="6"/>
      <c r="O673" s="6"/>
    </row>
    <row r="674" spans="1:15" ht="15.6">
      <c r="A674" s="560"/>
      <c r="B674" s="6"/>
      <c r="C674" s="6"/>
      <c r="D674" s="6"/>
      <c r="E674" s="6"/>
      <c r="F674" s="6"/>
      <c r="G674" s="6"/>
      <c r="H674" s="6"/>
      <c r="I674" s="6"/>
      <c r="J674" s="6"/>
      <c r="K674" s="6"/>
      <c r="L674" s="6"/>
      <c r="M674" s="6"/>
      <c r="N674" s="6"/>
      <c r="O674" s="6"/>
    </row>
    <row r="675" spans="1:15" ht="15.6">
      <c r="A675" s="560"/>
      <c r="B675" s="6"/>
      <c r="C675" s="6"/>
      <c r="D675" s="6"/>
      <c r="E675" s="6"/>
      <c r="F675" s="6"/>
      <c r="G675" s="6"/>
      <c r="H675" s="6"/>
      <c r="I675" s="6"/>
      <c r="J675" s="6"/>
      <c r="K675" s="6"/>
      <c r="L675" s="6"/>
      <c r="M675" s="6"/>
      <c r="N675" s="6"/>
      <c r="O675" s="6"/>
    </row>
    <row r="676" spans="1:15" ht="15.6">
      <c r="A676" s="560"/>
      <c r="B676" s="6"/>
      <c r="C676" s="6"/>
      <c r="D676" s="6"/>
      <c r="E676" s="6"/>
      <c r="F676" s="6"/>
      <c r="G676" s="6"/>
      <c r="H676" s="6"/>
      <c r="I676" s="6"/>
      <c r="J676" s="6"/>
      <c r="K676" s="6"/>
      <c r="L676" s="6"/>
      <c r="M676" s="6"/>
      <c r="N676" s="6"/>
      <c r="O676" s="6"/>
    </row>
    <row r="677" spans="1:15" ht="15.6">
      <c r="A677" s="560"/>
      <c r="B677" s="6"/>
      <c r="C677" s="6"/>
      <c r="D677" s="6"/>
      <c r="E677" s="6"/>
      <c r="F677" s="6"/>
      <c r="G677" s="6"/>
      <c r="H677" s="6"/>
      <c r="I677" s="6"/>
      <c r="J677" s="6"/>
      <c r="K677" s="6"/>
      <c r="L677" s="6"/>
      <c r="M677" s="6"/>
      <c r="N677" s="6"/>
      <c r="O677" s="6"/>
    </row>
    <row r="678" spans="1:15" ht="15.6">
      <c r="A678" s="560"/>
      <c r="B678" s="6"/>
      <c r="C678" s="6"/>
      <c r="D678" s="6"/>
      <c r="E678" s="6"/>
      <c r="F678" s="6"/>
      <c r="G678" s="6"/>
      <c r="H678" s="6"/>
      <c r="I678" s="6"/>
      <c r="J678" s="6"/>
      <c r="K678" s="6"/>
      <c r="L678" s="6"/>
      <c r="M678" s="6"/>
      <c r="N678" s="6"/>
      <c r="O678" s="6"/>
    </row>
    <row r="679" spans="1:15" ht="15.6">
      <c r="A679" s="560"/>
      <c r="B679" s="6"/>
      <c r="C679" s="6"/>
      <c r="D679" s="6"/>
      <c r="E679" s="6"/>
      <c r="F679" s="6"/>
      <c r="G679" s="6"/>
      <c r="H679" s="6"/>
      <c r="I679" s="6"/>
      <c r="J679" s="6"/>
      <c r="K679" s="6"/>
      <c r="L679" s="6"/>
      <c r="M679" s="6"/>
      <c r="N679" s="6"/>
      <c r="O679" s="6"/>
    </row>
    <row r="680" spans="1:15" ht="15.6">
      <c r="A680" s="560"/>
      <c r="B680" s="6"/>
      <c r="C680" s="6"/>
      <c r="D680" s="6"/>
      <c r="E680" s="6"/>
      <c r="F680" s="6"/>
      <c r="G680" s="6"/>
      <c r="H680" s="6"/>
      <c r="I680" s="6"/>
      <c r="J680" s="6"/>
      <c r="K680" s="6"/>
      <c r="L680" s="6"/>
      <c r="M680" s="6"/>
      <c r="N680" s="6"/>
      <c r="O680" s="6"/>
    </row>
    <row r="681" spans="1:15" ht="15.6">
      <c r="A681" s="560"/>
      <c r="B681" s="6"/>
      <c r="C681" s="6"/>
      <c r="D681" s="6"/>
      <c r="E681" s="6"/>
      <c r="F681" s="6"/>
      <c r="G681" s="6"/>
      <c r="H681" s="6"/>
      <c r="I681" s="6"/>
      <c r="J681" s="6"/>
      <c r="K681" s="6"/>
      <c r="L681" s="6"/>
      <c r="M681" s="6"/>
      <c r="N681" s="6"/>
      <c r="O681" s="6"/>
    </row>
    <row r="682" spans="1:15" ht="15.6">
      <c r="A682" s="560"/>
      <c r="B682" s="6"/>
      <c r="C682" s="6"/>
      <c r="D682" s="6"/>
      <c r="E682" s="6"/>
      <c r="F682" s="6"/>
      <c r="G682" s="6"/>
      <c r="H682" s="6"/>
      <c r="I682" s="6"/>
      <c r="J682" s="6"/>
      <c r="K682" s="6"/>
      <c r="L682" s="6"/>
      <c r="M682" s="6"/>
      <c r="N682" s="6"/>
      <c r="O682" s="6"/>
    </row>
    <row r="683" spans="1:15" ht="15.6">
      <c r="A683" s="560"/>
      <c r="B683" s="6"/>
      <c r="C683" s="6"/>
      <c r="D683" s="6"/>
      <c r="E683" s="6"/>
      <c r="F683" s="6"/>
      <c r="G683" s="6"/>
      <c r="H683" s="6"/>
      <c r="I683" s="6"/>
      <c r="J683" s="6"/>
      <c r="K683" s="6"/>
      <c r="L683" s="6"/>
      <c r="M683" s="6"/>
      <c r="N683" s="6"/>
      <c r="O683" s="6"/>
    </row>
    <row r="684" spans="1:15" ht="15.6">
      <c r="A684" s="560"/>
      <c r="B684" s="6"/>
      <c r="C684" s="6"/>
      <c r="D684" s="6"/>
      <c r="E684" s="6"/>
      <c r="F684" s="6"/>
      <c r="G684" s="6"/>
      <c r="H684" s="6"/>
      <c r="I684" s="6"/>
      <c r="J684" s="6"/>
      <c r="K684" s="6"/>
      <c r="L684" s="6"/>
      <c r="M684" s="6"/>
      <c r="N684" s="6"/>
      <c r="O684" s="6"/>
    </row>
    <row r="685" spans="1:15" ht="15.6">
      <c r="A685" s="560"/>
      <c r="B685" s="6"/>
      <c r="C685" s="6"/>
      <c r="D685" s="6"/>
      <c r="E685" s="6"/>
      <c r="F685" s="6"/>
      <c r="G685" s="6"/>
      <c r="H685" s="6"/>
      <c r="I685" s="6"/>
      <c r="J685" s="6"/>
      <c r="K685" s="6"/>
      <c r="L685" s="6"/>
      <c r="M685" s="6"/>
      <c r="N685" s="6"/>
      <c r="O685" s="6"/>
    </row>
    <row r="686" spans="1:15" ht="15.6">
      <c r="A686" s="560"/>
      <c r="B686" s="6"/>
      <c r="C686" s="6"/>
      <c r="D686" s="6"/>
      <c r="E686" s="6"/>
      <c r="F686" s="6"/>
      <c r="G686" s="6"/>
      <c r="H686" s="6"/>
      <c r="I686" s="6"/>
      <c r="J686" s="6"/>
      <c r="K686" s="6"/>
      <c r="L686" s="6"/>
      <c r="M686" s="6"/>
      <c r="N686" s="6"/>
      <c r="O686" s="6"/>
    </row>
    <row r="687" spans="1:15" ht="15.6">
      <c r="A687" s="560"/>
      <c r="B687" s="6"/>
      <c r="C687" s="6"/>
      <c r="D687" s="6"/>
      <c r="E687" s="6"/>
      <c r="F687" s="6"/>
      <c r="G687" s="6"/>
      <c r="H687" s="6"/>
      <c r="I687" s="6"/>
      <c r="J687" s="6"/>
      <c r="K687" s="6"/>
      <c r="L687" s="6"/>
      <c r="M687" s="6"/>
      <c r="N687" s="6"/>
      <c r="O687" s="6"/>
    </row>
    <row r="688" spans="1:15" ht="15.6">
      <c r="A688" s="560"/>
      <c r="B688" s="6"/>
      <c r="C688" s="6"/>
      <c r="D688" s="6"/>
      <c r="E688" s="6"/>
      <c r="F688" s="6"/>
      <c r="G688" s="6"/>
      <c r="H688" s="6"/>
      <c r="I688" s="6"/>
      <c r="J688" s="6"/>
      <c r="K688" s="6"/>
      <c r="L688" s="6"/>
      <c r="M688" s="6"/>
      <c r="N688" s="6"/>
      <c r="O688" s="6"/>
    </row>
    <row r="689" spans="1:15" ht="15.6">
      <c r="A689" s="560"/>
      <c r="B689" s="6"/>
      <c r="C689" s="6"/>
      <c r="D689" s="6"/>
      <c r="E689" s="6"/>
      <c r="F689" s="6"/>
      <c r="G689" s="6"/>
      <c r="H689" s="6"/>
      <c r="I689" s="6"/>
      <c r="J689" s="6"/>
      <c r="K689" s="6"/>
      <c r="L689" s="6"/>
      <c r="M689" s="6"/>
      <c r="N689" s="6"/>
      <c r="O689" s="6"/>
    </row>
    <row r="690" spans="1:15" ht="15.6">
      <c r="A690" s="560"/>
      <c r="B690" s="6"/>
      <c r="C690" s="6"/>
      <c r="D690" s="6"/>
      <c r="E690" s="6"/>
      <c r="F690" s="6"/>
      <c r="G690" s="6"/>
      <c r="H690" s="6"/>
      <c r="I690" s="6"/>
      <c r="J690" s="6"/>
      <c r="K690" s="6"/>
      <c r="L690" s="6"/>
      <c r="M690" s="6"/>
      <c r="N690" s="6"/>
      <c r="O690" s="6"/>
    </row>
    <row r="691" spans="1:15" ht="15.6">
      <c r="A691" s="560"/>
      <c r="B691" s="6"/>
      <c r="C691" s="6"/>
      <c r="D691" s="6"/>
      <c r="E691" s="6"/>
      <c r="F691" s="6"/>
      <c r="G691" s="6"/>
      <c r="H691" s="6"/>
      <c r="I691" s="6"/>
      <c r="J691" s="6"/>
      <c r="K691" s="6"/>
      <c r="L691" s="6"/>
      <c r="M691" s="6"/>
      <c r="N691" s="6"/>
      <c r="O691" s="6"/>
    </row>
    <row r="692" spans="1:15" ht="15.6">
      <c r="A692" s="560"/>
      <c r="B692" s="6"/>
      <c r="C692" s="6"/>
      <c r="D692" s="6"/>
      <c r="E692" s="6"/>
      <c r="F692" s="6"/>
      <c r="G692" s="6"/>
      <c r="H692" s="6"/>
      <c r="I692" s="6"/>
      <c r="J692" s="6"/>
      <c r="K692" s="6"/>
      <c r="L692" s="6"/>
      <c r="M692" s="6"/>
      <c r="N692" s="6"/>
      <c r="O692" s="6"/>
    </row>
    <row r="693" spans="1:15" ht="15.6">
      <c r="A693" s="560"/>
      <c r="B693" s="6"/>
      <c r="C693" s="6"/>
      <c r="D693" s="6"/>
      <c r="E693" s="6"/>
      <c r="F693" s="6"/>
      <c r="G693" s="6"/>
      <c r="H693" s="6"/>
      <c r="I693" s="6"/>
      <c r="J693" s="6"/>
      <c r="K693" s="6"/>
      <c r="L693" s="6"/>
      <c r="M693" s="6"/>
      <c r="N693" s="6"/>
      <c r="O693" s="6"/>
    </row>
    <row r="694" spans="1:15" ht="15.6">
      <c r="A694" s="560"/>
      <c r="B694" s="6"/>
      <c r="C694" s="6"/>
      <c r="D694" s="6"/>
      <c r="E694" s="6"/>
      <c r="F694" s="6"/>
      <c r="G694" s="6"/>
      <c r="H694" s="6"/>
      <c r="I694" s="6"/>
      <c r="J694" s="6"/>
      <c r="K694" s="6"/>
      <c r="L694" s="6"/>
      <c r="M694" s="6"/>
      <c r="N694" s="6"/>
      <c r="O694" s="6"/>
    </row>
    <row r="695" spans="1:15" ht="15.6">
      <c r="A695" s="560"/>
      <c r="B695" s="6"/>
      <c r="C695" s="6"/>
      <c r="D695" s="6"/>
      <c r="E695" s="6"/>
      <c r="F695" s="6"/>
      <c r="G695" s="6"/>
      <c r="H695" s="6"/>
      <c r="I695" s="6"/>
      <c r="J695" s="6"/>
      <c r="K695" s="6"/>
      <c r="L695" s="6"/>
      <c r="M695" s="6"/>
      <c r="N695" s="6"/>
      <c r="O695" s="6"/>
    </row>
    <row r="696" spans="1:15" ht="15.6">
      <c r="A696" s="560"/>
      <c r="B696" s="6"/>
      <c r="C696" s="6"/>
      <c r="D696" s="6"/>
      <c r="E696" s="6"/>
      <c r="F696" s="6"/>
      <c r="G696" s="6"/>
      <c r="H696" s="6"/>
      <c r="I696" s="6"/>
      <c r="J696" s="6"/>
      <c r="K696" s="6"/>
      <c r="L696" s="6"/>
      <c r="M696" s="6"/>
      <c r="N696" s="6"/>
      <c r="O696" s="6"/>
    </row>
    <row r="697" spans="1:15" ht="15.6">
      <c r="A697" s="560"/>
      <c r="B697" s="6"/>
      <c r="C697" s="6"/>
      <c r="D697" s="6"/>
      <c r="E697" s="6"/>
      <c r="F697" s="6"/>
      <c r="G697" s="6"/>
      <c r="H697" s="6"/>
      <c r="I697" s="6"/>
      <c r="J697" s="6"/>
      <c r="K697" s="6"/>
      <c r="L697" s="6"/>
      <c r="M697" s="6"/>
      <c r="N697" s="6"/>
      <c r="O697" s="6"/>
    </row>
    <row r="698" spans="1:15" ht="15.6">
      <c r="A698" s="560"/>
      <c r="B698" s="6"/>
      <c r="C698" s="6"/>
      <c r="D698" s="6"/>
      <c r="E698" s="6"/>
      <c r="F698" s="6"/>
      <c r="G698" s="6"/>
      <c r="H698" s="6"/>
      <c r="I698" s="6"/>
      <c r="J698" s="6"/>
      <c r="K698" s="6"/>
      <c r="L698" s="6"/>
      <c r="M698" s="6"/>
      <c r="N698" s="6"/>
      <c r="O698" s="6"/>
    </row>
    <row r="699" spans="1:15" ht="15.6">
      <c r="A699" s="560"/>
      <c r="B699" s="6"/>
      <c r="C699" s="6"/>
      <c r="D699" s="6"/>
      <c r="E699" s="6"/>
      <c r="F699" s="6"/>
      <c r="G699" s="6"/>
      <c r="H699" s="6"/>
      <c r="I699" s="6"/>
      <c r="J699" s="6"/>
      <c r="K699" s="6"/>
      <c r="L699" s="6"/>
      <c r="M699" s="6"/>
      <c r="N699" s="6"/>
      <c r="O699" s="6"/>
    </row>
    <row r="700" spans="1:15" ht="15.6">
      <c r="A700" s="560"/>
      <c r="B700" s="6"/>
      <c r="C700" s="6"/>
      <c r="D700" s="6"/>
      <c r="E700" s="6"/>
      <c r="F700" s="6"/>
      <c r="G700" s="6"/>
      <c r="H700" s="6"/>
      <c r="I700" s="6"/>
      <c r="J700" s="6"/>
      <c r="K700" s="6"/>
      <c r="L700" s="6"/>
      <c r="M700" s="6"/>
      <c r="N700" s="6"/>
      <c r="O700" s="6"/>
    </row>
    <row r="701" spans="1:15" ht="15.6">
      <c r="A701" s="560"/>
      <c r="B701" s="6"/>
      <c r="C701" s="6"/>
      <c r="D701" s="6"/>
      <c r="E701" s="6"/>
      <c r="F701" s="6"/>
      <c r="G701" s="6"/>
      <c r="H701" s="6"/>
      <c r="I701" s="6"/>
      <c r="J701" s="6"/>
      <c r="K701" s="6"/>
      <c r="L701" s="6"/>
      <c r="M701" s="6"/>
      <c r="N701" s="6"/>
      <c r="O701" s="6"/>
    </row>
    <row r="702" spans="1:15" ht="15.6">
      <c r="A702" s="560"/>
      <c r="B702" s="6"/>
      <c r="C702" s="6"/>
      <c r="D702" s="6"/>
      <c r="E702" s="6"/>
      <c r="F702" s="6"/>
      <c r="G702" s="6"/>
      <c r="H702" s="6"/>
      <c r="I702" s="6"/>
      <c r="J702" s="6"/>
      <c r="K702" s="6"/>
      <c r="L702" s="6"/>
      <c r="M702" s="6"/>
      <c r="N702" s="6"/>
      <c r="O702" s="6"/>
    </row>
    <row r="703" spans="1:15" ht="15.6">
      <c r="A703" s="560"/>
      <c r="B703" s="6"/>
      <c r="C703" s="6"/>
      <c r="D703" s="6"/>
      <c r="E703" s="6"/>
      <c r="F703" s="6"/>
      <c r="G703" s="6"/>
      <c r="H703" s="6"/>
      <c r="I703" s="6"/>
      <c r="J703" s="6"/>
      <c r="K703" s="6"/>
      <c r="L703" s="6"/>
      <c r="M703" s="6"/>
      <c r="N703" s="6"/>
      <c r="O703" s="6"/>
    </row>
    <row r="704" spans="1:15" ht="15.6">
      <c r="A704" s="560"/>
      <c r="B704" s="6"/>
      <c r="C704" s="6"/>
      <c r="D704" s="6"/>
      <c r="E704" s="6"/>
      <c r="F704" s="6"/>
      <c r="G704" s="6"/>
      <c r="H704" s="6"/>
      <c r="I704" s="6"/>
      <c r="J704" s="6"/>
      <c r="K704" s="6"/>
      <c r="L704" s="6"/>
      <c r="M704" s="6"/>
      <c r="N704" s="6"/>
      <c r="O704" s="6"/>
    </row>
    <row r="705" spans="1:15" ht="15.6">
      <c r="A705" s="560"/>
      <c r="B705" s="6"/>
      <c r="C705" s="6"/>
      <c r="D705" s="6"/>
      <c r="E705" s="6"/>
      <c r="F705" s="6"/>
      <c r="G705" s="6"/>
      <c r="H705" s="6"/>
      <c r="I705" s="6"/>
      <c r="J705" s="6"/>
      <c r="K705" s="6"/>
      <c r="L705" s="6"/>
      <c r="M705" s="6"/>
      <c r="N705" s="6"/>
      <c r="O705" s="6"/>
    </row>
    <row r="706" spans="1:15" ht="15.6">
      <c r="A706" s="560"/>
      <c r="B706" s="6"/>
      <c r="C706" s="6"/>
      <c r="D706" s="6"/>
      <c r="E706" s="6"/>
      <c r="F706" s="6"/>
      <c r="G706" s="6"/>
      <c r="H706" s="6"/>
      <c r="I706" s="6"/>
      <c r="J706" s="6"/>
      <c r="K706" s="6"/>
      <c r="L706" s="6"/>
      <c r="M706" s="6"/>
      <c r="N706" s="6"/>
      <c r="O706" s="6"/>
    </row>
    <row r="707" spans="1:15" ht="15.6">
      <c r="A707" s="560"/>
      <c r="B707" s="6"/>
      <c r="C707" s="6"/>
      <c r="D707" s="6"/>
      <c r="E707" s="6"/>
      <c r="F707" s="6"/>
      <c r="G707" s="6"/>
      <c r="H707" s="6"/>
      <c r="I707" s="6"/>
      <c r="J707" s="6"/>
      <c r="K707" s="6"/>
      <c r="L707" s="6"/>
      <c r="M707" s="6"/>
      <c r="N707" s="6"/>
      <c r="O707" s="6"/>
    </row>
    <row r="708" spans="1:15" ht="15.6">
      <c r="A708" s="560"/>
      <c r="B708" s="6"/>
      <c r="C708" s="6"/>
      <c r="D708" s="6"/>
      <c r="E708" s="6"/>
      <c r="F708" s="6"/>
      <c r="G708" s="6"/>
      <c r="H708" s="6"/>
      <c r="I708" s="6"/>
      <c r="J708" s="6"/>
      <c r="K708" s="6"/>
      <c r="L708" s="6"/>
      <c r="M708" s="6"/>
      <c r="N708" s="6"/>
      <c r="O708" s="6"/>
    </row>
    <row r="709" spans="1:15" ht="15.6">
      <c r="A709" s="560"/>
      <c r="B709" s="6"/>
      <c r="C709" s="6"/>
      <c r="D709" s="6"/>
      <c r="E709" s="6"/>
      <c r="F709" s="6"/>
      <c r="G709" s="6"/>
      <c r="H709" s="6"/>
      <c r="I709" s="6"/>
      <c r="J709" s="6"/>
      <c r="K709" s="6"/>
      <c r="L709" s="6"/>
      <c r="M709" s="6"/>
      <c r="N709" s="6"/>
      <c r="O709" s="6"/>
    </row>
    <row r="710" spans="1:15" ht="15.6">
      <c r="A710" s="560"/>
      <c r="B710" s="6"/>
      <c r="C710" s="6"/>
      <c r="D710" s="6"/>
      <c r="E710" s="6"/>
      <c r="F710" s="6"/>
      <c r="G710" s="6"/>
      <c r="H710" s="6"/>
      <c r="I710" s="6"/>
      <c r="J710" s="6"/>
      <c r="K710" s="6"/>
      <c r="L710" s="6"/>
      <c r="M710" s="6"/>
      <c r="N710" s="6"/>
      <c r="O710" s="6"/>
    </row>
    <row r="711" spans="1:15" ht="15.6">
      <c r="A711" s="560"/>
      <c r="B711" s="6"/>
      <c r="C711" s="6"/>
      <c r="D711" s="6"/>
      <c r="E711" s="6"/>
      <c r="F711" s="6"/>
      <c r="G711" s="6"/>
      <c r="H711" s="6"/>
      <c r="I711" s="6"/>
      <c r="J711" s="6"/>
      <c r="K711" s="6"/>
      <c r="L711" s="6"/>
      <c r="M711" s="6"/>
      <c r="N711" s="6"/>
      <c r="O711" s="6"/>
    </row>
    <row r="712" spans="1:15" ht="15.6">
      <c r="A712" s="560"/>
      <c r="B712" s="6"/>
      <c r="C712" s="6"/>
      <c r="D712" s="6"/>
      <c r="E712" s="6"/>
      <c r="F712" s="6"/>
      <c r="G712" s="6"/>
      <c r="H712" s="6"/>
      <c r="I712" s="6"/>
      <c r="J712" s="6"/>
      <c r="K712" s="6"/>
      <c r="L712" s="6"/>
      <c r="M712" s="6"/>
      <c r="N712" s="6"/>
      <c r="O712" s="6"/>
    </row>
    <row r="713" spans="1:15" ht="15.6">
      <c r="A713" s="560"/>
      <c r="B713" s="6"/>
      <c r="C713" s="6"/>
      <c r="D713" s="6"/>
      <c r="E713" s="6"/>
      <c r="F713" s="6"/>
      <c r="G713" s="6"/>
      <c r="H713" s="6"/>
      <c r="I713" s="6"/>
      <c r="J713" s="6"/>
      <c r="K713" s="6"/>
      <c r="L713" s="6"/>
      <c r="M713" s="6"/>
      <c r="N713" s="6"/>
      <c r="O713" s="6"/>
    </row>
    <row r="714" spans="1:15" ht="15.6">
      <c r="A714" s="560"/>
      <c r="B714" s="6"/>
      <c r="C714" s="6"/>
      <c r="D714" s="6"/>
      <c r="E714" s="6"/>
      <c r="F714" s="6"/>
      <c r="G714" s="6"/>
      <c r="H714" s="6"/>
      <c r="I714" s="6"/>
      <c r="J714" s="6"/>
      <c r="K714" s="6"/>
      <c r="L714" s="6"/>
      <c r="M714" s="6"/>
      <c r="N714" s="6"/>
      <c r="O714" s="6"/>
    </row>
    <row r="715" spans="1:15" ht="15.6">
      <c r="A715" s="560"/>
      <c r="B715" s="6"/>
      <c r="C715" s="6"/>
      <c r="D715" s="6"/>
      <c r="E715" s="6"/>
      <c r="F715" s="6"/>
      <c r="G715" s="6"/>
      <c r="H715" s="6"/>
      <c r="I715" s="6"/>
      <c r="J715" s="6"/>
      <c r="K715" s="6"/>
      <c r="L715" s="6"/>
      <c r="M715" s="6"/>
      <c r="N715" s="6"/>
      <c r="O715" s="6"/>
    </row>
    <row r="716" spans="1:15" ht="15.6">
      <c r="A716" s="560"/>
      <c r="B716" s="6"/>
      <c r="C716" s="6"/>
      <c r="D716" s="6"/>
      <c r="E716" s="6"/>
      <c r="F716" s="6"/>
      <c r="G716" s="6"/>
      <c r="H716" s="6"/>
      <c r="I716" s="6"/>
      <c r="J716" s="6"/>
      <c r="K716" s="6"/>
      <c r="L716" s="6"/>
      <c r="M716" s="6"/>
      <c r="N716" s="6"/>
      <c r="O716" s="6"/>
    </row>
    <row r="717" spans="1:15" ht="15.6">
      <c r="A717" s="560"/>
      <c r="B717" s="6"/>
      <c r="C717" s="6"/>
      <c r="D717" s="6"/>
      <c r="E717" s="6"/>
      <c r="F717" s="6"/>
      <c r="G717" s="6"/>
      <c r="H717" s="6"/>
      <c r="I717" s="6"/>
      <c r="J717" s="6"/>
      <c r="K717" s="6"/>
      <c r="L717" s="6"/>
      <c r="M717" s="6"/>
      <c r="N717" s="6"/>
      <c r="O717" s="6"/>
    </row>
    <row r="718" spans="1:15" ht="15.6">
      <c r="A718" s="560"/>
      <c r="B718" s="6"/>
      <c r="C718" s="6"/>
      <c r="D718" s="6"/>
      <c r="E718" s="6"/>
      <c r="F718" s="6"/>
      <c r="G718" s="6"/>
      <c r="H718" s="6"/>
      <c r="I718" s="6"/>
      <c r="J718" s="6"/>
      <c r="K718" s="6"/>
      <c r="L718" s="6"/>
      <c r="M718" s="6"/>
      <c r="N718" s="6"/>
      <c r="O718" s="6"/>
    </row>
    <row r="719" spans="1:15" ht="15.6">
      <c r="A719" s="560"/>
      <c r="B719" s="6"/>
      <c r="C719" s="6"/>
      <c r="D719" s="6"/>
      <c r="E719" s="6"/>
      <c r="F719" s="6"/>
      <c r="G719" s="6"/>
      <c r="H719" s="6"/>
      <c r="I719" s="6"/>
      <c r="J719" s="6"/>
      <c r="K719" s="6"/>
      <c r="L719" s="6"/>
      <c r="M719" s="6"/>
      <c r="N719" s="6"/>
      <c r="O719" s="6"/>
    </row>
    <row r="720" spans="1:15" ht="15.6">
      <c r="A720" s="560"/>
      <c r="B720" s="6"/>
      <c r="C720" s="6"/>
      <c r="D720" s="6"/>
      <c r="E720" s="6"/>
      <c r="F720" s="6"/>
      <c r="G720" s="6"/>
      <c r="H720" s="6"/>
      <c r="I720" s="6"/>
      <c r="J720" s="6"/>
      <c r="K720" s="6"/>
      <c r="L720" s="6"/>
      <c r="M720" s="6"/>
      <c r="N720" s="6"/>
      <c r="O720" s="6"/>
    </row>
    <row r="721" spans="1:15" ht="15.6">
      <c r="A721" s="560"/>
      <c r="B721" s="6"/>
      <c r="C721" s="6"/>
      <c r="D721" s="6"/>
      <c r="E721" s="6"/>
      <c r="F721" s="6"/>
      <c r="G721" s="6"/>
      <c r="H721" s="6"/>
      <c r="I721" s="6"/>
      <c r="J721" s="6"/>
      <c r="K721" s="6"/>
      <c r="L721" s="6"/>
      <c r="M721" s="6"/>
      <c r="N721" s="6"/>
      <c r="O721" s="6"/>
    </row>
    <row r="722" spans="1:15" ht="15.6">
      <c r="A722" s="560"/>
      <c r="B722" s="6"/>
      <c r="C722" s="6"/>
      <c r="D722" s="6"/>
      <c r="E722" s="6"/>
      <c r="F722" s="6"/>
      <c r="G722" s="6"/>
      <c r="H722" s="6"/>
      <c r="I722" s="6"/>
      <c r="J722" s="6"/>
      <c r="K722" s="6"/>
      <c r="L722" s="6"/>
      <c r="M722" s="6"/>
      <c r="N722" s="6"/>
      <c r="O722" s="6"/>
    </row>
    <row r="723" spans="1:15" ht="15.6">
      <c r="A723" s="560"/>
      <c r="B723" s="6"/>
      <c r="C723" s="6"/>
      <c r="D723" s="6"/>
      <c r="E723" s="6"/>
      <c r="F723" s="6"/>
      <c r="G723" s="6"/>
      <c r="H723" s="6"/>
      <c r="I723" s="6"/>
      <c r="J723" s="6"/>
      <c r="K723" s="6"/>
      <c r="L723" s="6"/>
      <c r="M723" s="6"/>
      <c r="N723" s="6"/>
      <c r="O723" s="6"/>
    </row>
    <row r="724" spans="1:15" ht="15.6">
      <c r="A724" s="560"/>
      <c r="B724" s="6"/>
      <c r="C724" s="6"/>
      <c r="D724" s="6"/>
      <c r="E724" s="6"/>
      <c r="F724" s="6"/>
      <c r="G724" s="6"/>
      <c r="H724" s="6"/>
      <c r="I724" s="6"/>
      <c r="J724" s="6"/>
      <c r="K724" s="6"/>
      <c r="L724" s="6"/>
      <c r="M724" s="6"/>
      <c r="N724" s="6"/>
      <c r="O724" s="6"/>
    </row>
    <row r="725" spans="1:15" ht="15.6">
      <c r="A725" s="560"/>
      <c r="B725" s="6"/>
      <c r="C725" s="6"/>
      <c r="D725" s="6"/>
      <c r="E725" s="6"/>
      <c r="F725" s="6"/>
      <c r="G725" s="6"/>
      <c r="H725" s="6"/>
      <c r="I725" s="6"/>
      <c r="J725" s="6"/>
      <c r="K725" s="6"/>
      <c r="L725" s="6"/>
      <c r="M725" s="6"/>
      <c r="N725" s="6"/>
      <c r="O725" s="6"/>
    </row>
    <row r="726" spans="1:15" ht="15.6">
      <c r="A726" s="560"/>
      <c r="B726" s="6"/>
      <c r="C726" s="6"/>
      <c r="D726" s="6"/>
      <c r="E726" s="6"/>
      <c r="F726" s="6"/>
      <c r="G726" s="6"/>
      <c r="H726" s="6"/>
      <c r="I726" s="6"/>
      <c r="J726" s="6"/>
      <c r="K726" s="6"/>
      <c r="L726" s="6"/>
      <c r="M726" s="6"/>
      <c r="N726" s="6"/>
      <c r="O726" s="6"/>
    </row>
    <row r="727" spans="1:15" ht="15.6">
      <c r="A727" s="560"/>
      <c r="B727" s="6"/>
      <c r="C727" s="6"/>
      <c r="D727" s="6"/>
      <c r="E727" s="6"/>
      <c r="F727" s="6"/>
      <c r="G727" s="6"/>
      <c r="H727" s="6"/>
      <c r="I727" s="6"/>
      <c r="J727" s="6"/>
      <c r="K727" s="6"/>
      <c r="L727" s="6"/>
      <c r="M727" s="6"/>
      <c r="N727" s="6"/>
      <c r="O727" s="6"/>
    </row>
    <row r="728" spans="1:15" ht="15.6">
      <c r="A728" s="560"/>
      <c r="B728" s="6"/>
      <c r="C728" s="6"/>
      <c r="D728" s="6"/>
      <c r="E728" s="6"/>
      <c r="F728" s="6"/>
      <c r="G728" s="6"/>
      <c r="H728" s="6"/>
      <c r="I728" s="6"/>
      <c r="J728" s="6"/>
      <c r="K728" s="6"/>
      <c r="L728" s="6"/>
      <c r="M728" s="6"/>
      <c r="N728" s="6"/>
      <c r="O728" s="6"/>
    </row>
    <row r="729" spans="1:15" ht="15.6">
      <c r="A729" s="560"/>
      <c r="B729" s="6"/>
      <c r="C729" s="6"/>
      <c r="D729" s="6"/>
      <c r="E729" s="6"/>
      <c r="F729" s="6"/>
      <c r="G729" s="6"/>
      <c r="H729" s="6"/>
      <c r="I729" s="6"/>
      <c r="J729" s="6"/>
      <c r="K729" s="6"/>
      <c r="L729" s="6"/>
      <c r="M729" s="6"/>
      <c r="N729" s="6"/>
      <c r="O729" s="6"/>
    </row>
    <row r="730" spans="1:15" ht="15.6">
      <c r="A730" s="560"/>
      <c r="B730" s="6"/>
      <c r="C730" s="6"/>
      <c r="D730" s="6"/>
      <c r="E730" s="6"/>
      <c r="F730" s="6"/>
      <c r="G730" s="6"/>
      <c r="H730" s="6"/>
      <c r="I730" s="6"/>
      <c r="J730" s="6"/>
      <c r="K730" s="6"/>
      <c r="L730" s="6"/>
      <c r="M730" s="6"/>
      <c r="N730" s="6"/>
      <c r="O730" s="6"/>
    </row>
    <row r="731" spans="1:15" ht="15.6">
      <c r="A731" s="560"/>
      <c r="B731" s="6"/>
      <c r="C731" s="6"/>
      <c r="D731" s="6"/>
      <c r="E731" s="6"/>
      <c r="F731" s="6"/>
      <c r="G731" s="6"/>
      <c r="H731" s="6"/>
      <c r="I731" s="6"/>
      <c r="J731" s="6"/>
      <c r="K731" s="6"/>
      <c r="L731" s="6"/>
      <c r="M731" s="6"/>
      <c r="N731" s="6"/>
      <c r="O731" s="6"/>
    </row>
    <row r="732" spans="1:15" ht="15.6">
      <c r="A732" s="560"/>
      <c r="B732" s="6"/>
      <c r="C732" s="6"/>
      <c r="D732" s="6"/>
      <c r="E732" s="6"/>
      <c r="F732" s="6"/>
      <c r="G732" s="6"/>
      <c r="H732" s="6"/>
      <c r="I732" s="6"/>
      <c r="J732" s="6"/>
      <c r="K732" s="6"/>
      <c r="L732" s="6"/>
      <c r="M732" s="6"/>
      <c r="N732" s="6"/>
      <c r="O732" s="6"/>
    </row>
    <row r="733" spans="1:15" ht="15.6">
      <c r="A733" s="560"/>
      <c r="B733" s="6"/>
      <c r="C733" s="6"/>
      <c r="D733" s="6"/>
      <c r="E733" s="6"/>
      <c r="F733" s="6"/>
      <c r="G733" s="6"/>
      <c r="H733" s="6"/>
      <c r="I733" s="6"/>
      <c r="J733" s="6"/>
      <c r="K733" s="6"/>
      <c r="L733" s="6"/>
      <c r="M733" s="6"/>
      <c r="N733" s="6"/>
      <c r="O733" s="6"/>
    </row>
    <row r="734" spans="1:15" ht="15.6">
      <c r="A734" s="560"/>
      <c r="B734" s="6"/>
      <c r="C734" s="6"/>
      <c r="D734" s="6"/>
      <c r="E734" s="6"/>
      <c r="F734" s="6"/>
      <c r="G734" s="6"/>
      <c r="H734" s="6"/>
      <c r="I734" s="6"/>
      <c r="J734" s="6"/>
      <c r="K734" s="6"/>
      <c r="L734" s="6"/>
      <c r="M734" s="6"/>
      <c r="N734" s="6"/>
      <c r="O734" s="6"/>
    </row>
    <row r="735" spans="1:15" ht="15.6">
      <c r="A735" s="560"/>
      <c r="B735" s="6"/>
      <c r="C735" s="6"/>
      <c r="D735" s="6"/>
      <c r="E735" s="6"/>
      <c r="F735" s="6"/>
      <c r="G735" s="6"/>
      <c r="H735" s="6"/>
      <c r="I735" s="6"/>
      <c r="J735" s="6"/>
      <c r="K735" s="6"/>
      <c r="L735" s="6"/>
      <c r="M735" s="6"/>
      <c r="N735" s="6"/>
      <c r="O735" s="6"/>
    </row>
    <row r="736" spans="1:15" ht="15.6">
      <c r="A736" s="560"/>
      <c r="B736" s="6"/>
      <c r="C736" s="6"/>
      <c r="D736" s="6"/>
      <c r="E736" s="6"/>
      <c r="F736" s="6"/>
      <c r="G736" s="6"/>
      <c r="H736" s="6"/>
      <c r="I736" s="6"/>
      <c r="J736" s="6"/>
      <c r="K736" s="6"/>
      <c r="L736" s="6"/>
      <c r="M736" s="6"/>
      <c r="N736" s="6"/>
      <c r="O736" s="6"/>
    </row>
    <row r="737" spans="1:15" ht="15.6">
      <c r="A737" s="560"/>
      <c r="B737" s="6"/>
      <c r="C737" s="6"/>
      <c r="D737" s="6"/>
      <c r="E737" s="6"/>
      <c r="F737" s="6"/>
      <c r="G737" s="6"/>
      <c r="H737" s="6"/>
      <c r="I737" s="6"/>
      <c r="J737" s="6"/>
      <c r="K737" s="6"/>
      <c r="L737" s="6"/>
      <c r="M737" s="6"/>
      <c r="N737" s="6"/>
      <c r="O737" s="6"/>
    </row>
    <row r="738" spans="1:15" ht="15.6">
      <c r="A738" s="560"/>
      <c r="B738" s="6"/>
      <c r="C738" s="6"/>
      <c r="D738" s="6"/>
      <c r="E738" s="6"/>
      <c r="F738" s="6"/>
      <c r="G738" s="6"/>
      <c r="H738" s="6"/>
      <c r="I738" s="6"/>
      <c r="J738" s="6"/>
      <c r="K738" s="6"/>
      <c r="L738" s="6"/>
      <c r="M738" s="6"/>
      <c r="N738" s="6"/>
      <c r="O738" s="6"/>
    </row>
    <row r="739" spans="1:15" ht="15.6">
      <c r="A739" s="560"/>
      <c r="B739" s="6"/>
      <c r="C739" s="6"/>
      <c r="D739" s="6"/>
      <c r="E739" s="6"/>
      <c r="F739" s="6"/>
      <c r="G739" s="6"/>
      <c r="H739" s="6"/>
      <c r="I739" s="6"/>
      <c r="J739" s="6"/>
      <c r="K739" s="6"/>
      <c r="L739" s="6"/>
      <c r="M739" s="6"/>
      <c r="N739" s="6"/>
      <c r="O739" s="6"/>
    </row>
    <row r="740" spans="1:15" ht="15.6">
      <c r="A740" s="560"/>
      <c r="B740" s="6"/>
      <c r="C740" s="6"/>
      <c r="D740" s="6"/>
      <c r="E740" s="6"/>
      <c r="F740" s="6"/>
      <c r="G740" s="6"/>
      <c r="H740" s="6"/>
      <c r="I740" s="6"/>
      <c r="J740" s="6"/>
      <c r="K740" s="6"/>
      <c r="L740" s="6"/>
      <c r="M740" s="6"/>
      <c r="N740" s="6"/>
      <c r="O740" s="6"/>
    </row>
    <row r="741" spans="1:15" ht="15.6">
      <c r="A741" s="560"/>
      <c r="B741" s="6"/>
      <c r="C741" s="6"/>
      <c r="D741" s="6"/>
      <c r="E741" s="6"/>
      <c r="F741" s="6"/>
      <c r="G741" s="6"/>
      <c r="H741" s="6"/>
      <c r="I741" s="6"/>
      <c r="J741" s="6"/>
      <c r="K741" s="6"/>
      <c r="L741" s="6"/>
      <c r="M741" s="6"/>
      <c r="N741" s="6"/>
      <c r="O741" s="6"/>
    </row>
    <row r="742" spans="1:15" ht="15.6">
      <c r="A742" s="560"/>
      <c r="B742" s="6"/>
      <c r="C742" s="6"/>
      <c r="D742" s="6"/>
      <c r="E742" s="6"/>
      <c r="F742" s="6"/>
      <c r="G742" s="6"/>
      <c r="H742" s="6"/>
      <c r="I742" s="6"/>
      <c r="J742" s="6"/>
      <c r="K742" s="6"/>
      <c r="L742" s="6"/>
      <c r="M742" s="6"/>
      <c r="N742" s="6"/>
      <c r="O742" s="6"/>
    </row>
    <row r="743" spans="1:15" ht="15.6">
      <c r="A743" s="560"/>
      <c r="B743" s="6"/>
      <c r="C743" s="6"/>
      <c r="D743" s="6"/>
      <c r="E743" s="6"/>
      <c r="F743" s="6"/>
      <c r="G743" s="6"/>
      <c r="H743" s="6"/>
      <c r="I743" s="6"/>
      <c r="J743" s="6"/>
      <c r="K743" s="6"/>
      <c r="L743" s="6"/>
      <c r="M743" s="6"/>
      <c r="N743" s="6"/>
      <c r="O743" s="6"/>
    </row>
    <row r="744" spans="1:15" ht="15.6">
      <c r="A744" s="560"/>
      <c r="B744" s="6"/>
      <c r="C744" s="6"/>
      <c r="D744" s="6"/>
      <c r="E744" s="6"/>
      <c r="F744" s="6"/>
      <c r="G744" s="6"/>
      <c r="H744" s="6"/>
      <c r="I744" s="6"/>
      <c r="J744" s="6"/>
      <c r="K744" s="6"/>
      <c r="L744" s="6"/>
      <c r="M744" s="6"/>
      <c r="N744" s="6"/>
      <c r="O744" s="6"/>
    </row>
    <row r="745" spans="1:15" ht="15.6">
      <c r="A745" s="560"/>
      <c r="B745" s="6"/>
      <c r="C745" s="6"/>
      <c r="D745" s="6"/>
      <c r="E745" s="6"/>
      <c r="F745" s="6"/>
      <c r="G745" s="6"/>
      <c r="H745" s="6"/>
      <c r="I745" s="6"/>
      <c r="J745" s="6"/>
      <c r="K745" s="6"/>
      <c r="L745" s="6"/>
      <c r="M745" s="6"/>
      <c r="N745" s="6"/>
      <c r="O745" s="6"/>
    </row>
    <row r="746" spans="1:15" ht="15.6">
      <c r="A746" s="560"/>
      <c r="B746" s="6"/>
      <c r="C746" s="6"/>
      <c r="D746" s="6"/>
      <c r="E746" s="6"/>
      <c r="F746" s="6"/>
      <c r="G746" s="6"/>
      <c r="H746" s="6"/>
      <c r="I746" s="6"/>
      <c r="J746" s="6"/>
      <c r="K746" s="6"/>
      <c r="L746" s="6"/>
      <c r="M746" s="6"/>
      <c r="N746" s="6"/>
      <c r="O746" s="6"/>
    </row>
    <row r="747" spans="1:15" ht="15.6">
      <c r="A747" s="560"/>
      <c r="B747" s="6"/>
      <c r="C747" s="6"/>
      <c r="D747" s="6"/>
      <c r="E747" s="6"/>
      <c r="F747" s="6"/>
      <c r="G747" s="6"/>
      <c r="H747" s="6"/>
      <c r="I747" s="6"/>
      <c r="J747" s="6"/>
      <c r="K747" s="6"/>
      <c r="L747" s="6"/>
      <c r="M747" s="6"/>
      <c r="N747" s="6"/>
      <c r="O747" s="6"/>
    </row>
    <row r="748" spans="1:15" ht="15.6">
      <c r="A748" s="560"/>
      <c r="B748" s="6"/>
      <c r="C748" s="6"/>
      <c r="D748" s="6"/>
      <c r="E748" s="6"/>
      <c r="F748" s="6"/>
      <c r="G748" s="6"/>
      <c r="H748" s="6"/>
      <c r="I748" s="6"/>
      <c r="J748" s="6"/>
      <c r="K748" s="6"/>
      <c r="L748" s="6"/>
      <c r="M748" s="6"/>
      <c r="N748" s="6"/>
      <c r="O748" s="6"/>
    </row>
    <row r="749" spans="1:15" ht="15.6">
      <c r="A749" s="560"/>
      <c r="B749" s="6"/>
      <c r="C749" s="6"/>
      <c r="D749" s="6"/>
      <c r="E749" s="6"/>
      <c r="F749" s="6"/>
      <c r="G749" s="6"/>
      <c r="H749" s="6"/>
      <c r="I749" s="6"/>
      <c r="J749" s="6"/>
      <c r="K749" s="6"/>
      <c r="L749" s="6"/>
      <c r="M749" s="6"/>
      <c r="N749" s="6"/>
      <c r="O749" s="6"/>
    </row>
    <row r="750" spans="1:15" ht="15.6">
      <c r="A750" s="560"/>
      <c r="B750" s="6"/>
      <c r="C750" s="6"/>
      <c r="D750" s="6"/>
      <c r="E750" s="6"/>
      <c r="F750" s="6"/>
      <c r="G750" s="6"/>
      <c r="H750" s="6"/>
      <c r="I750" s="6"/>
      <c r="J750" s="6"/>
      <c r="K750" s="6"/>
      <c r="L750" s="6"/>
      <c r="M750" s="6"/>
      <c r="N750" s="6"/>
      <c r="O750" s="6"/>
    </row>
    <row r="751" spans="1:15" ht="15.6">
      <c r="A751" s="560"/>
      <c r="B751" s="6"/>
      <c r="C751" s="6"/>
      <c r="D751" s="6"/>
      <c r="E751" s="6"/>
      <c r="F751" s="6"/>
      <c r="G751" s="6"/>
      <c r="H751" s="6"/>
      <c r="I751" s="6"/>
      <c r="J751" s="6"/>
      <c r="K751" s="6"/>
      <c r="L751" s="6"/>
      <c r="M751" s="6"/>
      <c r="N751" s="6"/>
      <c r="O751" s="6"/>
    </row>
    <row r="752" spans="1:15" ht="15.6">
      <c r="A752" s="560"/>
      <c r="B752" s="6"/>
      <c r="C752" s="6"/>
      <c r="D752" s="6"/>
      <c r="E752" s="6"/>
      <c r="F752" s="6"/>
      <c r="G752" s="6"/>
      <c r="H752" s="6"/>
      <c r="I752" s="6"/>
      <c r="J752" s="6"/>
      <c r="K752" s="6"/>
      <c r="L752" s="6"/>
      <c r="M752" s="6"/>
      <c r="N752" s="6"/>
      <c r="O752" s="6"/>
    </row>
    <row r="753" spans="1:15" ht="15.6">
      <c r="A753" s="560"/>
      <c r="B753" s="6"/>
      <c r="C753" s="6"/>
      <c r="D753" s="6"/>
      <c r="E753" s="6"/>
      <c r="F753" s="6"/>
      <c r="G753" s="6"/>
      <c r="H753" s="6"/>
      <c r="I753" s="6"/>
      <c r="J753" s="6"/>
      <c r="K753" s="6"/>
      <c r="L753" s="6"/>
      <c r="M753" s="6"/>
      <c r="N753" s="6"/>
      <c r="O753" s="6"/>
    </row>
    <row r="754" spans="1:15" ht="15.6">
      <c r="A754" s="560"/>
      <c r="B754" s="6"/>
      <c r="C754" s="6"/>
      <c r="D754" s="6"/>
      <c r="E754" s="6"/>
      <c r="F754" s="6"/>
      <c r="G754" s="6"/>
      <c r="H754" s="6"/>
      <c r="I754" s="6"/>
      <c r="J754" s="6"/>
      <c r="K754" s="6"/>
      <c r="L754" s="6"/>
      <c r="M754" s="6"/>
      <c r="N754" s="6"/>
      <c r="O754" s="6"/>
    </row>
    <row r="755" spans="1:15" ht="15.6">
      <c r="A755" s="560"/>
      <c r="B755" s="6"/>
      <c r="C755" s="6"/>
      <c r="D755" s="6"/>
      <c r="E755" s="6"/>
      <c r="F755" s="6"/>
      <c r="G755" s="6"/>
      <c r="H755" s="6"/>
      <c r="I755" s="6"/>
      <c r="J755" s="6"/>
      <c r="K755" s="6"/>
      <c r="L755" s="6"/>
      <c r="M755" s="6"/>
      <c r="N755" s="6"/>
      <c r="O755" s="6"/>
    </row>
    <row r="756" spans="1:15" ht="15.6">
      <c r="A756" s="560"/>
      <c r="B756" s="6"/>
      <c r="C756" s="6"/>
      <c r="D756" s="6"/>
      <c r="E756" s="6"/>
      <c r="F756" s="6"/>
      <c r="G756" s="6"/>
      <c r="H756" s="6"/>
      <c r="I756" s="6"/>
      <c r="J756" s="6"/>
      <c r="K756" s="6"/>
      <c r="L756" s="6"/>
      <c r="M756" s="6"/>
      <c r="N756" s="6"/>
      <c r="O756" s="6"/>
    </row>
    <row r="757" spans="1:15" ht="15.6">
      <c r="A757" s="560"/>
      <c r="B757" s="6"/>
      <c r="C757" s="6"/>
      <c r="D757" s="6"/>
      <c r="E757" s="6"/>
      <c r="F757" s="6"/>
      <c r="G757" s="6"/>
      <c r="H757" s="6"/>
      <c r="I757" s="6"/>
      <c r="J757" s="6"/>
      <c r="K757" s="6"/>
      <c r="L757" s="6"/>
      <c r="M757" s="6"/>
      <c r="N757" s="6"/>
      <c r="O757" s="6"/>
    </row>
    <row r="758" spans="1:15" ht="15.6">
      <c r="A758" s="560"/>
      <c r="B758" s="6"/>
      <c r="C758" s="6"/>
      <c r="D758" s="6"/>
      <c r="E758" s="6"/>
      <c r="F758" s="6"/>
      <c r="G758" s="6"/>
      <c r="H758" s="6"/>
      <c r="I758" s="6"/>
      <c r="J758" s="6"/>
      <c r="K758" s="6"/>
      <c r="L758" s="6"/>
      <c r="M758" s="6"/>
      <c r="N758" s="6"/>
      <c r="O758" s="6"/>
    </row>
    <row r="759" spans="1:15" ht="15.6">
      <c r="A759" s="560"/>
      <c r="B759" s="6"/>
      <c r="C759" s="6"/>
      <c r="D759" s="6"/>
      <c r="E759" s="6"/>
      <c r="F759" s="6"/>
      <c r="G759" s="6"/>
      <c r="H759" s="6"/>
      <c r="I759" s="6"/>
      <c r="J759" s="6"/>
      <c r="K759" s="6"/>
      <c r="L759" s="6"/>
      <c r="M759" s="6"/>
      <c r="N759" s="6"/>
      <c r="O759" s="6"/>
    </row>
    <row r="760" spans="1:15" ht="15.6">
      <c r="A760" s="560"/>
      <c r="B760" s="6"/>
      <c r="C760" s="6"/>
      <c r="D760" s="6"/>
      <c r="E760" s="6"/>
      <c r="F760" s="6"/>
      <c r="G760" s="6"/>
      <c r="H760" s="6"/>
      <c r="I760" s="6"/>
      <c r="J760" s="6"/>
      <c r="K760" s="6"/>
      <c r="L760" s="6"/>
      <c r="M760" s="6"/>
      <c r="N760" s="6"/>
      <c r="O760" s="6"/>
    </row>
    <row r="761" spans="1:15" ht="15.6">
      <c r="A761" s="560"/>
      <c r="B761" s="6"/>
      <c r="C761" s="6"/>
      <c r="D761" s="6"/>
      <c r="E761" s="6"/>
      <c r="F761" s="6"/>
      <c r="G761" s="6"/>
      <c r="H761" s="6"/>
      <c r="I761" s="6"/>
      <c r="J761" s="6"/>
      <c r="K761" s="6"/>
      <c r="L761" s="6"/>
      <c r="M761" s="6"/>
      <c r="N761" s="6"/>
      <c r="O761" s="6"/>
    </row>
    <row r="762" spans="1:15" ht="15.6">
      <c r="A762" s="560"/>
      <c r="B762" s="6"/>
      <c r="C762" s="6"/>
      <c r="D762" s="6"/>
      <c r="E762" s="6"/>
      <c r="F762" s="6"/>
      <c r="G762" s="6"/>
      <c r="H762" s="6"/>
      <c r="I762" s="6"/>
      <c r="J762" s="6"/>
      <c r="K762" s="6"/>
      <c r="L762" s="6"/>
      <c r="M762" s="6"/>
      <c r="N762" s="6"/>
      <c r="O762" s="6"/>
    </row>
    <row r="763" spans="1:15" ht="15.6">
      <c r="A763" s="560"/>
      <c r="B763" s="6"/>
      <c r="C763" s="6"/>
      <c r="D763" s="6"/>
      <c r="E763" s="6"/>
      <c r="F763" s="6"/>
      <c r="G763" s="6"/>
      <c r="H763" s="6"/>
      <c r="I763" s="6"/>
      <c r="J763" s="6"/>
      <c r="K763" s="6"/>
      <c r="L763" s="6"/>
      <c r="M763" s="6"/>
      <c r="N763" s="6"/>
      <c r="O763" s="6"/>
    </row>
    <row r="764" spans="1:15" ht="15.6">
      <c r="A764" s="560"/>
      <c r="B764" s="6"/>
      <c r="C764" s="6"/>
      <c r="D764" s="6"/>
      <c r="E764" s="6"/>
      <c r="F764" s="6"/>
      <c r="G764" s="6"/>
      <c r="H764" s="6"/>
      <c r="I764" s="6"/>
      <c r="J764" s="6"/>
      <c r="K764" s="6"/>
      <c r="L764" s="6"/>
      <c r="M764" s="6"/>
      <c r="N764" s="6"/>
      <c r="O764" s="6"/>
    </row>
    <row r="765" spans="1:15" ht="15.6">
      <c r="A765" s="560"/>
      <c r="B765" s="6"/>
      <c r="C765" s="6"/>
      <c r="D765" s="6"/>
      <c r="E765" s="6"/>
      <c r="F765" s="6"/>
      <c r="G765" s="6"/>
      <c r="H765" s="6"/>
      <c r="I765" s="6"/>
      <c r="J765" s="6"/>
      <c r="K765" s="6"/>
      <c r="L765" s="6"/>
      <c r="M765" s="6"/>
      <c r="N765" s="6"/>
      <c r="O765" s="6"/>
    </row>
    <row r="766" spans="1:15" ht="15.6">
      <c r="A766" s="560"/>
      <c r="B766" s="6"/>
      <c r="C766" s="6"/>
      <c r="D766" s="6"/>
      <c r="E766" s="6"/>
      <c r="F766" s="6"/>
      <c r="G766" s="6"/>
      <c r="H766" s="6"/>
      <c r="I766" s="6"/>
      <c r="J766" s="6"/>
      <c r="K766" s="6"/>
      <c r="L766" s="6"/>
      <c r="M766" s="6"/>
      <c r="N766" s="6"/>
      <c r="O766" s="6"/>
    </row>
    <row r="767" spans="1:15" ht="15.6">
      <c r="A767" s="560"/>
      <c r="B767" s="6"/>
      <c r="C767" s="6"/>
      <c r="D767" s="6"/>
      <c r="E767" s="6"/>
      <c r="F767" s="6"/>
      <c r="G767" s="6"/>
      <c r="H767" s="6"/>
      <c r="I767" s="6"/>
      <c r="J767" s="6"/>
      <c r="K767" s="6"/>
      <c r="L767" s="6"/>
      <c r="M767" s="6"/>
      <c r="N767" s="6"/>
      <c r="O767" s="6"/>
    </row>
    <row r="768" spans="1:15" ht="15.6">
      <c r="A768" s="560"/>
      <c r="B768" s="6"/>
      <c r="C768" s="6"/>
      <c r="D768" s="6"/>
      <c r="E768" s="6"/>
      <c r="F768" s="6"/>
      <c r="G768" s="6"/>
      <c r="H768" s="6"/>
      <c r="I768" s="6"/>
      <c r="J768" s="6"/>
      <c r="K768" s="6"/>
      <c r="L768" s="6"/>
      <c r="M768" s="6"/>
      <c r="N768" s="6"/>
      <c r="O768" s="6"/>
    </row>
    <row r="769" spans="1:15" ht="15.6">
      <c r="A769" s="560"/>
      <c r="B769" s="6"/>
      <c r="C769" s="6"/>
      <c r="D769" s="6"/>
      <c r="E769" s="6"/>
      <c r="F769" s="6"/>
      <c r="G769" s="6"/>
      <c r="H769" s="6"/>
      <c r="I769" s="6"/>
      <c r="J769" s="6"/>
      <c r="K769" s="6"/>
      <c r="L769" s="6"/>
      <c r="M769" s="6"/>
      <c r="N769" s="6"/>
      <c r="O769" s="6"/>
    </row>
    <row r="770" spans="1:15" ht="15.6">
      <c r="A770" s="560"/>
      <c r="B770" s="6"/>
      <c r="C770" s="6"/>
      <c r="D770" s="6"/>
      <c r="E770" s="6"/>
      <c r="F770" s="6"/>
      <c r="G770" s="6"/>
      <c r="H770" s="6"/>
      <c r="I770" s="6"/>
      <c r="J770" s="6"/>
      <c r="K770" s="6"/>
      <c r="L770" s="6"/>
      <c r="M770" s="6"/>
      <c r="N770" s="6"/>
      <c r="O770" s="6"/>
    </row>
    <row r="771" spans="1:15" ht="15.6">
      <c r="A771" s="560"/>
      <c r="B771" s="6"/>
      <c r="C771" s="6"/>
      <c r="D771" s="6"/>
      <c r="E771" s="6"/>
      <c r="F771" s="6"/>
      <c r="G771" s="6"/>
      <c r="H771" s="6"/>
      <c r="I771" s="6"/>
      <c r="J771" s="6"/>
      <c r="K771" s="6"/>
      <c r="L771" s="6"/>
      <c r="M771" s="6"/>
      <c r="N771" s="6"/>
      <c r="O771" s="6"/>
    </row>
    <row r="772" spans="1:15" ht="15.6">
      <c r="A772" s="560"/>
      <c r="B772" s="6"/>
      <c r="C772" s="6"/>
      <c r="D772" s="6"/>
      <c r="E772" s="6"/>
      <c r="F772" s="6"/>
      <c r="G772" s="6"/>
      <c r="H772" s="6"/>
      <c r="I772" s="6"/>
      <c r="J772" s="6"/>
      <c r="K772" s="6"/>
      <c r="L772" s="6"/>
      <c r="M772" s="6"/>
      <c r="N772" s="6"/>
      <c r="O772" s="6"/>
    </row>
    <row r="773" spans="1:15" ht="15.6">
      <c r="A773" s="560"/>
      <c r="B773" s="6"/>
      <c r="C773" s="6"/>
      <c r="D773" s="6"/>
      <c r="E773" s="6"/>
      <c r="F773" s="6"/>
      <c r="G773" s="6"/>
      <c r="H773" s="6"/>
      <c r="I773" s="6"/>
      <c r="J773" s="6"/>
      <c r="K773" s="6"/>
      <c r="L773" s="6"/>
      <c r="M773" s="6"/>
      <c r="N773" s="6"/>
      <c r="O773" s="6"/>
    </row>
    <row r="774" spans="1:15" ht="15.6">
      <c r="A774" s="560"/>
      <c r="B774" s="6"/>
      <c r="C774" s="6"/>
      <c r="D774" s="6"/>
      <c r="E774" s="6"/>
      <c r="F774" s="6"/>
      <c r="G774" s="6"/>
      <c r="H774" s="6"/>
      <c r="I774" s="6"/>
      <c r="J774" s="6"/>
      <c r="K774" s="6"/>
      <c r="L774" s="6"/>
      <c r="M774" s="6"/>
      <c r="N774" s="6"/>
      <c r="O774" s="6"/>
    </row>
    <row r="775" spans="1:15" ht="15.6">
      <c r="A775" s="560"/>
      <c r="B775" s="6"/>
      <c r="C775" s="6"/>
      <c r="D775" s="6"/>
      <c r="E775" s="6"/>
      <c r="F775" s="6"/>
      <c r="G775" s="6"/>
      <c r="H775" s="6"/>
      <c r="I775" s="6"/>
      <c r="J775" s="6"/>
      <c r="K775" s="6"/>
      <c r="L775" s="6"/>
      <c r="M775" s="6"/>
      <c r="N775" s="6"/>
      <c r="O775" s="6"/>
    </row>
    <row r="776" spans="1:15" ht="15.6">
      <c r="A776" s="560"/>
      <c r="B776" s="6"/>
      <c r="C776" s="6"/>
      <c r="D776" s="6"/>
      <c r="E776" s="6"/>
      <c r="F776" s="6"/>
      <c r="G776" s="6"/>
      <c r="H776" s="6"/>
      <c r="I776" s="6"/>
      <c r="J776" s="6"/>
      <c r="K776" s="6"/>
      <c r="L776" s="6"/>
      <c r="M776" s="6"/>
      <c r="N776" s="6"/>
      <c r="O776" s="6"/>
    </row>
    <row r="777" spans="1:15" ht="15.6">
      <c r="A777" s="560"/>
      <c r="B777" s="6"/>
      <c r="C777" s="6"/>
      <c r="D777" s="6"/>
      <c r="E777" s="6"/>
      <c r="F777" s="6"/>
      <c r="G777" s="6"/>
      <c r="H777" s="6"/>
      <c r="I777" s="6"/>
      <c r="J777" s="6"/>
      <c r="K777" s="6"/>
      <c r="L777" s="6"/>
      <c r="M777" s="6"/>
      <c r="N777" s="6"/>
      <c r="O777" s="6"/>
    </row>
    <row r="778" spans="1:15" ht="15.6">
      <c r="A778" s="560"/>
      <c r="B778" s="6"/>
      <c r="C778" s="6"/>
      <c r="D778" s="6"/>
      <c r="E778" s="6"/>
      <c r="F778" s="6"/>
      <c r="G778" s="6"/>
      <c r="H778" s="6"/>
      <c r="I778" s="6"/>
      <c r="J778" s="6"/>
      <c r="K778" s="6"/>
      <c r="L778" s="6"/>
      <c r="M778" s="6"/>
      <c r="N778" s="6"/>
      <c r="O778" s="6"/>
    </row>
    <row r="779" spans="1:15" ht="15.6">
      <c r="A779" s="560"/>
      <c r="B779" s="6"/>
      <c r="C779" s="6"/>
      <c r="D779" s="6"/>
      <c r="E779" s="6"/>
      <c r="F779" s="6"/>
      <c r="G779" s="6"/>
      <c r="H779" s="6"/>
      <c r="I779" s="6"/>
      <c r="J779" s="6"/>
      <c r="K779" s="6"/>
      <c r="L779" s="6"/>
      <c r="M779" s="6"/>
      <c r="N779" s="6"/>
      <c r="O779" s="6"/>
    </row>
    <row r="780" spans="1:15" ht="15.6">
      <c r="A780" s="560"/>
      <c r="B780" s="6"/>
      <c r="C780" s="6"/>
      <c r="D780" s="6"/>
      <c r="E780" s="6"/>
      <c r="F780" s="6"/>
      <c r="G780" s="6"/>
      <c r="H780" s="6"/>
      <c r="I780" s="6"/>
      <c r="J780" s="6"/>
      <c r="K780" s="6"/>
      <c r="L780" s="6"/>
      <c r="M780" s="6"/>
      <c r="N780" s="6"/>
      <c r="O780" s="6"/>
    </row>
    <row r="781" spans="1:15" ht="15.6">
      <c r="A781" s="560"/>
      <c r="B781" s="6"/>
      <c r="C781" s="6"/>
      <c r="D781" s="6"/>
      <c r="E781" s="6"/>
      <c r="F781" s="6"/>
      <c r="G781" s="6"/>
      <c r="H781" s="6"/>
      <c r="I781" s="6"/>
      <c r="J781" s="6"/>
      <c r="K781" s="6"/>
      <c r="L781" s="6"/>
      <c r="M781" s="6"/>
      <c r="N781" s="6"/>
      <c r="O781" s="6"/>
    </row>
    <row r="782" spans="1:15" ht="15.6">
      <c r="A782" s="560"/>
      <c r="B782" s="6"/>
      <c r="C782" s="6"/>
      <c r="D782" s="6"/>
      <c r="E782" s="6"/>
      <c r="F782" s="6"/>
      <c r="G782" s="6"/>
      <c r="H782" s="6"/>
      <c r="I782" s="6"/>
      <c r="J782" s="6"/>
      <c r="K782" s="6"/>
      <c r="L782" s="6"/>
      <c r="M782" s="6"/>
      <c r="N782" s="6"/>
      <c r="O782" s="6"/>
    </row>
    <row r="783" spans="1:15" ht="15.6">
      <c r="A783" s="560"/>
      <c r="B783" s="6"/>
      <c r="C783" s="6"/>
      <c r="D783" s="6"/>
      <c r="E783" s="6"/>
      <c r="F783" s="6"/>
      <c r="G783" s="6"/>
      <c r="H783" s="6"/>
      <c r="I783" s="6"/>
      <c r="J783" s="6"/>
      <c r="K783" s="6"/>
      <c r="L783" s="6"/>
      <c r="M783" s="6"/>
      <c r="N783" s="6"/>
      <c r="O783" s="6"/>
    </row>
    <row r="784" spans="1:15" ht="15.6">
      <c r="A784" s="560"/>
      <c r="B784" s="6"/>
      <c r="C784" s="6"/>
      <c r="D784" s="6"/>
      <c r="E784" s="6"/>
      <c r="F784" s="6"/>
      <c r="G784" s="6"/>
      <c r="H784" s="6"/>
      <c r="I784" s="6"/>
      <c r="J784" s="6"/>
      <c r="K784" s="6"/>
      <c r="L784" s="6"/>
      <c r="M784" s="6"/>
      <c r="N784" s="6"/>
      <c r="O784" s="6"/>
    </row>
    <row r="785" spans="1:15" ht="15.6">
      <c r="A785" s="560"/>
      <c r="B785" s="6"/>
      <c r="C785" s="6"/>
      <c r="D785" s="6"/>
      <c r="E785" s="6"/>
      <c r="F785" s="6"/>
      <c r="G785" s="6"/>
      <c r="H785" s="6"/>
      <c r="I785" s="6"/>
      <c r="J785" s="6"/>
      <c r="K785" s="6"/>
      <c r="L785" s="6"/>
      <c r="M785" s="6"/>
      <c r="N785" s="6"/>
      <c r="O785" s="6"/>
    </row>
    <row r="786" spans="1:15" ht="15.6">
      <c r="A786" s="560"/>
      <c r="B786" s="6"/>
      <c r="C786" s="6"/>
      <c r="D786" s="6"/>
      <c r="E786" s="6"/>
      <c r="F786" s="6"/>
      <c r="G786" s="6"/>
      <c r="H786" s="6"/>
      <c r="I786" s="6"/>
      <c r="J786" s="6"/>
      <c r="K786" s="6"/>
      <c r="L786" s="6"/>
      <c r="M786" s="6"/>
      <c r="N786" s="6"/>
      <c r="O786" s="6"/>
    </row>
    <row r="787" spans="1:15" ht="15.6">
      <c r="A787" s="560"/>
      <c r="B787" s="6"/>
      <c r="C787" s="6"/>
      <c r="D787" s="6"/>
      <c r="E787" s="6"/>
      <c r="F787" s="6"/>
      <c r="G787" s="6"/>
      <c r="H787" s="6"/>
      <c r="I787" s="6"/>
      <c r="J787" s="6"/>
      <c r="K787" s="6"/>
      <c r="L787" s="6"/>
      <c r="M787" s="6"/>
      <c r="N787" s="6"/>
      <c r="O787" s="6"/>
    </row>
    <row r="788" spans="1:15" ht="15.6">
      <c r="A788" s="560"/>
      <c r="B788" s="6"/>
      <c r="C788" s="6"/>
      <c r="D788" s="6"/>
      <c r="E788" s="6"/>
      <c r="F788" s="6"/>
      <c r="G788" s="6"/>
      <c r="H788" s="6"/>
      <c r="I788" s="6"/>
      <c r="J788" s="6"/>
      <c r="K788" s="6"/>
      <c r="L788" s="6"/>
      <c r="M788" s="6"/>
      <c r="N788" s="6"/>
      <c r="O788" s="6"/>
    </row>
    <row r="789" spans="1:15" ht="15.6">
      <c r="A789" s="560"/>
      <c r="B789" s="6"/>
      <c r="C789" s="6"/>
      <c r="D789" s="6"/>
      <c r="E789" s="6"/>
      <c r="F789" s="6"/>
      <c r="G789" s="6"/>
      <c r="H789" s="6"/>
      <c r="I789" s="6"/>
      <c r="J789" s="6"/>
      <c r="K789" s="6"/>
      <c r="L789" s="6"/>
      <c r="M789" s="6"/>
      <c r="N789" s="6"/>
      <c r="O789" s="6"/>
    </row>
    <row r="790" spans="1:15" ht="15.6">
      <c r="A790" s="560"/>
      <c r="B790" s="6"/>
      <c r="C790" s="6"/>
      <c r="D790" s="6"/>
      <c r="E790" s="6"/>
      <c r="F790" s="6"/>
      <c r="G790" s="6"/>
      <c r="H790" s="6"/>
      <c r="I790" s="6"/>
      <c r="J790" s="6"/>
      <c r="K790" s="6"/>
      <c r="L790" s="6"/>
      <c r="M790" s="6"/>
      <c r="N790" s="6"/>
      <c r="O790" s="6"/>
    </row>
    <row r="791" spans="1:15" ht="15.6">
      <c r="A791" s="560"/>
      <c r="B791" s="6"/>
      <c r="C791" s="6"/>
      <c r="D791" s="6"/>
      <c r="E791" s="6"/>
      <c r="F791" s="6"/>
      <c r="G791" s="6"/>
      <c r="H791" s="6"/>
      <c r="I791" s="6"/>
      <c r="J791" s="6"/>
      <c r="K791" s="6"/>
      <c r="L791" s="6"/>
      <c r="M791" s="6"/>
      <c r="N791" s="6"/>
      <c r="O791" s="6"/>
    </row>
    <row r="792" spans="1:15" ht="15.6">
      <c r="A792" s="560"/>
      <c r="B792" s="6"/>
      <c r="C792" s="6"/>
      <c r="D792" s="6"/>
      <c r="E792" s="6"/>
      <c r="F792" s="6"/>
      <c r="G792" s="6"/>
      <c r="H792" s="6"/>
      <c r="I792" s="6"/>
      <c r="J792" s="6"/>
      <c r="K792" s="6"/>
      <c r="L792" s="6"/>
      <c r="M792" s="6"/>
      <c r="N792" s="6"/>
      <c r="O792" s="6"/>
    </row>
    <row r="793" spans="1:15" ht="15.6">
      <c r="A793" s="560"/>
      <c r="B793" s="6"/>
      <c r="C793" s="6"/>
      <c r="D793" s="6"/>
      <c r="E793" s="6"/>
      <c r="F793" s="6"/>
      <c r="G793" s="6"/>
      <c r="H793" s="6"/>
      <c r="I793" s="6"/>
      <c r="J793" s="6"/>
      <c r="K793" s="6"/>
      <c r="L793" s="6"/>
      <c r="M793" s="6"/>
      <c r="N793" s="6"/>
      <c r="O793" s="6"/>
    </row>
    <row r="794" spans="1:15" ht="15.6">
      <c r="A794" s="560"/>
      <c r="B794" s="6"/>
      <c r="C794" s="6"/>
      <c r="D794" s="6"/>
      <c r="E794" s="6"/>
      <c r="F794" s="6"/>
      <c r="G794" s="6"/>
      <c r="H794" s="6"/>
      <c r="I794" s="6"/>
      <c r="J794" s="6"/>
      <c r="K794" s="6"/>
      <c r="L794" s="6"/>
      <c r="M794" s="6"/>
      <c r="N794" s="6"/>
      <c r="O794" s="6"/>
    </row>
    <row r="795" spans="1:15" ht="15.6">
      <c r="A795" s="560"/>
      <c r="B795" s="6"/>
      <c r="C795" s="6"/>
      <c r="D795" s="6"/>
      <c r="E795" s="6"/>
      <c r="F795" s="6"/>
      <c r="G795" s="6"/>
      <c r="H795" s="6"/>
      <c r="I795" s="6"/>
      <c r="J795" s="6"/>
      <c r="K795" s="6"/>
      <c r="L795" s="6"/>
      <c r="M795" s="6"/>
      <c r="N795" s="6"/>
      <c r="O795" s="6"/>
    </row>
    <row r="796" spans="1:15" ht="15.6">
      <c r="A796" s="560"/>
      <c r="B796" s="6"/>
      <c r="C796" s="6"/>
      <c r="D796" s="6"/>
      <c r="E796" s="6"/>
      <c r="F796" s="6"/>
      <c r="G796" s="6"/>
      <c r="H796" s="6"/>
      <c r="I796" s="6"/>
      <c r="J796" s="6"/>
      <c r="K796" s="6"/>
      <c r="L796" s="6"/>
      <c r="M796" s="6"/>
      <c r="N796" s="6"/>
      <c r="O796" s="6"/>
    </row>
    <row r="797" spans="1:15" ht="15.6">
      <c r="A797" s="560"/>
      <c r="B797" s="6"/>
      <c r="C797" s="6"/>
      <c r="D797" s="6"/>
      <c r="E797" s="6"/>
      <c r="F797" s="6"/>
      <c r="G797" s="6"/>
      <c r="H797" s="6"/>
      <c r="I797" s="6"/>
      <c r="J797" s="6"/>
      <c r="K797" s="6"/>
      <c r="L797" s="6"/>
      <c r="M797" s="6"/>
      <c r="N797" s="6"/>
      <c r="O797" s="6"/>
    </row>
    <row r="798" spans="1:15" ht="15.6">
      <c r="A798" s="560"/>
      <c r="B798" s="6"/>
      <c r="C798" s="6"/>
      <c r="D798" s="6"/>
      <c r="E798" s="6"/>
      <c r="F798" s="6"/>
      <c r="G798" s="6"/>
      <c r="H798" s="6"/>
      <c r="I798" s="6"/>
      <c r="J798" s="6"/>
      <c r="K798" s="6"/>
      <c r="L798" s="6"/>
      <c r="M798" s="6"/>
      <c r="N798" s="6"/>
      <c r="O798" s="6"/>
    </row>
    <row r="799" spans="1:15" ht="15.6">
      <c r="A799" s="560"/>
      <c r="B799" s="6"/>
      <c r="C799" s="6"/>
      <c r="D799" s="6"/>
      <c r="E799" s="6"/>
      <c r="F799" s="6"/>
      <c r="G799" s="6"/>
      <c r="H799" s="6"/>
      <c r="I799" s="6"/>
      <c r="J799" s="6"/>
      <c r="K799" s="6"/>
      <c r="L799" s="6"/>
      <c r="M799" s="6"/>
      <c r="N799" s="6"/>
      <c r="O799" s="6"/>
    </row>
    <row r="800" spans="1:15" ht="15.6">
      <c r="A800" s="560"/>
      <c r="B800" s="6"/>
      <c r="C800" s="6"/>
      <c r="D800" s="6"/>
      <c r="E800" s="6"/>
      <c r="F800" s="6"/>
      <c r="G800" s="6"/>
      <c r="H800" s="6"/>
      <c r="I800" s="6"/>
      <c r="J800" s="6"/>
      <c r="K800" s="6"/>
      <c r="L800" s="6"/>
      <c r="M800" s="6"/>
      <c r="N800" s="6"/>
      <c r="O800" s="6"/>
    </row>
    <row r="801" spans="1:15" ht="15.6">
      <c r="A801" s="560"/>
      <c r="B801" s="6"/>
      <c r="C801" s="6"/>
      <c r="D801" s="6"/>
      <c r="E801" s="6"/>
      <c r="F801" s="6"/>
      <c r="G801" s="6"/>
      <c r="H801" s="6"/>
      <c r="I801" s="6"/>
      <c r="J801" s="6"/>
      <c r="K801" s="6"/>
      <c r="L801" s="6"/>
      <c r="M801" s="6"/>
      <c r="N801" s="6"/>
      <c r="O801" s="6"/>
    </row>
    <row r="802" spans="1:15" ht="15.6">
      <c r="A802" s="560"/>
      <c r="B802" s="6"/>
      <c r="C802" s="6"/>
      <c r="D802" s="6"/>
      <c r="E802" s="6"/>
      <c r="F802" s="6"/>
      <c r="G802" s="6"/>
      <c r="H802" s="6"/>
      <c r="I802" s="6"/>
      <c r="J802" s="6"/>
      <c r="K802" s="6"/>
      <c r="L802" s="6"/>
      <c r="M802" s="6"/>
      <c r="N802" s="6"/>
      <c r="O802" s="6"/>
    </row>
    <row r="803" spans="1:15" ht="15.6">
      <c r="A803" s="560"/>
      <c r="B803" s="6"/>
      <c r="C803" s="6"/>
      <c r="D803" s="6"/>
      <c r="E803" s="6"/>
      <c r="F803" s="6"/>
      <c r="G803" s="6"/>
      <c r="H803" s="6"/>
      <c r="I803" s="6"/>
      <c r="J803" s="6"/>
      <c r="K803" s="6"/>
      <c r="L803" s="6"/>
      <c r="M803" s="6"/>
      <c r="N803" s="6"/>
      <c r="O803" s="6"/>
    </row>
    <row r="804" spans="1:15" ht="15.6">
      <c r="A804" s="560"/>
      <c r="B804" s="6"/>
      <c r="C804" s="6"/>
      <c r="D804" s="6"/>
      <c r="E804" s="6"/>
      <c r="F804" s="6"/>
      <c r="G804" s="6"/>
      <c r="H804" s="6"/>
      <c r="I804" s="6"/>
      <c r="J804" s="6"/>
      <c r="K804" s="6"/>
      <c r="L804" s="6"/>
      <c r="M804" s="6"/>
      <c r="N804" s="6"/>
      <c r="O804" s="6"/>
    </row>
    <row r="805" spans="1:15" ht="15.6">
      <c r="A805" s="560"/>
      <c r="B805" s="6"/>
      <c r="C805" s="6"/>
      <c r="D805" s="6"/>
      <c r="E805" s="6"/>
      <c r="F805" s="6"/>
      <c r="G805" s="6"/>
      <c r="H805" s="6"/>
      <c r="I805" s="6"/>
      <c r="J805" s="6"/>
      <c r="K805" s="6"/>
      <c r="L805" s="6"/>
      <c r="M805" s="6"/>
      <c r="N805" s="6"/>
      <c r="O805" s="6"/>
    </row>
    <row r="806" spans="1:15" ht="15.6">
      <c r="A806" s="560"/>
      <c r="B806" s="6"/>
      <c r="C806" s="6"/>
      <c r="D806" s="6"/>
      <c r="E806" s="6"/>
      <c r="F806" s="6"/>
      <c r="G806" s="6"/>
      <c r="H806" s="6"/>
      <c r="I806" s="6"/>
      <c r="J806" s="6"/>
      <c r="K806" s="6"/>
      <c r="L806" s="6"/>
      <c r="M806" s="6"/>
      <c r="N806" s="6"/>
      <c r="O806" s="6"/>
    </row>
    <row r="807" spans="1:15" ht="15.6">
      <c r="A807" s="560"/>
      <c r="B807" s="6"/>
      <c r="C807" s="6"/>
      <c r="D807" s="6"/>
      <c r="E807" s="6"/>
      <c r="F807" s="6"/>
      <c r="G807" s="6"/>
      <c r="H807" s="6"/>
      <c r="I807" s="6"/>
      <c r="J807" s="6"/>
      <c r="K807" s="6"/>
      <c r="L807" s="6"/>
      <c r="M807" s="6"/>
      <c r="N807" s="6"/>
      <c r="O807" s="6"/>
    </row>
    <row r="808" spans="1:15" ht="15.6">
      <c r="A808" s="560"/>
      <c r="B808" s="6"/>
      <c r="C808" s="6"/>
      <c r="D808" s="6"/>
      <c r="E808" s="6"/>
      <c r="F808" s="6"/>
      <c r="G808" s="6"/>
      <c r="H808" s="6"/>
      <c r="I808" s="6"/>
      <c r="J808" s="6"/>
      <c r="K808" s="6"/>
      <c r="L808" s="6"/>
      <c r="M808" s="6"/>
      <c r="N808" s="6"/>
      <c r="O808" s="6"/>
    </row>
    <row r="809" spans="1:15" ht="15.6">
      <c r="A809" s="560"/>
      <c r="B809" s="6"/>
      <c r="C809" s="6"/>
      <c r="D809" s="6"/>
      <c r="E809" s="6"/>
      <c r="F809" s="6"/>
      <c r="G809" s="6"/>
      <c r="H809" s="6"/>
      <c r="I809" s="6"/>
      <c r="J809" s="6"/>
      <c r="K809" s="6"/>
      <c r="L809" s="6"/>
      <c r="M809" s="6"/>
      <c r="N809" s="6"/>
      <c r="O809" s="6"/>
    </row>
    <row r="810" spans="1:15" ht="15.6">
      <c r="A810" s="560"/>
      <c r="B810" s="6"/>
      <c r="C810" s="6"/>
      <c r="D810" s="6"/>
      <c r="E810" s="6"/>
      <c r="F810" s="6"/>
      <c r="G810" s="6"/>
      <c r="H810" s="6"/>
      <c r="I810" s="6"/>
      <c r="J810" s="6"/>
      <c r="K810" s="6"/>
      <c r="L810" s="6"/>
      <c r="M810" s="6"/>
      <c r="N810" s="6"/>
      <c r="O810" s="6"/>
    </row>
    <row r="811" spans="1:15" ht="15.6">
      <c r="A811" s="560"/>
      <c r="B811" s="6"/>
      <c r="C811" s="6"/>
      <c r="D811" s="6"/>
      <c r="E811" s="6"/>
      <c r="F811" s="6"/>
      <c r="G811" s="6"/>
      <c r="H811" s="6"/>
      <c r="I811" s="6"/>
      <c r="J811" s="6"/>
      <c r="K811" s="6"/>
      <c r="L811" s="6"/>
      <c r="M811" s="6"/>
      <c r="N811" s="6"/>
      <c r="O811" s="6"/>
    </row>
    <row r="812" spans="1:15" ht="15.6">
      <c r="A812" s="560"/>
      <c r="B812" s="6"/>
      <c r="C812" s="6"/>
      <c r="D812" s="6"/>
      <c r="E812" s="6"/>
      <c r="F812" s="6"/>
      <c r="G812" s="6"/>
      <c r="H812" s="6"/>
      <c r="I812" s="6"/>
      <c r="J812" s="6"/>
      <c r="K812" s="6"/>
      <c r="L812" s="6"/>
      <c r="M812" s="6"/>
      <c r="N812" s="6"/>
      <c r="O812" s="6"/>
    </row>
    <row r="813" spans="1:15" ht="15.6">
      <c r="A813" s="560"/>
      <c r="B813" s="6"/>
      <c r="C813" s="6"/>
      <c r="D813" s="6"/>
      <c r="E813" s="6"/>
      <c r="F813" s="6"/>
      <c r="G813" s="6"/>
      <c r="H813" s="6"/>
      <c r="I813" s="6"/>
      <c r="J813" s="6"/>
      <c r="K813" s="6"/>
      <c r="L813" s="6"/>
      <c r="M813" s="6"/>
      <c r="N813" s="6"/>
      <c r="O813" s="6"/>
    </row>
    <row r="814" spans="1:15" ht="15.6">
      <c r="A814" s="560"/>
      <c r="B814" s="6"/>
      <c r="C814" s="6"/>
      <c r="D814" s="6"/>
      <c r="E814" s="6"/>
      <c r="F814" s="6"/>
      <c r="G814" s="6"/>
      <c r="H814" s="6"/>
      <c r="I814" s="6"/>
      <c r="J814" s="6"/>
      <c r="K814" s="6"/>
      <c r="L814" s="6"/>
      <c r="M814" s="6"/>
      <c r="N814" s="6"/>
      <c r="O814" s="6"/>
    </row>
    <row r="815" spans="1:15" ht="15.6">
      <c r="A815" s="560"/>
      <c r="B815" s="6"/>
      <c r="C815" s="6"/>
      <c r="D815" s="6"/>
      <c r="E815" s="6"/>
      <c r="F815" s="6"/>
      <c r="G815" s="6"/>
      <c r="H815" s="6"/>
      <c r="I815" s="6"/>
      <c r="J815" s="6"/>
      <c r="K815" s="6"/>
      <c r="L815" s="6"/>
      <c r="M815" s="6"/>
      <c r="N815" s="6"/>
      <c r="O815" s="6"/>
    </row>
    <row r="816" spans="1:15" ht="15.6">
      <c r="A816" s="560"/>
      <c r="B816" s="6"/>
      <c r="C816" s="6"/>
      <c r="D816" s="6"/>
      <c r="E816" s="6"/>
      <c r="F816" s="6"/>
      <c r="G816" s="6"/>
      <c r="H816" s="6"/>
      <c r="I816" s="6"/>
      <c r="J816" s="6"/>
      <c r="K816" s="6"/>
      <c r="L816" s="6"/>
      <c r="M816" s="6"/>
      <c r="N816" s="6"/>
      <c r="O816" s="6"/>
    </row>
    <row r="817" spans="1:15" ht="15.6">
      <c r="A817" s="560"/>
      <c r="B817" s="6"/>
      <c r="C817" s="6"/>
      <c r="D817" s="6"/>
      <c r="E817" s="6"/>
      <c r="F817" s="6"/>
      <c r="G817" s="6"/>
      <c r="H817" s="6"/>
      <c r="I817" s="6"/>
      <c r="J817" s="6"/>
      <c r="K817" s="6"/>
      <c r="L817" s="6"/>
      <c r="M817" s="6"/>
      <c r="N817" s="6"/>
      <c r="O817" s="6"/>
    </row>
    <row r="818" spans="1:15" ht="15.6">
      <c r="A818" s="560"/>
      <c r="B818" s="6"/>
      <c r="C818" s="6"/>
      <c r="D818" s="6"/>
      <c r="E818" s="6"/>
      <c r="F818" s="6"/>
      <c r="G818" s="6"/>
      <c r="H818" s="6"/>
      <c r="I818" s="6"/>
      <c r="J818" s="6"/>
      <c r="K818" s="6"/>
      <c r="L818" s="6"/>
      <c r="M818" s="6"/>
      <c r="N818" s="6"/>
      <c r="O818" s="6"/>
    </row>
    <row r="819" spans="1:15" ht="15.6">
      <c r="A819" s="560"/>
      <c r="B819" s="6"/>
      <c r="C819" s="6"/>
      <c r="D819" s="6"/>
      <c r="E819" s="6"/>
      <c r="F819" s="6"/>
      <c r="G819" s="6"/>
      <c r="H819" s="6"/>
      <c r="I819" s="6"/>
      <c r="J819" s="6"/>
      <c r="K819" s="6"/>
      <c r="L819" s="6"/>
      <c r="M819" s="6"/>
      <c r="N819" s="6"/>
      <c r="O819" s="6"/>
    </row>
    <row r="820" spans="1:15" ht="15.6">
      <c r="A820" s="560"/>
      <c r="B820" s="6"/>
      <c r="C820" s="6"/>
      <c r="D820" s="6"/>
      <c r="E820" s="6"/>
      <c r="F820" s="6"/>
      <c r="G820" s="6"/>
      <c r="H820" s="6"/>
      <c r="I820" s="6"/>
      <c r="J820" s="6"/>
      <c r="K820" s="6"/>
      <c r="L820" s="6"/>
      <c r="M820" s="6"/>
      <c r="N820" s="6"/>
      <c r="O820" s="6"/>
    </row>
    <row r="821" spans="1:15" ht="15.6">
      <c r="A821" s="560"/>
      <c r="B821" s="6"/>
      <c r="C821" s="6"/>
      <c r="D821" s="6"/>
      <c r="E821" s="6"/>
      <c r="F821" s="6"/>
      <c r="G821" s="6"/>
      <c r="H821" s="6"/>
      <c r="I821" s="6"/>
      <c r="J821" s="6"/>
      <c r="K821" s="6"/>
      <c r="L821" s="6"/>
      <c r="M821" s="6"/>
      <c r="N821" s="6"/>
      <c r="O821" s="6"/>
    </row>
    <row r="822" spans="1:15" ht="15.6">
      <c r="A822" s="560"/>
      <c r="B822" s="6"/>
      <c r="C822" s="6"/>
      <c r="D822" s="6"/>
      <c r="E822" s="6"/>
      <c r="F822" s="6"/>
      <c r="G822" s="6"/>
      <c r="H822" s="6"/>
      <c r="I822" s="6"/>
      <c r="J822" s="6"/>
      <c r="K822" s="6"/>
      <c r="L822" s="6"/>
      <c r="M822" s="6"/>
      <c r="N822" s="6"/>
      <c r="O822" s="6"/>
    </row>
    <row r="823" spans="1:15" ht="15.6">
      <c r="A823" s="560"/>
      <c r="B823" s="6"/>
      <c r="C823" s="6"/>
      <c r="D823" s="6"/>
      <c r="E823" s="6"/>
      <c r="F823" s="6"/>
      <c r="G823" s="6"/>
      <c r="H823" s="6"/>
      <c r="I823" s="6"/>
      <c r="J823" s="6"/>
      <c r="K823" s="6"/>
      <c r="L823" s="6"/>
      <c r="M823" s="6"/>
      <c r="N823" s="6"/>
      <c r="O823" s="6"/>
    </row>
    <row r="824" spans="1:15" ht="15.6">
      <c r="A824" s="560"/>
      <c r="B824" s="6"/>
      <c r="C824" s="6"/>
      <c r="D824" s="6"/>
      <c r="E824" s="6"/>
      <c r="F824" s="6"/>
      <c r="G824" s="6"/>
      <c r="H824" s="6"/>
      <c r="I824" s="6"/>
      <c r="J824" s="6"/>
      <c r="K824" s="6"/>
      <c r="L824" s="6"/>
      <c r="M824" s="6"/>
      <c r="N824" s="6"/>
      <c r="O824" s="6"/>
    </row>
    <row r="825" spans="1:15" ht="15.6">
      <c r="A825" s="560"/>
      <c r="B825" s="6"/>
      <c r="C825" s="6"/>
      <c r="D825" s="6"/>
      <c r="E825" s="6"/>
      <c r="F825" s="6"/>
      <c r="G825" s="6"/>
      <c r="H825" s="6"/>
      <c r="I825" s="6"/>
      <c r="J825" s="6"/>
      <c r="K825" s="6"/>
      <c r="L825" s="6"/>
      <c r="M825" s="6"/>
      <c r="N825" s="6"/>
      <c r="O825" s="6"/>
    </row>
    <row r="826" spans="1:15" ht="15.6">
      <c r="A826" s="560"/>
      <c r="B826" s="6"/>
      <c r="C826" s="6"/>
      <c r="D826" s="6"/>
      <c r="E826" s="6"/>
      <c r="F826" s="6"/>
      <c r="G826" s="6"/>
      <c r="H826" s="6"/>
      <c r="I826" s="6"/>
      <c r="J826" s="6"/>
      <c r="K826" s="6"/>
      <c r="L826" s="6"/>
      <c r="M826" s="6"/>
      <c r="N826" s="6"/>
      <c r="O826" s="6"/>
    </row>
    <row r="827" spans="1:15" ht="15.6">
      <c r="A827" s="560"/>
      <c r="B827" s="6"/>
      <c r="C827" s="6"/>
      <c r="D827" s="6"/>
      <c r="E827" s="6"/>
      <c r="F827" s="6"/>
      <c r="G827" s="6"/>
      <c r="H827" s="6"/>
      <c r="I827" s="6"/>
      <c r="J827" s="6"/>
      <c r="K827" s="6"/>
      <c r="L827" s="6"/>
      <c r="M827" s="6"/>
      <c r="N827" s="6"/>
      <c r="O827" s="6"/>
    </row>
    <row r="828" spans="1:15" ht="15.6">
      <c r="A828" s="560"/>
      <c r="B828" s="6"/>
      <c r="C828" s="6"/>
      <c r="D828" s="6"/>
      <c r="E828" s="6"/>
      <c r="F828" s="6"/>
      <c r="G828" s="6"/>
      <c r="H828" s="6"/>
      <c r="I828" s="6"/>
      <c r="J828" s="6"/>
      <c r="K828" s="6"/>
      <c r="L828" s="6"/>
      <c r="M828" s="6"/>
      <c r="N828" s="6"/>
      <c r="O828" s="6"/>
    </row>
    <row r="829" spans="1:15" ht="15.6">
      <c r="A829" s="560"/>
      <c r="B829" s="6"/>
      <c r="C829" s="6"/>
      <c r="D829" s="6"/>
      <c r="E829" s="6"/>
      <c r="F829" s="6"/>
      <c r="G829" s="6"/>
      <c r="H829" s="6"/>
      <c r="I829" s="6"/>
      <c r="J829" s="6"/>
      <c r="K829" s="6"/>
      <c r="L829" s="6"/>
      <c r="M829" s="6"/>
      <c r="N829" s="6"/>
      <c r="O829" s="6"/>
    </row>
    <row r="830" spans="1:15" ht="15.6">
      <c r="A830" s="560"/>
      <c r="B830" s="6"/>
      <c r="C830" s="6"/>
      <c r="D830" s="6"/>
      <c r="E830" s="6"/>
      <c r="F830" s="6"/>
      <c r="G830" s="6"/>
      <c r="H830" s="6"/>
      <c r="I830" s="6"/>
      <c r="J830" s="6"/>
      <c r="K830" s="6"/>
      <c r="L830" s="6"/>
      <c r="M830" s="6"/>
      <c r="N830" s="6"/>
      <c r="O830" s="6"/>
    </row>
    <row r="831" spans="1:15" ht="15.6">
      <c r="A831" s="560"/>
      <c r="B831" s="6"/>
      <c r="C831" s="6"/>
      <c r="D831" s="6"/>
      <c r="E831" s="6"/>
      <c r="F831" s="6"/>
      <c r="G831" s="6"/>
      <c r="H831" s="6"/>
      <c r="I831" s="6"/>
      <c r="J831" s="6"/>
      <c r="K831" s="6"/>
      <c r="L831" s="6"/>
      <c r="M831" s="6"/>
      <c r="N831" s="6"/>
      <c r="O831" s="6"/>
    </row>
    <row r="832" spans="1:15" ht="15.6">
      <c r="A832" s="560"/>
      <c r="B832" s="6"/>
      <c r="C832" s="6"/>
      <c r="D832" s="6"/>
      <c r="E832" s="6"/>
      <c r="F832" s="6"/>
      <c r="G832" s="6"/>
      <c r="H832" s="6"/>
      <c r="I832" s="6"/>
      <c r="J832" s="6"/>
      <c r="K832" s="6"/>
      <c r="L832" s="6"/>
      <c r="M832" s="6"/>
      <c r="N832" s="6"/>
      <c r="O832" s="6"/>
    </row>
    <row r="833" spans="1:15" ht="15.6">
      <c r="A833" s="560"/>
      <c r="B833" s="6"/>
      <c r="C833" s="6"/>
      <c r="D833" s="6"/>
      <c r="E833" s="6"/>
      <c r="F833" s="6"/>
      <c r="G833" s="6"/>
      <c r="H833" s="6"/>
      <c r="I833" s="6"/>
      <c r="J833" s="6"/>
      <c r="K833" s="6"/>
      <c r="L833" s="6"/>
      <c r="M833" s="6"/>
      <c r="N833" s="6"/>
      <c r="O833" s="6"/>
    </row>
    <row r="834" spans="1:15" ht="15.6">
      <c r="A834" s="560"/>
      <c r="B834" s="6"/>
      <c r="C834" s="6"/>
      <c r="D834" s="6"/>
      <c r="E834" s="6"/>
      <c r="F834" s="6"/>
      <c r="G834" s="6"/>
      <c r="H834" s="6"/>
      <c r="I834" s="6"/>
      <c r="J834" s="6"/>
      <c r="K834" s="6"/>
      <c r="L834" s="6"/>
      <c r="M834" s="6"/>
      <c r="N834" s="6"/>
      <c r="O834" s="6"/>
    </row>
    <row r="835" spans="1:15" ht="15.6">
      <c r="A835" s="560"/>
      <c r="B835" s="6"/>
      <c r="C835" s="6"/>
      <c r="D835" s="6"/>
      <c r="E835" s="6"/>
      <c r="F835" s="6"/>
      <c r="G835" s="6"/>
      <c r="H835" s="6"/>
      <c r="I835" s="6"/>
      <c r="J835" s="6"/>
      <c r="K835" s="6"/>
      <c r="L835" s="6"/>
      <c r="M835" s="6"/>
      <c r="N835" s="6"/>
      <c r="O835" s="6"/>
    </row>
    <row r="836" spans="1:15" ht="15.6">
      <c r="A836" s="560"/>
      <c r="B836" s="6"/>
      <c r="C836" s="6"/>
      <c r="D836" s="6"/>
      <c r="E836" s="6"/>
      <c r="F836" s="6"/>
      <c r="G836" s="6"/>
      <c r="H836" s="6"/>
      <c r="I836" s="6"/>
      <c r="J836" s="6"/>
      <c r="K836" s="6"/>
      <c r="L836" s="6"/>
      <c r="M836" s="6"/>
      <c r="N836" s="6"/>
      <c r="O836" s="6"/>
    </row>
    <row r="837" spans="1:15" ht="15.6">
      <c r="A837" s="560"/>
      <c r="B837" s="6"/>
      <c r="C837" s="6"/>
      <c r="D837" s="6"/>
      <c r="E837" s="6"/>
      <c r="F837" s="6"/>
      <c r="G837" s="6"/>
      <c r="H837" s="6"/>
      <c r="I837" s="6"/>
      <c r="J837" s="6"/>
      <c r="K837" s="6"/>
      <c r="L837" s="6"/>
      <c r="M837" s="6"/>
      <c r="N837" s="6"/>
      <c r="O837" s="6"/>
    </row>
    <row r="838" spans="1:15" ht="15.6">
      <c r="A838" s="560"/>
      <c r="B838" s="6"/>
      <c r="C838" s="6"/>
      <c r="D838" s="6"/>
      <c r="E838" s="6"/>
      <c r="F838" s="6"/>
      <c r="G838" s="6"/>
      <c r="H838" s="6"/>
      <c r="I838" s="6"/>
      <c r="J838" s="6"/>
      <c r="K838" s="6"/>
      <c r="L838" s="6"/>
      <c r="M838" s="6"/>
      <c r="N838" s="6"/>
      <c r="O838" s="6"/>
    </row>
    <row r="839" spans="1:15" ht="15.6">
      <c r="A839" s="560"/>
      <c r="B839" s="6"/>
      <c r="C839" s="6"/>
      <c r="D839" s="6"/>
      <c r="E839" s="6"/>
      <c r="F839" s="6"/>
      <c r="G839" s="6"/>
      <c r="H839" s="6"/>
      <c r="I839" s="6"/>
      <c r="J839" s="6"/>
      <c r="K839" s="6"/>
      <c r="L839" s="6"/>
      <c r="M839" s="6"/>
      <c r="N839" s="6"/>
      <c r="O839" s="6"/>
    </row>
    <row r="840" spans="1:15" ht="15.6">
      <c r="A840" s="560"/>
      <c r="B840" s="6"/>
      <c r="C840" s="6"/>
      <c r="D840" s="6"/>
      <c r="E840" s="6"/>
      <c r="F840" s="6"/>
      <c r="G840" s="6"/>
      <c r="H840" s="6"/>
      <c r="I840" s="6"/>
      <c r="J840" s="6"/>
      <c r="K840" s="6"/>
      <c r="L840" s="6"/>
      <c r="M840" s="6"/>
      <c r="N840" s="6"/>
      <c r="O840" s="6"/>
    </row>
    <row r="841" spans="1:15" ht="15.6">
      <c r="A841" s="560"/>
      <c r="B841" s="6"/>
      <c r="C841" s="6"/>
      <c r="D841" s="6"/>
      <c r="E841" s="6"/>
      <c r="F841" s="6"/>
      <c r="G841" s="6"/>
      <c r="H841" s="6"/>
      <c r="I841" s="6"/>
      <c r="J841" s="6"/>
      <c r="K841" s="6"/>
      <c r="L841" s="6"/>
      <c r="M841" s="6"/>
      <c r="N841" s="6"/>
      <c r="O841" s="6"/>
    </row>
    <row r="842" spans="1:15" ht="15.6">
      <c r="A842" s="560"/>
      <c r="B842" s="6"/>
      <c r="C842" s="6"/>
      <c r="D842" s="6"/>
      <c r="E842" s="6"/>
      <c r="F842" s="6"/>
      <c r="G842" s="6"/>
      <c r="H842" s="6"/>
      <c r="I842" s="6"/>
      <c r="J842" s="6"/>
      <c r="K842" s="6"/>
      <c r="L842" s="6"/>
      <c r="M842" s="6"/>
      <c r="N842" s="6"/>
      <c r="O842" s="6"/>
    </row>
    <row r="843" spans="1:15" ht="15.6">
      <c r="A843" s="560"/>
      <c r="B843" s="6"/>
      <c r="C843" s="6"/>
      <c r="D843" s="6"/>
      <c r="E843" s="6"/>
      <c r="F843" s="6"/>
      <c r="G843" s="6"/>
      <c r="H843" s="6"/>
      <c r="I843" s="6"/>
      <c r="J843" s="6"/>
      <c r="K843" s="6"/>
      <c r="L843" s="6"/>
      <c r="M843" s="6"/>
      <c r="N843" s="6"/>
      <c r="O843" s="6"/>
    </row>
    <row r="844" spans="1:15" ht="15.6">
      <c r="A844" s="560"/>
      <c r="B844" s="6"/>
      <c r="C844" s="6"/>
      <c r="D844" s="6"/>
      <c r="E844" s="6"/>
      <c r="F844" s="6"/>
      <c r="G844" s="6"/>
      <c r="H844" s="6"/>
      <c r="I844" s="6"/>
      <c r="J844" s="6"/>
      <c r="K844" s="6"/>
      <c r="L844" s="6"/>
      <c r="M844" s="6"/>
      <c r="N844" s="6"/>
      <c r="O844" s="6"/>
    </row>
    <row r="845" spans="1:15" ht="15.6">
      <c r="A845" s="560"/>
      <c r="B845" s="6"/>
      <c r="C845" s="6"/>
      <c r="D845" s="6"/>
      <c r="E845" s="6"/>
      <c r="F845" s="6"/>
      <c r="G845" s="6"/>
      <c r="H845" s="6"/>
      <c r="I845" s="6"/>
      <c r="J845" s="6"/>
      <c r="K845" s="6"/>
      <c r="L845" s="6"/>
      <c r="M845" s="6"/>
      <c r="N845" s="6"/>
      <c r="O845" s="6"/>
    </row>
    <row r="846" spans="1:15" ht="15.6">
      <c r="A846" s="560"/>
      <c r="B846" s="6"/>
      <c r="C846" s="6"/>
      <c r="D846" s="6"/>
      <c r="E846" s="6"/>
      <c r="F846" s="6"/>
      <c r="G846" s="6"/>
      <c r="H846" s="6"/>
      <c r="I846" s="6"/>
      <c r="J846" s="6"/>
      <c r="K846" s="6"/>
      <c r="L846" s="6"/>
      <c r="M846" s="6"/>
      <c r="N846" s="6"/>
      <c r="O846" s="6"/>
    </row>
    <row r="847" spans="1:15" ht="15.6">
      <c r="A847" s="560"/>
      <c r="B847" s="6"/>
      <c r="C847" s="6"/>
      <c r="D847" s="6"/>
      <c r="E847" s="6"/>
      <c r="F847" s="6"/>
      <c r="G847" s="6"/>
      <c r="H847" s="6"/>
      <c r="I847" s="6"/>
      <c r="J847" s="6"/>
      <c r="K847" s="6"/>
      <c r="L847" s="6"/>
      <c r="M847" s="6"/>
      <c r="N847" s="6"/>
      <c r="O847" s="6"/>
    </row>
    <row r="848" spans="1:15" ht="15.6">
      <c r="A848" s="560"/>
      <c r="B848" s="6"/>
      <c r="C848" s="6"/>
      <c r="D848" s="6"/>
      <c r="E848" s="6"/>
      <c r="F848" s="6"/>
      <c r="G848" s="6"/>
      <c r="H848" s="6"/>
      <c r="I848" s="6"/>
      <c r="J848" s="6"/>
      <c r="K848" s="6"/>
      <c r="L848" s="6"/>
      <c r="M848" s="6"/>
      <c r="N848" s="6"/>
      <c r="O848" s="6"/>
    </row>
    <row r="849" spans="1:15" ht="15.6">
      <c r="A849" s="560"/>
      <c r="B849" s="6"/>
      <c r="C849" s="6"/>
      <c r="D849" s="6"/>
      <c r="E849" s="6"/>
      <c r="F849" s="6"/>
      <c r="G849" s="6"/>
      <c r="H849" s="6"/>
      <c r="I849" s="6"/>
      <c r="J849" s="6"/>
      <c r="K849" s="6"/>
      <c r="L849" s="6"/>
      <c r="M849" s="6"/>
      <c r="N849" s="6"/>
      <c r="O849" s="6"/>
    </row>
    <row r="850" spans="1:15" ht="15.6">
      <c r="A850" s="560"/>
      <c r="B850" s="6"/>
      <c r="C850" s="6"/>
      <c r="D850" s="6"/>
      <c r="E850" s="6"/>
      <c r="F850" s="6"/>
      <c r="G850" s="6"/>
      <c r="H850" s="6"/>
      <c r="I850" s="6"/>
      <c r="J850" s="6"/>
      <c r="K850" s="6"/>
      <c r="L850" s="6"/>
      <c r="M850" s="6"/>
      <c r="N850" s="6"/>
      <c r="O850" s="6"/>
    </row>
    <row r="851" spans="1:15" ht="15.6">
      <c r="A851" s="560"/>
      <c r="B851" s="6"/>
      <c r="C851" s="6"/>
      <c r="D851" s="6"/>
      <c r="E851" s="6"/>
      <c r="F851" s="6"/>
      <c r="G851" s="6"/>
      <c r="H851" s="6"/>
      <c r="I851" s="6"/>
      <c r="J851" s="6"/>
      <c r="K851" s="6"/>
      <c r="L851" s="6"/>
      <c r="M851" s="6"/>
      <c r="N851" s="6"/>
      <c r="O851" s="6"/>
    </row>
    <row r="852" spans="1:15" ht="15.6">
      <c r="A852" s="560"/>
      <c r="B852" s="6"/>
      <c r="C852" s="6"/>
      <c r="D852" s="6"/>
      <c r="E852" s="6"/>
      <c r="F852" s="6"/>
      <c r="G852" s="6"/>
      <c r="H852" s="6"/>
      <c r="I852" s="6"/>
      <c r="J852" s="6"/>
      <c r="K852" s="6"/>
      <c r="L852" s="6"/>
      <c r="M852" s="6"/>
      <c r="N852" s="6"/>
      <c r="O852" s="6"/>
    </row>
    <row r="853" spans="1:15" ht="15.6">
      <c r="A853" s="560"/>
      <c r="B853" s="6"/>
      <c r="C853" s="6"/>
      <c r="D853" s="6"/>
      <c r="E853" s="6"/>
      <c r="F853" s="6"/>
      <c r="G853" s="6"/>
      <c r="H853" s="6"/>
      <c r="I853" s="6"/>
      <c r="J853" s="6"/>
      <c r="K853" s="6"/>
      <c r="L853" s="6"/>
      <c r="M853" s="6"/>
      <c r="N853" s="6"/>
      <c r="O853" s="6"/>
    </row>
    <row r="854" spans="1:15" ht="15.6">
      <c r="A854" s="560"/>
      <c r="B854" s="6"/>
      <c r="C854" s="6"/>
      <c r="D854" s="6"/>
      <c r="E854" s="6"/>
      <c r="F854" s="6"/>
      <c r="G854" s="6"/>
      <c r="H854" s="6"/>
      <c r="I854" s="6"/>
      <c r="J854" s="6"/>
      <c r="K854" s="6"/>
      <c r="L854" s="6"/>
      <c r="M854" s="6"/>
      <c r="N854" s="6"/>
      <c r="O854" s="6"/>
    </row>
    <row r="855" spans="1:15" ht="15.6">
      <c r="A855" s="560"/>
      <c r="B855" s="6"/>
      <c r="C855" s="6"/>
      <c r="D855" s="6"/>
      <c r="E855" s="6"/>
      <c r="F855" s="6"/>
      <c r="G855" s="6"/>
      <c r="H855" s="6"/>
      <c r="I855" s="6"/>
      <c r="J855" s="6"/>
      <c r="K855" s="6"/>
      <c r="L855" s="6"/>
      <c r="M855" s="6"/>
      <c r="N855" s="6"/>
      <c r="O855" s="6"/>
    </row>
    <row r="856" spans="1:15" ht="15.6">
      <c r="A856" s="560"/>
      <c r="B856" s="6"/>
      <c r="C856" s="6"/>
      <c r="D856" s="6"/>
      <c r="E856" s="6"/>
      <c r="F856" s="6"/>
      <c r="G856" s="6"/>
      <c r="H856" s="6"/>
      <c r="I856" s="6"/>
      <c r="J856" s="6"/>
      <c r="K856" s="6"/>
      <c r="L856" s="6"/>
      <c r="M856" s="6"/>
      <c r="N856" s="6"/>
      <c r="O856" s="6"/>
    </row>
    <row r="857" spans="1:15" ht="15.6">
      <c r="A857" s="560"/>
      <c r="B857" s="6"/>
      <c r="C857" s="6"/>
      <c r="D857" s="6"/>
      <c r="E857" s="6"/>
      <c r="F857" s="6"/>
      <c r="G857" s="6"/>
      <c r="H857" s="6"/>
      <c r="I857" s="6"/>
      <c r="J857" s="6"/>
      <c r="K857" s="6"/>
      <c r="L857" s="6"/>
      <c r="M857" s="6"/>
      <c r="N857" s="6"/>
      <c r="O857" s="6"/>
    </row>
    <row r="858" spans="1:15" ht="15.6">
      <c r="A858" s="560"/>
      <c r="B858" s="6"/>
      <c r="C858" s="6"/>
      <c r="D858" s="6"/>
      <c r="E858" s="6"/>
      <c r="F858" s="6"/>
      <c r="G858" s="6"/>
      <c r="H858" s="6"/>
      <c r="I858" s="6"/>
      <c r="J858" s="6"/>
      <c r="K858" s="6"/>
      <c r="L858" s="6"/>
      <c r="M858" s="6"/>
      <c r="N858" s="6"/>
      <c r="O858" s="6"/>
    </row>
    <row r="859" spans="1:15" ht="15.6">
      <c r="A859" s="560"/>
      <c r="B859" s="6"/>
      <c r="C859" s="6"/>
      <c r="D859" s="6"/>
      <c r="E859" s="6"/>
      <c r="F859" s="6"/>
      <c r="G859" s="6"/>
      <c r="H859" s="6"/>
      <c r="I859" s="6"/>
      <c r="J859" s="6"/>
      <c r="K859" s="6"/>
      <c r="L859" s="6"/>
      <c r="M859" s="6"/>
      <c r="N859" s="6"/>
      <c r="O859" s="6"/>
    </row>
    <row r="860" spans="1:15" ht="15.6">
      <c r="A860" s="560"/>
      <c r="B860" s="6"/>
      <c r="C860" s="6"/>
      <c r="D860" s="6"/>
      <c r="E860" s="6"/>
      <c r="F860" s="6"/>
      <c r="G860" s="6"/>
      <c r="H860" s="6"/>
      <c r="I860" s="6"/>
      <c r="J860" s="6"/>
      <c r="K860" s="6"/>
      <c r="L860" s="6"/>
      <c r="M860" s="6"/>
      <c r="N860" s="6"/>
      <c r="O860" s="6"/>
    </row>
    <row r="861" spans="1:15" ht="15.6">
      <c r="A861" s="560"/>
      <c r="B861" s="6"/>
      <c r="C861" s="6"/>
      <c r="D861" s="6"/>
      <c r="E861" s="6"/>
      <c r="F861" s="6"/>
      <c r="G861" s="6"/>
      <c r="H861" s="6"/>
      <c r="I861" s="6"/>
      <c r="J861" s="6"/>
      <c r="K861" s="6"/>
      <c r="L861" s="6"/>
      <c r="M861" s="6"/>
      <c r="N861" s="6"/>
      <c r="O861" s="6"/>
    </row>
    <row r="862" spans="1:15" ht="15.6">
      <c r="A862" s="560"/>
      <c r="B862" s="6"/>
      <c r="C862" s="6"/>
      <c r="D862" s="6"/>
      <c r="E862" s="6"/>
      <c r="F862" s="6"/>
      <c r="G862" s="6"/>
      <c r="H862" s="6"/>
      <c r="I862" s="6"/>
      <c r="J862" s="6"/>
      <c r="K862" s="6"/>
      <c r="L862" s="6"/>
      <c r="M862" s="6"/>
      <c r="N862" s="6"/>
      <c r="O862" s="6"/>
    </row>
    <row r="863" spans="1:15" ht="15.6">
      <c r="A863" s="560"/>
      <c r="B863" s="6"/>
      <c r="C863" s="6"/>
      <c r="D863" s="6"/>
      <c r="E863" s="6"/>
      <c r="F863" s="6"/>
      <c r="G863" s="6"/>
      <c r="H863" s="6"/>
      <c r="I863" s="6"/>
      <c r="J863" s="6"/>
      <c r="K863" s="6"/>
      <c r="L863" s="6"/>
      <c r="M863" s="6"/>
      <c r="N863" s="6"/>
      <c r="O863" s="6"/>
    </row>
    <row r="864" spans="1:15" ht="15.6">
      <c r="A864" s="560"/>
      <c r="B864" s="6"/>
      <c r="C864" s="6"/>
      <c r="D864" s="6"/>
      <c r="E864" s="6"/>
      <c r="F864" s="6"/>
      <c r="G864" s="6"/>
      <c r="H864" s="6"/>
      <c r="I864" s="6"/>
      <c r="J864" s="6"/>
      <c r="K864" s="6"/>
      <c r="L864" s="6"/>
      <c r="M864" s="6"/>
      <c r="N864" s="6"/>
      <c r="O864" s="6"/>
    </row>
    <row r="865" spans="1:15" ht="15.6">
      <c r="A865" s="560"/>
      <c r="B865" s="6"/>
      <c r="C865" s="6"/>
      <c r="D865" s="6"/>
      <c r="E865" s="6"/>
      <c r="F865" s="6"/>
      <c r="G865" s="6"/>
      <c r="H865" s="6"/>
      <c r="I865" s="6"/>
      <c r="J865" s="6"/>
      <c r="K865" s="6"/>
      <c r="L865" s="6"/>
      <c r="M865" s="6"/>
      <c r="N865" s="6"/>
      <c r="O865" s="6"/>
    </row>
    <row r="866" spans="1:15" ht="15.6">
      <c r="A866" s="560"/>
      <c r="B866" s="6"/>
      <c r="C866" s="6"/>
      <c r="D866" s="6"/>
      <c r="E866" s="6"/>
      <c r="F866" s="6"/>
      <c r="G866" s="6"/>
      <c r="H866" s="6"/>
      <c r="I866" s="6"/>
      <c r="J866" s="6"/>
      <c r="K866" s="6"/>
      <c r="L866" s="6"/>
      <c r="M866" s="6"/>
      <c r="N866" s="6"/>
      <c r="O866" s="6"/>
    </row>
    <row r="867" spans="1:15" ht="15.6">
      <c r="A867" s="560"/>
      <c r="B867" s="6"/>
      <c r="C867" s="6"/>
      <c r="D867" s="6"/>
      <c r="E867" s="6"/>
      <c r="F867" s="6"/>
      <c r="G867" s="6"/>
      <c r="H867" s="6"/>
      <c r="I867" s="6"/>
      <c r="J867" s="6"/>
      <c r="K867" s="6"/>
      <c r="L867" s="6"/>
      <c r="M867" s="6"/>
      <c r="N867" s="6"/>
      <c r="O867" s="6"/>
    </row>
    <row r="868" spans="1:15" ht="15.6">
      <c r="A868" s="560"/>
      <c r="B868" s="6"/>
      <c r="C868" s="6"/>
      <c r="D868" s="6"/>
      <c r="E868" s="6"/>
      <c r="F868" s="6"/>
      <c r="G868" s="6"/>
      <c r="H868" s="6"/>
      <c r="I868" s="6"/>
      <c r="J868" s="6"/>
      <c r="K868" s="6"/>
      <c r="L868" s="6"/>
      <c r="M868" s="6"/>
      <c r="N868" s="6"/>
      <c r="O868" s="6"/>
    </row>
    <row r="869" spans="1:15" ht="15.6">
      <c r="A869" s="560"/>
      <c r="B869" s="6"/>
      <c r="C869" s="6"/>
      <c r="D869" s="6"/>
      <c r="E869" s="6"/>
      <c r="F869" s="6"/>
      <c r="G869" s="6"/>
      <c r="H869" s="6"/>
      <c r="I869" s="6"/>
      <c r="J869" s="6"/>
      <c r="K869" s="6"/>
      <c r="L869" s="6"/>
      <c r="M869" s="6"/>
      <c r="N869" s="6"/>
      <c r="O869" s="6"/>
    </row>
    <row r="870" spans="1:15" ht="15.6">
      <c r="A870" s="560"/>
      <c r="B870" s="6"/>
      <c r="C870" s="6"/>
      <c r="D870" s="6"/>
      <c r="E870" s="6"/>
      <c r="F870" s="6"/>
      <c r="G870" s="6"/>
      <c r="H870" s="6"/>
      <c r="I870" s="6"/>
      <c r="J870" s="6"/>
      <c r="K870" s="6"/>
      <c r="L870" s="6"/>
      <c r="M870" s="6"/>
      <c r="N870" s="6"/>
      <c r="O870" s="6"/>
    </row>
    <row r="871" spans="1:15" ht="15.6">
      <c r="A871" s="560"/>
      <c r="B871" s="6"/>
      <c r="C871" s="6"/>
      <c r="D871" s="6"/>
      <c r="E871" s="6"/>
      <c r="F871" s="6"/>
      <c r="G871" s="6"/>
      <c r="H871" s="6"/>
      <c r="I871" s="6"/>
      <c r="J871" s="6"/>
      <c r="K871" s="6"/>
      <c r="L871" s="6"/>
      <c r="M871" s="6"/>
      <c r="N871" s="6"/>
      <c r="O871" s="6"/>
    </row>
    <row r="872" spans="1:15" ht="15.6">
      <c r="A872" s="560"/>
      <c r="B872" s="6"/>
      <c r="C872" s="6"/>
      <c r="D872" s="6"/>
      <c r="E872" s="6"/>
      <c r="F872" s="6"/>
      <c r="G872" s="6"/>
      <c r="H872" s="6"/>
      <c r="I872" s="6"/>
      <c r="J872" s="6"/>
      <c r="K872" s="6"/>
      <c r="L872" s="6"/>
      <c r="M872" s="6"/>
      <c r="N872" s="6"/>
      <c r="O872" s="6"/>
    </row>
    <row r="873" spans="1:15" ht="15.6">
      <c r="A873" s="560"/>
      <c r="B873" s="6"/>
      <c r="C873" s="6"/>
      <c r="D873" s="6"/>
      <c r="E873" s="6"/>
      <c r="F873" s="6"/>
      <c r="G873" s="6"/>
      <c r="H873" s="6"/>
      <c r="I873" s="6"/>
      <c r="J873" s="6"/>
      <c r="K873" s="6"/>
      <c r="L873" s="6"/>
      <c r="M873" s="6"/>
      <c r="N873" s="6"/>
      <c r="O873" s="6"/>
    </row>
    <row r="874" spans="1:15" ht="15.6">
      <c r="A874" s="560"/>
      <c r="B874" s="6"/>
      <c r="C874" s="6"/>
      <c r="D874" s="6"/>
      <c r="E874" s="6"/>
      <c r="F874" s="6"/>
      <c r="G874" s="6"/>
      <c r="H874" s="6"/>
      <c r="I874" s="6"/>
      <c r="J874" s="6"/>
      <c r="K874" s="6"/>
      <c r="L874" s="6"/>
      <c r="M874" s="6"/>
      <c r="N874" s="6"/>
      <c r="O874" s="6"/>
    </row>
    <row r="875" spans="1:15" ht="15.6">
      <c r="A875" s="560"/>
      <c r="B875" s="6"/>
      <c r="C875" s="6"/>
      <c r="D875" s="6"/>
      <c r="E875" s="6"/>
      <c r="F875" s="6"/>
      <c r="G875" s="6"/>
      <c r="H875" s="6"/>
      <c r="I875" s="6"/>
      <c r="J875" s="6"/>
      <c r="K875" s="6"/>
      <c r="L875" s="6"/>
      <c r="M875" s="6"/>
      <c r="N875" s="6"/>
      <c r="O875" s="6"/>
    </row>
    <row r="876" spans="1:15" ht="15.6">
      <c r="A876" s="560"/>
      <c r="B876" s="6"/>
      <c r="C876" s="6"/>
      <c r="D876" s="6"/>
      <c r="E876" s="6"/>
      <c r="F876" s="6"/>
      <c r="G876" s="6"/>
      <c r="H876" s="6"/>
      <c r="I876" s="6"/>
      <c r="J876" s="6"/>
      <c r="K876" s="6"/>
      <c r="L876" s="6"/>
      <c r="M876" s="6"/>
      <c r="N876" s="6"/>
      <c r="O876" s="6"/>
    </row>
    <row r="877" spans="1:15" ht="15.6">
      <c r="A877" s="560"/>
      <c r="B877" s="6"/>
      <c r="C877" s="6"/>
      <c r="D877" s="6"/>
      <c r="E877" s="6"/>
      <c r="F877" s="6"/>
      <c r="G877" s="6"/>
      <c r="H877" s="6"/>
      <c r="I877" s="6"/>
      <c r="J877" s="6"/>
      <c r="K877" s="6"/>
      <c r="L877" s="6"/>
      <c r="M877" s="6"/>
      <c r="N877" s="6"/>
      <c r="O877" s="6"/>
    </row>
    <row r="878" spans="1:15" ht="15.6">
      <c r="A878" s="560"/>
      <c r="B878" s="6"/>
      <c r="C878" s="6"/>
      <c r="D878" s="6"/>
      <c r="E878" s="6"/>
      <c r="F878" s="6"/>
      <c r="G878" s="6"/>
      <c r="H878" s="6"/>
      <c r="I878" s="6"/>
      <c r="J878" s="6"/>
      <c r="K878" s="6"/>
      <c r="L878" s="6"/>
      <c r="M878" s="6"/>
      <c r="N878" s="6"/>
      <c r="O878" s="6"/>
    </row>
    <row r="879" spans="1:15" ht="15.6">
      <c r="A879" s="560"/>
      <c r="B879" s="6"/>
      <c r="C879" s="6"/>
      <c r="D879" s="6"/>
      <c r="E879" s="6"/>
      <c r="F879" s="6"/>
      <c r="G879" s="6"/>
      <c r="H879" s="6"/>
      <c r="I879" s="6"/>
      <c r="J879" s="6"/>
      <c r="K879" s="6"/>
      <c r="L879" s="6"/>
      <c r="M879" s="6"/>
      <c r="N879" s="6"/>
      <c r="O879" s="6"/>
    </row>
    <row r="880" spans="1:15" ht="15.6">
      <c r="A880" s="560"/>
      <c r="B880" s="6"/>
      <c r="C880" s="6"/>
      <c r="D880" s="6"/>
      <c r="E880" s="6"/>
      <c r="F880" s="6"/>
      <c r="G880" s="6"/>
      <c r="H880" s="6"/>
      <c r="I880" s="6"/>
      <c r="J880" s="6"/>
      <c r="K880" s="6"/>
      <c r="L880" s="6"/>
      <c r="M880" s="6"/>
      <c r="N880" s="6"/>
      <c r="O880" s="6"/>
    </row>
    <row r="881" spans="1:15" ht="15.6">
      <c r="A881" s="560"/>
      <c r="B881" s="6"/>
      <c r="C881" s="6"/>
      <c r="D881" s="6"/>
      <c r="E881" s="6"/>
      <c r="F881" s="6"/>
      <c r="G881" s="6"/>
      <c r="H881" s="6"/>
      <c r="I881" s="6"/>
      <c r="J881" s="6"/>
      <c r="K881" s="6"/>
      <c r="L881" s="6"/>
      <c r="M881" s="6"/>
      <c r="N881" s="6"/>
      <c r="O881" s="6"/>
    </row>
    <row r="882" spans="1:15" ht="15.6">
      <c r="A882" s="560"/>
      <c r="B882" s="6"/>
      <c r="C882" s="6"/>
      <c r="D882" s="6"/>
      <c r="E882" s="6"/>
      <c r="F882" s="6"/>
      <c r="G882" s="6"/>
      <c r="H882" s="6"/>
      <c r="I882" s="6"/>
      <c r="J882" s="6"/>
      <c r="K882" s="6"/>
      <c r="L882" s="6"/>
      <c r="M882" s="6"/>
      <c r="N882" s="6"/>
      <c r="O882" s="6"/>
    </row>
    <row r="883" spans="1:15" ht="15.6">
      <c r="A883" s="560"/>
      <c r="B883" s="6"/>
      <c r="C883" s="6"/>
      <c r="D883" s="6"/>
      <c r="E883" s="6"/>
      <c r="F883" s="6"/>
      <c r="G883" s="6"/>
      <c r="H883" s="6"/>
      <c r="I883" s="6"/>
      <c r="J883" s="6"/>
      <c r="K883" s="6"/>
      <c r="L883" s="6"/>
      <c r="M883" s="6"/>
      <c r="N883" s="6"/>
      <c r="O883" s="6"/>
    </row>
    <row r="884" spans="1:15" ht="15.6">
      <c r="A884" s="560"/>
      <c r="B884" s="6"/>
      <c r="C884" s="6"/>
      <c r="D884" s="6"/>
      <c r="E884" s="6"/>
      <c r="F884" s="6"/>
      <c r="G884" s="6"/>
      <c r="H884" s="6"/>
      <c r="I884" s="6"/>
      <c r="J884" s="6"/>
      <c r="K884" s="6"/>
      <c r="L884" s="6"/>
      <c r="M884" s="6"/>
      <c r="N884" s="6"/>
      <c r="O884" s="6"/>
    </row>
    <row r="885" spans="1:15" ht="15.6">
      <c r="A885" s="560"/>
      <c r="B885" s="6"/>
      <c r="C885" s="6"/>
      <c r="D885" s="6"/>
      <c r="E885" s="6"/>
      <c r="F885" s="6"/>
      <c r="G885" s="6"/>
      <c r="H885" s="6"/>
      <c r="I885" s="6"/>
      <c r="J885" s="6"/>
      <c r="K885" s="6"/>
      <c r="L885" s="6"/>
      <c r="M885" s="6"/>
      <c r="N885" s="6"/>
      <c r="O885" s="6"/>
    </row>
    <row r="886" spans="1:15" ht="15.6">
      <c r="A886" s="560"/>
      <c r="B886" s="6"/>
      <c r="C886" s="6"/>
      <c r="D886" s="6"/>
      <c r="E886" s="6"/>
      <c r="F886" s="6"/>
      <c r="G886" s="6"/>
      <c r="H886" s="6"/>
      <c r="I886" s="6"/>
      <c r="J886" s="6"/>
      <c r="K886" s="6"/>
      <c r="L886" s="6"/>
      <c r="M886" s="6"/>
      <c r="N886" s="6"/>
      <c r="O886" s="6"/>
    </row>
    <row r="887" spans="1:15" ht="15.6">
      <c r="A887" s="560"/>
      <c r="B887" s="6"/>
      <c r="C887" s="6"/>
      <c r="D887" s="6"/>
      <c r="E887" s="6"/>
      <c r="F887" s="6"/>
      <c r="G887" s="6"/>
      <c r="H887" s="6"/>
      <c r="I887" s="6"/>
      <c r="J887" s="6"/>
      <c r="K887" s="6"/>
      <c r="L887" s="6"/>
      <c r="M887" s="6"/>
      <c r="N887" s="6"/>
      <c r="O887" s="6"/>
    </row>
    <row r="888" spans="1:15" ht="15.6">
      <c r="A888" s="560"/>
      <c r="B888" s="6"/>
      <c r="C888" s="6"/>
      <c r="D888" s="6"/>
      <c r="E888" s="6"/>
      <c r="F888" s="6"/>
      <c r="G888" s="6"/>
      <c r="H888" s="6"/>
      <c r="I888" s="6"/>
      <c r="J888" s="6"/>
      <c r="K888" s="6"/>
      <c r="L888" s="6"/>
      <c r="M888" s="6"/>
      <c r="N888" s="6"/>
      <c r="O888" s="6"/>
    </row>
    <row r="889" spans="1:15" ht="15.6">
      <c r="A889" s="560"/>
      <c r="B889" s="6"/>
      <c r="C889" s="6"/>
      <c r="D889" s="6"/>
      <c r="E889" s="6"/>
      <c r="F889" s="6"/>
      <c r="G889" s="6"/>
      <c r="H889" s="6"/>
      <c r="I889" s="6"/>
      <c r="J889" s="6"/>
      <c r="K889" s="6"/>
      <c r="L889" s="6"/>
      <c r="M889" s="6"/>
      <c r="N889" s="6"/>
      <c r="O889" s="6"/>
    </row>
    <row r="890" spans="1:15" ht="15.6">
      <c r="A890" s="560"/>
      <c r="B890" s="6"/>
      <c r="C890" s="6"/>
      <c r="D890" s="6"/>
      <c r="E890" s="6"/>
      <c r="F890" s="6"/>
      <c r="G890" s="6"/>
      <c r="H890" s="6"/>
      <c r="I890" s="6"/>
      <c r="J890" s="6"/>
      <c r="K890" s="6"/>
      <c r="L890" s="6"/>
      <c r="M890" s="6"/>
      <c r="N890" s="6"/>
      <c r="O890" s="6"/>
    </row>
    <row r="891" spans="1:15" ht="15.6">
      <c r="A891" s="560"/>
      <c r="B891" s="6"/>
      <c r="C891" s="6"/>
      <c r="D891" s="6"/>
      <c r="E891" s="6"/>
      <c r="F891" s="6"/>
      <c r="G891" s="6"/>
      <c r="H891" s="6"/>
      <c r="I891" s="6"/>
      <c r="J891" s="6"/>
      <c r="K891" s="6"/>
      <c r="L891" s="6"/>
      <c r="M891" s="6"/>
      <c r="N891" s="6"/>
      <c r="O891" s="6"/>
    </row>
    <row r="892" spans="1:15" ht="15.6">
      <c r="A892" s="560"/>
      <c r="B892" s="6"/>
      <c r="C892" s="6"/>
      <c r="D892" s="6"/>
      <c r="E892" s="6"/>
      <c r="F892" s="6"/>
      <c r="G892" s="6"/>
      <c r="H892" s="6"/>
      <c r="I892" s="6"/>
      <c r="J892" s="6"/>
      <c r="K892" s="6"/>
      <c r="L892" s="6"/>
      <c r="M892" s="6"/>
      <c r="N892" s="6"/>
      <c r="O892" s="6"/>
    </row>
    <row r="893" spans="1:15" ht="15.6">
      <c r="A893" s="560"/>
      <c r="B893" s="6"/>
      <c r="C893" s="6"/>
      <c r="D893" s="6"/>
      <c r="E893" s="6"/>
      <c r="F893" s="6"/>
      <c r="G893" s="6"/>
      <c r="H893" s="6"/>
      <c r="I893" s="6"/>
      <c r="J893" s="6"/>
      <c r="K893" s="6"/>
      <c r="L893" s="6"/>
      <c r="M893" s="6"/>
      <c r="N893" s="6"/>
      <c r="O893" s="6"/>
    </row>
    <row r="894" spans="1:15" ht="15.6">
      <c r="A894" s="560"/>
      <c r="B894" s="6"/>
      <c r="C894" s="6"/>
      <c r="D894" s="6"/>
      <c r="E894" s="6"/>
      <c r="F894" s="6"/>
      <c r="G894" s="6"/>
      <c r="H894" s="6"/>
      <c r="I894" s="6"/>
      <c r="J894" s="6"/>
      <c r="K894" s="6"/>
      <c r="L894" s="6"/>
      <c r="M894" s="6"/>
      <c r="N894" s="6"/>
      <c r="O894" s="6"/>
    </row>
    <row r="895" spans="1:15" ht="15.6">
      <c r="A895" s="560"/>
      <c r="B895" s="6"/>
      <c r="C895" s="6"/>
      <c r="D895" s="6"/>
      <c r="E895" s="6"/>
      <c r="F895" s="6"/>
      <c r="G895" s="6"/>
      <c r="H895" s="6"/>
      <c r="I895" s="6"/>
      <c r="J895" s="6"/>
      <c r="K895" s="6"/>
      <c r="L895" s="6"/>
      <c r="M895" s="6"/>
      <c r="N895" s="6"/>
      <c r="O895" s="6"/>
    </row>
    <row r="896" spans="1:15" ht="15.6">
      <c r="A896" s="560"/>
      <c r="B896" s="6"/>
      <c r="C896" s="6"/>
      <c r="D896" s="6"/>
      <c r="E896" s="6"/>
      <c r="F896" s="6"/>
      <c r="G896" s="6"/>
      <c r="H896" s="6"/>
      <c r="I896" s="6"/>
      <c r="J896" s="6"/>
      <c r="K896" s="6"/>
      <c r="L896" s="6"/>
      <c r="M896" s="6"/>
      <c r="N896" s="6"/>
      <c r="O896" s="6"/>
    </row>
    <row r="897" spans="1:15" ht="15.6">
      <c r="A897" s="560"/>
      <c r="B897" s="6"/>
      <c r="C897" s="6"/>
      <c r="D897" s="6"/>
      <c r="E897" s="6"/>
      <c r="F897" s="6"/>
      <c r="G897" s="6"/>
      <c r="H897" s="6"/>
      <c r="I897" s="6"/>
      <c r="J897" s="6"/>
      <c r="K897" s="6"/>
      <c r="L897" s="6"/>
      <c r="M897" s="6"/>
      <c r="N897" s="6"/>
      <c r="O897" s="6"/>
    </row>
    <row r="898" spans="1:15" ht="15.6">
      <c r="A898" s="560"/>
      <c r="B898" s="6"/>
      <c r="C898" s="6"/>
      <c r="D898" s="6"/>
      <c r="E898" s="6"/>
      <c r="F898" s="6"/>
      <c r="G898" s="6"/>
      <c r="H898" s="6"/>
      <c r="I898" s="6"/>
      <c r="J898" s="6"/>
      <c r="K898" s="6"/>
      <c r="L898" s="6"/>
      <c r="M898" s="6"/>
      <c r="N898" s="6"/>
      <c r="O898" s="6"/>
    </row>
    <row r="899" spans="1:15" ht="15.6">
      <c r="A899" s="560"/>
      <c r="B899" s="6"/>
      <c r="C899" s="6"/>
      <c r="D899" s="6"/>
      <c r="E899" s="6"/>
      <c r="F899" s="6"/>
      <c r="G899" s="6"/>
      <c r="H899" s="6"/>
      <c r="I899" s="6"/>
      <c r="J899" s="6"/>
      <c r="K899" s="6"/>
      <c r="L899" s="6"/>
      <c r="M899" s="6"/>
      <c r="N899" s="6"/>
      <c r="O899" s="6"/>
    </row>
    <row r="900" spans="1:15" ht="15.6">
      <c r="A900" s="560"/>
      <c r="B900" s="6"/>
      <c r="C900" s="6"/>
      <c r="D900" s="6"/>
      <c r="E900" s="6"/>
      <c r="F900" s="6"/>
      <c r="G900" s="6"/>
      <c r="H900" s="6"/>
      <c r="I900" s="6"/>
      <c r="J900" s="6"/>
      <c r="K900" s="6"/>
      <c r="L900" s="6"/>
      <c r="M900" s="6"/>
      <c r="N900" s="6"/>
      <c r="O900" s="6"/>
    </row>
    <row r="901" spans="1:15" ht="15.6">
      <c r="A901" s="560"/>
      <c r="B901" s="6"/>
      <c r="C901" s="6"/>
      <c r="D901" s="6"/>
      <c r="E901" s="6"/>
      <c r="F901" s="6"/>
      <c r="G901" s="6"/>
      <c r="H901" s="6"/>
      <c r="I901" s="6"/>
      <c r="J901" s="6"/>
      <c r="K901" s="6"/>
      <c r="L901" s="6"/>
      <c r="M901" s="6"/>
      <c r="N901" s="6"/>
      <c r="O901" s="6"/>
    </row>
    <row r="902" spans="1:15" ht="15.6">
      <c r="A902" s="560"/>
      <c r="B902" s="6"/>
      <c r="C902" s="6"/>
      <c r="D902" s="6"/>
      <c r="E902" s="6"/>
      <c r="F902" s="6"/>
      <c r="G902" s="6"/>
      <c r="H902" s="6"/>
      <c r="I902" s="6"/>
      <c r="J902" s="6"/>
      <c r="K902" s="6"/>
      <c r="L902" s="6"/>
      <c r="M902" s="6"/>
      <c r="N902" s="6"/>
      <c r="O902" s="6"/>
    </row>
    <row r="903" spans="1:15" ht="15.6">
      <c r="A903" s="560"/>
      <c r="B903" s="6"/>
      <c r="C903" s="6"/>
      <c r="D903" s="6"/>
      <c r="E903" s="6"/>
      <c r="F903" s="6"/>
      <c r="G903" s="6"/>
      <c r="H903" s="6"/>
      <c r="I903" s="6"/>
      <c r="J903" s="6"/>
      <c r="K903" s="6"/>
      <c r="L903" s="6"/>
      <c r="M903" s="6"/>
      <c r="N903" s="6"/>
      <c r="O903" s="6"/>
    </row>
    <row r="904" spans="1:15" ht="15.6">
      <c r="A904" s="560"/>
      <c r="B904" s="6"/>
      <c r="C904" s="6"/>
      <c r="D904" s="6"/>
      <c r="E904" s="6"/>
      <c r="F904" s="6"/>
      <c r="G904" s="6"/>
      <c r="H904" s="6"/>
      <c r="I904" s="6"/>
      <c r="J904" s="6"/>
      <c r="K904" s="6"/>
      <c r="L904" s="6"/>
      <c r="M904" s="6"/>
      <c r="N904" s="6"/>
      <c r="O904" s="6"/>
    </row>
    <row r="905" spans="1:15" ht="15.6">
      <c r="A905" s="560"/>
      <c r="B905" s="6"/>
      <c r="C905" s="6"/>
      <c r="D905" s="6"/>
      <c r="E905" s="6"/>
      <c r="F905" s="6"/>
      <c r="G905" s="6"/>
      <c r="H905" s="6"/>
      <c r="I905" s="6"/>
      <c r="J905" s="6"/>
      <c r="K905" s="6"/>
      <c r="L905" s="6"/>
      <c r="M905" s="6"/>
      <c r="N905" s="6"/>
      <c r="O905" s="6"/>
    </row>
    <row r="906" spans="1:15" ht="15.6">
      <c r="A906" s="560"/>
      <c r="B906" s="6"/>
      <c r="C906" s="6"/>
      <c r="D906" s="6"/>
      <c r="E906" s="6"/>
      <c r="F906" s="6"/>
      <c r="G906" s="6"/>
      <c r="H906" s="6"/>
      <c r="I906" s="6"/>
      <c r="J906" s="6"/>
      <c r="K906" s="6"/>
      <c r="L906" s="6"/>
      <c r="M906" s="6"/>
      <c r="N906" s="6"/>
      <c r="O906" s="6"/>
    </row>
    <row r="907" spans="1:15" ht="15.6">
      <c r="A907" s="560"/>
      <c r="B907" s="6"/>
      <c r="C907" s="6"/>
      <c r="D907" s="6"/>
      <c r="E907" s="6"/>
      <c r="F907" s="6"/>
      <c r="G907" s="6"/>
      <c r="H907" s="6"/>
      <c r="I907" s="6"/>
      <c r="J907" s="6"/>
      <c r="K907" s="6"/>
      <c r="L907" s="6"/>
      <c r="M907" s="6"/>
      <c r="N907" s="6"/>
      <c r="O907" s="6"/>
    </row>
    <row r="908" spans="1:15" ht="15.6">
      <c r="A908" s="560"/>
      <c r="B908" s="6"/>
      <c r="C908" s="6"/>
      <c r="D908" s="6"/>
      <c r="E908" s="6"/>
      <c r="F908" s="6"/>
      <c r="G908" s="6"/>
      <c r="H908" s="6"/>
      <c r="I908" s="6"/>
      <c r="J908" s="6"/>
      <c r="K908" s="6"/>
      <c r="L908" s="6"/>
      <c r="M908" s="6"/>
      <c r="N908" s="6"/>
      <c r="O908" s="6"/>
    </row>
    <row r="909" spans="1:15" ht="15.6">
      <c r="A909" s="560"/>
      <c r="B909" s="6"/>
      <c r="C909" s="6"/>
      <c r="D909" s="6"/>
      <c r="E909" s="6"/>
      <c r="F909" s="6"/>
      <c r="G909" s="6"/>
      <c r="H909" s="6"/>
      <c r="I909" s="6"/>
      <c r="J909" s="6"/>
      <c r="K909" s="6"/>
      <c r="L909" s="6"/>
      <c r="M909" s="6"/>
      <c r="N909" s="6"/>
      <c r="O909" s="6"/>
    </row>
    <row r="910" spans="1:15" ht="15.6">
      <c r="A910" s="560"/>
      <c r="B910" s="6"/>
      <c r="C910" s="6"/>
      <c r="D910" s="6"/>
      <c r="E910" s="6"/>
      <c r="F910" s="6"/>
      <c r="G910" s="6"/>
      <c r="H910" s="6"/>
      <c r="I910" s="6"/>
      <c r="J910" s="6"/>
      <c r="K910" s="6"/>
      <c r="L910" s="6"/>
      <c r="M910" s="6"/>
      <c r="N910" s="6"/>
      <c r="O910" s="6"/>
    </row>
    <row r="911" spans="1:15" ht="15.6">
      <c r="A911" s="560"/>
      <c r="B911" s="6"/>
      <c r="C911" s="6"/>
      <c r="D911" s="6"/>
      <c r="E911" s="6"/>
      <c r="F911" s="6"/>
      <c r="G911" s="6"/>
      <c r="H911" s="6"/>
      <c r="I911" s="6"/>
      <c r="J911" s="6"/>
      <c r="K911" s="6"/>
      <c r="L911" s="6"/>
      <c r="M911" s="6"/>
      <c r="N911" s="6"/>
      <c r="O911" s="6"/>
    </row>
    <row r="912" spans="1:15" ht="15.6">
      <c r="A912" s="560"/>
      <c r="B912" s="6"/>
      <c r="C912" s="6"/>
      <c r="D912" s="6"/>
      <c r="E912" s="6"/>
      <c r="F912" s="6"/>
      <c r="G912" s="6"/>
      <c r="H912" s="6"/>
      <c r="I912" s="6"/>
      <c r="J912" s="6"/>
      <c r="K912" s="6"/>
      <c r="L912" s="6"/>
      <c r="M912" s="6"/>
      <c r="N912" s="6"/>
      <c r="O912" s="6"/>
    </row>
    <row r="913" spans="1:15" ht="15.6">
      <c r="A913" s="560"/>
      <c r="B913" s="6"/>
      <c r="C913" s="6"/>
      <c r="D913" s="6"/>
      <c r="E913" s="6"/>
      <c r="F913" s="6"/>
      <c r="G913" s="6"/>
      <c r="H913" s="6"/>
      <c r="I913" s="6"/>
      <c r="J913" s="6"/>
      <c r="K913" s="6"/>
      <c r="L913" s="6"/>
      <c r="M913" s="6"/>
      <c r="N913" s="6"/>
      <c r="O913" s="6"/>
    </row>
    <row r="914" spans="1:15" ht="15.6">
      <c r="A914" s="560"/>
      <c r="B914" s="6"/>
      <c r="C914" s="6"/>
      <c r="D914" s="6"/>
      <c r="E914" s="6"/>
      <c r="F914" s="6"/>
      <c r="G914" s="6"/>
      <c r="H914" s="6"/>
      <c r="I914" s="6"/>
      <c r="J914" s="6"/>
      <c r="K914" s="6"/>
      <c r="L914" s="6"/>
      <c r="M914" s="6"/>
      <c r="N914" s="6"/>
      <c r="O914" s="6"/>
    </row>
    <row r="915" spans="1:15" ht="15.6">
      <c r="A915" s="560"/>
      <c r="B915" s="6"/>
      <c r="C915" s="6"/>
      <c r="D915" s="6"/>
      <c r="E915" s="6"/>
      <c r="F915" s="6"/>
      <c r="G915" s="6"/>
      <c r="H915" s="6"/>
      <c r="I915" s="6"/>
      <c r="J915" s="6"/>
      <c r="K915" s="6"/>
      <c r="L915" s="6"/>
      <c r="M915" s="6"/>
      <c r="N915" s="6"/>
      <c r="O915" s="6"/>
    </row>
    <row r="916" spans="1:15" ht="15.6">
      <c r="A916" s="560"/>
      <c r="B916" s="6"/>
      <c r="C916" s="6"/>
      <c r="D916" s="6"/>
      <c r="E916" s="6"/>
      <c r="F916" s="6"/>
      <c r="G916" s="6"/>
      <c r="H916" s="6"/>
      <c r="I916" s="6"/>
      <c r="J916" s="6"/>
      <c r="K916" s="6"/>
      <c r="L916" s="6"/>
      <c r="M916" s="6"/>
      <c r="N916" s="6"/>
      <c r="O916" s="6"/>
    </row>
    <row r="917" spans="1:15" ht="15.6">
      <c r="A917" s="560"/>
      <c r="B917" s="6"/>
      <c r="C917" s="6"/>
      <c r="D917" s="6"/>
      <c r="E917" s="6"/>
      <c r="F917" s="6"/>
      <c r="G917" s="6"/>
      <c r="H917" s="6"/>
      <c r="I917" s="6"/>
      <c r="J917" s="6"/>
      <c r="K917" s="6"/>
      <c r="L917" s="6"/>
      <c r="M917" s="6"/>
      <c r="N917" s="6"/>
      <c r="O917" s="6"/>
    </row>
    <row r="918" spans="1:15" ht="15.6">
      <c r="A918" s="560"/>
      <c r="B918" s="6"/>
      <c r="C918" s="6"/>
      <c r="D918" s="6"/>
      <c r="E918" s="6"/>
      <c r="F918" s="6"/>
      <c r="G918" s="6"/>
      <c r="H918" s="6"/>
      <c r="I918" s="6"/>
      <c r="J918" s="6"/>
      <c r="K918" s="6"/>
      <c r="L918" s="6"/>
      <c r="M918" s="6"/>
      <c r="N918" s="6"/>
      <c r="O918" s="6"/>
    </row>
    <row r="919" spans="1:15" ht="15.6">
      <c r="A919" s="560"/>
      <c r="B919" s="6"/>
      <c r="C919" s="6"/>
      <c r="D919" s="6"/>
      <c r="E919" s="6"/>
      <c r="F919" s="6"/>
      <c r="G919" s="6"/>
      <c r="H919" s="6"/>
      <c r="I919" s="6"/>
      <c r="J919" s="6"/>
      <c r="K919" s="6"/>
      <c r="L919" s="6"/>
      <c r="M919" s="6"/>
      <c r="N919" s="6"/>
      <c r="O919" s="6"/>
    </row>
    <row r="920" spans="1:15" ht="15.6">
      <c r="A920" s="560"/>
      <c r="B920" s="6"/>
      <c r="C920" s="6"/>
      <c r="D920" s="6"/>
      <c r="E920" s="6"/>
      <c r="F920" s="6"/>
      <c r="G920" s="6"/>
      <c r="H920" s="6"/>
      <c r="I920" s="6"/>
      <c r="J920" s="6"/>
      <c r="K920" s="6"/>
      <c r="L920" s="6"/>
      <c r="M920" s="6"/>
      <c r="N920" s="6"/>
      <c r="O920" s="6"/>
    </row>
    <row r="921" spans="1:15" ht="15.6">
      <c r="A921" s="560"/>
      <c r="B921" s="6"/>
      <c r="C921" s="6"/>
      <c r="D921" s="6"/>
      <c r="E921" s="6"/>
      <c r="F921" s="6"/>
      <c r="G921" s="6"/>
      <c r="H921" s="6"/>
      <c r="I921" s="6"/>
      <c r="J921" s="6"/>
      <c r="K921" s="6"/>
      <c r="L921" s="6"/>
      <c r="M921" s="6"/>
      <c r="N921" s="6"/>
      <c r="O921" s="6"/>
    </row>
    <row r="922" spans="1:15" ht="15.6">
      <c r="A922" s="560"/>
      <c r="B922" s="6"/>
      <c r="C922" s="6"/>
      <c r="D922" s="6"/>
      <c r="E922" s="6"/>
      <c r="F922" s="6"/>
      <c r="G922" s="6"/>
      <c r="H922" s="6"/>
      <c r="I922" s="6"/>
      <c r="J922" s="6"/>
      <c r="K922" s="6"/>
      <c r="L922" s="6"/>
      <c r="M922" s="6"/>
      <c r="N922" s="6"/>
      <c r="O922" s="6"/>
    </row>
    <row r="923" spans="1:15" ht="15.6">
      <c r="A923" s="560"/>
      <c r="B923" s="6"/>
      <c r="C923" s="6"/>
      <c r="D923" s="6"/>
      <c r="E923" s="6"/>
      <c r="F923" s="6"/>
      <c r="G923" s="6"/>
      <c r="H923" s="6"/>
      <c r="I923" s="6"/>
      <c r="J923" s="6"/>
      <c r="K923" s="6"/>
      <c r="L923" s="6"/>
      <c r="M923" s="6"/>
      <c r="N923" s="6"/>
      <c r="O923" s="6"/>
    </row>
    <row r="924" spans="1:15" ht="15.6">
      <c r="A924" s="560"/>
      <c r="B924" s="6"/>
      <c r="C924" s="6"/>
      <c r="D924" s="6"/>
      <c r="E924" s="6"/>
      <c r="F924" s="6"/>
      <c r="G924" s="6"/>
      <c r="H924" s="6"/>
      <c r="I924" s="6"/>
      <c r="J924" s="6"/>
      <c r="K924" s="6"/>
      <c r="L924" s="6"/>
      <c r="M924" s="6"/>
      <c r="N924" s="6"/>
      <c r="O924" s="6"/>
    </row>
    <row r="925" spans="1:15" ht="15.6">
      <c r="A925" s="560"/>
      <c r="B925" s="6"/>
      <c r="C925" s="6"/>
      <c r="D925" s="6"/>
      <c r="E925" s="6"/>
      <c r="F925" s="6"/>
      <c r="G925" s="6"/>
      <c r="H925" s="6"/>
      <c r="I925" s="6"/>
      <c r="J925" s="6"/>
      <c r="K925" s="6"/>
      <c r="L925" s="6"/>
      <c r="M925" s="6"/>
      <c r="N925" s="6"/>
      <c r="O925" s="6"/>
    </row>
    <row r="926" spans="1:15" ht="15.6">
      <c r="A926" s="560"/>
      <c r="B926" s="6"/>
      <c r="C926" s="6"/>
      <c r="D926" s="6"/>
      <c r="E926" s="6"/>
      <c r="F926" s="6"/>
      <c r="G926" s="6"/>
      <c r="H926" s="6"/>
      <c r="I926" s="6"/>
      <c r="J926" s="6"/>
      <c r="K926" s="6"/>
      <c r="L926" s="6"/>
      <c r="M926" s="6"/>
      <c r="N926" s="6"/>
      <c r="O926" s="6"/>
    </row>
    <row r="927" spans="1:15" ht="15.6">
      <c r="A927" s="560"/>
      <c r="B927" s="6"/>
      <c r="C927" s="6"/>
      <c r="D927" s="6"/>
      <c r="E927" s="6"/>
      <c r="F927" s="6"/>
      <c r="G927" s="6"/>
      <c r="H927" s="6"/>
      <c r="I927" s="6"/>
      <c r="J927" s="6"/>
      <c r="K927" s="6"/>
      <c r="L927" s="6"/>
      <c r="M927" s="6"/>
      <c r="N927" s="6"/>
      <c r="O927" s="6"/>
    </row>
    <row r="928" spans="1:15" ht="15.6">
      <c r="A928" s="560"/>
      <c r="B928" s="6"/>
      <c r="C928" s="6"/>
      <c r="D928" s="6"/>
      <c r="E928" s="6"/>
      <c r="F928" s="6"/>
      <c r="G928" s="6"/>
      <c r="H928" s="6"/>
      <c r="I928" s="6"/>
      <c r="J928" s="6"/>
      <c r="K928" s="6"/>
      <c r="L928" s="6"/>
      <c r="M928" s="6"/>
      <c r="N928" s="6"/>
      <c r="O928" s="6"/>
    </row>
    <row r="929" spans="1:15" ht="15.6">
      <c r="A929" s="560"/>
      <c r="B929" s="6"/>
      <c r="C929" s="6"/>
      <c r="D929" s="6"/>
      <c r="E929" s="6"/>
      <c r="F929" s="6"/>
      <c r="G929" s="6"/>
      <c r="H929" s="6"/>
      <c r="I929" s="6"/>
      <c r="J929" s="6"/>
      <c r="K929" s="6"/>
      <c r="L929" s="6"/>
      <c r="M929" s="6"/>
      <c r="N929" s="6"/>
      <c r="O929" s="6"/>
    </row>
    <row r="930" spans="1:15" ht="15.6">
      <c r="A930" s="560"/>
      <c r="B930" s="6"/>
      <c r="C930" s="6"/>
      <c r="D930" s="6"/>
      <c r="E930" s="6"/>
      <c r="F930" s="6"/>
      <c r="G930" s="6"/>
      <c r="H930" s="6"/>
      <c r="I930" s="6"/>
      <c r="J930" s="6"/>
      <c r="K930" s="6"/>
      <c r="L930" s="6"/>
      <c r="M930" s="6"/>
      <c r="N930" s="6"/>
      <c r="O930" s="6"/>
    </row>
    <row r="931" spans="1:15" ht="15.6">
      <c r="A931" s="560"/>
      <c r="B931" s="6"/>
      <c r="C931" s="6"/>
      <c r="D931" s="6"/>
      <c r="E931" s="6"/>
      <c r="F931" s="6"/>
      <c r="G931" s="6"/>
      <c r="H931" s="6"/>
      <c r="I931" s="6"/>
      <c r="J931" s="6"/>
      <c r="K931" s="6"/>
      <c r="L931" s="6"/>
      <c r="M931" s="6"/>
      <c r="N931" s="6"/>
      <c r="O931" s="6"/>
    </row>
    <row r="932" spans="1:15" ht="15.6">
      <c r="A932" s="560"/>
      <c r="B932" s="6"/>
      <c r="C932" s="6"/>
      <c r="D932" s="6"/>
      <c r="E932" s="6"/>
      <c r="F932" s="6"/>
      <c r="G932" s="6"/>
      <c r="H932" s="6"/>
      <c r="I932" s="6"/>
      <c r="J932" s="6"/>
      <c r="K932" s="6"/>
      <c r="L932" s="6"/>
      <c r="M932" s="6"/>
      <c r="N932" s="6"/>
      <c r="O932" s="6"/>
    </row>
    <row r="933" spans="1:15" ht="15.6">
      <c r="A933" s="560"/>
      <c r="B933" s="6"/>
      <c r="C933" s="6"/>
      <c r="D933" s="6"/>
      <c r="E933" s="6"/>
      <c r="F933" s="6"/>
      <c r="G933" s="6"/>
      <c r="H933" s="6"/>
      <c r="I933" s="6"/>
      <c r="J933" s="6"/>
      <c r="K933" s="6"/>
      <c r="L933" s="6"/>
      <c r="M933" s="6"/>
      <c r="N933" s="6"/>
      <c r="O933" s="6"/>
    </row>
    <row r="934" spans="1:15" ht="15.6">
      <c r="A934" s="560"/>
      <c r="B934" s="6"/>
      <c r="C934" s="6"/>
      <c r="D934" s="6"/>
      <c r="E934" s="6"/>
      <c r="F934" s="6"/>
      <c r="G934" s="6"/>
      <c r="H934" s="6"/>
      <c r="I934" s="6"/>
      <c r="J934" s="6"/>
      <c r="K934" s="6"/>
      <c r="L934" s="6"/>
      <c r="M934" s="6"/>
      <c r="N934" s="6"/>
      <c r="O934" s="6"/>
    </row>
    <row r="935" spans="1:15" ht="15.6">
      <c r="A935" s="560"/>
      <c r="B935" s="6"/>
      <c r="C935" s="6"/>
      <c r="D935" s="6"/>
      <c r="E935" s="6"/>
      <c r="F935" s="6"/>
      <c r="G935" s="6"/>
      <c r="H935" s="6"/>
      <c r="I935" s="6"/>
      <c r="J935" s="6"/>
      <c r="K935" s="6"/>
      <c r="L935" s="6"/>
      <c r="M935" s="6"/>
      <c r="N935" s="6"/>
      <c r="O935" s="6"/>
    </row>
    <row r="936" spans="1:15" ht="15.6">
      <c r="A936" s="560"/>
      <c r="B936" s="6"/>
      <c r="C936" s="6"/>
      <c r="D936" s="6"/>
      <c r="E936" s="6"/>
      <c r="F936" s="6"/>
      <c r="G936" s="6"/>
      <c r="H936" s="6"/>
      <c r="I936" s="6"/>
      <c r="J936" s="6"/>
      <c r="K936" s="6"/>
      <c r="L936" s="6"/>
      <c r="M936" s="6"/>
      <c r="N936" s="6"/>
      <c r="O936" s="6"/>
    </row>
    <row r="937" spans="1:15" ht="15.6">
      <c r="A937" s="560"/>
      <c r="B937" s="6"/>
      <c r="C937" s="6"/>
      <c r="D937" s="6"/>
      <c r="E937" s="6"/>
      <c r="F937" s="6"/>
      <c r="G937" s="6"/>
      <c r="H937" s="6"/>
      <c r="I937" s="6"/>
      <c r="J937" s="6"/>
      <c r="K937" s="6"/>
      <c r="L937" s="6"/>
      <c r="M937" s="6"/>
      <c r="N937" s="6"/>
      <c r="O937" s="6"/>
    </row>
    <row r="938" spans="1:15" ht="15.6">
      <c r="A938" s="560"/>
      <c r="B938" s="6"/>
      <c r="C938" s="6"/>
      <c r="D938" s="6"/>
      <c r="E938" s="6"/>
      <c r="F938" s="6"/>
      <c r="G938" s="6"/>
      <c r="H938" s="6"/>
      <c r="I938" s="6"/>
      <c r="J938" s="6"/>
      <c r="K938" s="6"/>
      <c r="L938" s="6"/>
      <c r="M938" s="6"/>
      <c r="N938" s="6"/>
      <c r="O938" s="6"/>
    </row>
    <row r="939" spans="1:15" ht="15.6">
      <c r="A939" s="560"/>
      <c r="B939" s="6"/>
      <c r="C939" s="6"/>
      <c r="D939" s="6"/>
      <c r="E939" s="6"/>
      <c r="F939" s="6"/>
      <c r="G939" s="6"/>
      <c r="H939" s="6"/>
      <c r="I939" s="6"/>
      <c r="J939" s="6"/>
      <c r="K939" s="6"/>
      <c r="L939" s="6"/>
      <c r="M939" s="6"/>
      <c r="N939" s="6"/>
      <c r="O939" s="6"/>
    </row>
    <row r="940" spans="1:15" ht="15.6">
      <c r="A940" s="560"/>
      <c r="B940" s="6"/>
      <c r="C940" s="6"/>
      <c r="D940" s="6"/>
      <c r="E940" s="6"/>
      <c r="F940" s="6"/>
      <c r="G940" s="6"/>
      <c r="H940" s="6"/>
      <c r="I940" s="6"/>
      <c r="J940" s="6"/>
      <c r="K940" s="6"/>
      <c r="L940" s="6"/>
      <c r="M940" s="6"/>
      <c r="N940" s="6"/>
      <c r="O940" s="6"/>
    </row>
    <row r="941" spans="1:15" ht="15.6">
      <c r="A941" s="560"/>
      <c r="B941" s="6"/>
      <c r="C941" s="6"/>
      <c r="D941" s="6"/>
      <c r="E941" s="6"/>
      <c r="F941" s="6"/>
      <c r="G941" s="6"/>
      <c r="H941" s="6"/>
      <c r="I941" s="6"/>
      <c r="J941" s="6"/>
      <c r="K941" s="6"/>
      <c r="L941" s="6"/>
      <c r="M941" s="6"/>
      <c r="N941" s="6"/>
      <c r="O941" s="6"/>
    </row>
    <row r="942" spans="1:15" ht="15.6">
      <c r="A942" s="560"/>
      <c r="B942" s="6"/>
      <c r="C942" s="6"/>
      <c r="D942" s="6"/>
      <c r="E942" s="6"/>
      <c r="F942" s="6"/>
      <c r="G942" s="6"/>
      <c r="H942" s="6"/>
      <c r="I942" s="6"/>
      <c r="J942" s="6"/>
      <c r="K942" s="6"/>
      <c r="L942" s="6"/>
      <c r="M942" s="6"/>
      <c r="N942" s="6"/>
      <c r="O942" s="6"/>
    </row>
    <row r="943" spans="1:15" ht="15.6">
      <c r="A943" s="560"/>
      <c r="B943" s="6"/>
      <c r="C943" s="6"/>
      <c r="D943" s="6"/>
      <c r="E943" s="6"/>
      <c r="F943" s="6"/>
      <c r="G943" s="6"/>
      <c r="H943" s="6"/>
      <c r="I943" s="6"/>
      <c r="J943" s="6"/>
      <c r="K943" s="6"/>
      <c r="L943" s="6"/>
      <c r="M943" s="6"/>
      <c r="N943" s="6"/>
      <c r="O943" s="6"/>
    </row>
    <row r="944" spans="1:15" ht="15.6">
      <c r="A944" s="560"/>
      <c r="B944" s="6"/>
      <c r="C944" s="6"/>
      <c r="D944" s="6"/>
      <c r="E944" s="6"/>
      <c r="F944" s="6"/>
      <c r="G944" s="6"/>
      <c r="H944" s="6"/>
      <c r="I944" s="6"/>
      <c r="J944" s="6"/>
      <c r="K944" s="6"/>
      <c r="L944" s="6"/>
      <c r="M944" s="6"/>
      <c r="N944" s="6"/>
      <c r="O944" s="6"/>
    </row>
    <row r="945" spans="1:15" ht="15.6">
      <c r="A945" s="560"/>
      <c r="B945" s="6"/>
      <c r="C945" s="6"/>
      <c r="D945" s="6"/>
      <c r="E945" s="6"/>
      <c r="F945" s="6"/>
      <c r="G945" s="6"/>
      <c r="H945" s="6"/>
      <c r="I945" s="6"/>
      <c r="J945" s="6"/>
      <c r="K945" s="6"/>
      <c r="L945" s="6"/>
      <c r="M945" s="6"/>
      <c r="N945" s="6"/>
      <c r="O945" s="6"/>
    </row>
    <row r="946" spans="1:15" ht="15.6">
      <c r="A946" s="560"/>
      <c r="B946" s="6"/>
      <c r="C946" s="6"/>
      <c r="D946" s="6"/>
      <c r="E946" s="6"/>
      <c r="F946" s="6"/>
      <c r="G946" s="6"/>
      <c r="H946" s="6"/>
      <c r="I946" s="6"/>
      <c r="J946" s="6"/>
      <c r="K946" s="6"/>
      <c r="L946" s="6"/>
      <c r="M946" s="6"/>
      <c r="N946" s="6"/>
      <c r="O946" s="6"/>
    </row>
    <row r="947" spans="1:15" ht="15.6">
      <c r="A947" s="560"/>
      <c r="B947" s="6"/>
      <c r="C947" s="6"/>
      <c r="D947" s="6"/>
      <c r="E947" s="6"/>
      <c r="F947" s="6"/>
      <c r="G947" s="6"/>
      <c r="H947" s="6"/>
      <c r="I947" s="6"/>
      <c r="J947" s="6"/>
      <c r="K947" s="6"/>
      <c r="L947" s="6"/>
      <c r="M947" s="6"/>
      <c r="N947" s="6"/>
      <c r="O947" s="6"/>
    </row>
    <row r="948" spans="1:15" ht="15.6">
      <c r="A948" s="560"/>
      <c r="B948" s="6"/>
      <c r="C948" s="6"/>
      <c r="D948" s="6"/>
      <c r="E948" s="6"/>
      <c r="F948" s="6"/>
      <c r="G948" s="6"/>
      <c r="H948" s="6"/>
      <c r="I948" s="6"/>
      <c r="J948" s="6"/>
      <c r="K948" s="6"/>
      <c r="L948" s="6"/>
      <c r="M948" s="6"/>
      <c r="N948" s="6"/>
      <c r="O948" s="6"/>
    </row>
    <row r="949" spans="1:15" ht="15.6">
      <c r="A949" s="560"/>
      <c r="B949" s="6"/>
      <c r="C949" s="6"/>
      <c r="D949" s="6"/>
      <c r="E949" s="6"/>
      <c r="F949" s="6"/>
      <c r="G949" s="6"/>
      <c r="H949" s="6"/>
      <c r="I949" s="6"/>
      <c r="J949" s="6"/>
      <c r="K949" s="6"/>
      <c r="L949" s="6"/>
      <c r="M949" s="6"/>
      <c r="N949" s="6"/>
      <c r="O949" s="6"/>
    </row>
    <row r="950" spans="1:15" ht="15.6">
      <c r="A950" s="560"/>
      <c r="B950" s="6"/>
      <c r="C950" s="6"/>
      <c r="D950" s="6"/>
      <c r="E950" s="6"/>
      <c r="F950" s="6"/>
      <c r="G950" s="6"/>
      <c r="H950" s="6"/>
      <c r="I950" s="6"/>
      <c r="J950" s="6"/>
      <c r="K950" s="6"/>
      <c r="L950" s="6"/>
      <c r="M950" s="6"/>
      <c r="N950" s="6"/>
      <c r="O950" s="6"/>
    </row>
    <row r="951" spans="1:15" ht="15.6">
      <c r="A951" s="560"/>
      <c r="B951" s="6"/>
      <c r="C951" s="6"/>
      <c r="D951" s="6"/>
      <c r="E951" s="6"/>
      <c r="F951" s="6"/>
      <c r="G951" s="6"/>
      <c r="H951" s="6"/>
      <c r="I951" s="6"/>
      <c r="J951" s="6"/>
      <c r="K951" s="6"/>
      <c r="L951" s="6"/>
      <c r="M951" s="6"/>
      <c r="N951" s="6"/>
      <c r="O951" s="6"/>
    </row>
    <row r="952" spans="1:15" ht="15.6">
      <c r="A952" s="560"/>
      <c r="B952" s="6"/>
      <c r="C952" s="6"/>
      <c r="D952" s="6"/>
      <c r="E952" s="6"/>
      <c r="F952" s="6"/>
      <c r="G952" s="6"/>
      <c r="H952" s="6"/>
      <c r="I952" s="6"/>
      <c r="J952" s="6"/>
      <c r="K952" s="6"/>
      <c r="L952" s="6"/>
      <c r="M952" s="6"/>
      <c r="N952" s="6"/>
      <c r="O952" s="6"/>
    </row>
    <row r="953" spans="1:15" ht="15.6">
      <c r="A953" s="560"/>
      <c r="B953" s="6"/>
      <c r="C953" s="6"/>
      <c r="D953" s="6"/>
      <c r="E953" s="6"/>
      <c r="F953" s="6"/>
      <c r="G953" s="6"/>
      <c r="H953" s="6"/>
      <c r="I953" s="6"/>
      <c r="J953" s="6"/>
      <c r="K953" s="6"/>
      <c r="L953" s="6"/>
      <c r="M953" s="6"/>
      <c r="N953" s="6"/>
      <c r="O953" s="6"/>
    </row>
    <row r="954" spans="1:15" ht="15.6">
      <c r="A954" s="560"/>
      <c r="B954" s="6"/>
      <c r="C954" s="6"/>
      <c r="D954" s="6"/>
      <c r="E954" s="6"/>
      <c r="F954" s="6"/>
      <c r="G954" s="6"/>
      <c r="H954" s="6"/>
      <c r="I954" s="6"/>
      <c r="J954" s="6"/>
      <c r="K954" s="6"/>
      <c r="L954" s="6"/>
      <c r="M954" s="6"/>
      <c r="N954" s="6"/>
      <c r="O954" s="6"/>
    </row>
    <row r="955" spans="1:15" ht="15.6">
      <c r="A955" s="560"/>
      <c r="B955" s="6"/>
      <c r="C955" s="6"/>
      <c r="D955" s="6"/>
      <c r="E955" s="6"/>
      <c r="F955" s="6"/>
      <c r="G955" s="6"/>
      <c r="H955" s="6"/>
      <c r="I955" s="6"/>
      <c r="J955" s="6"/>
      <c r="K955" s="6"/>
      <c r="L955" s="6"/>
      <c r="M955" s="6"/>
      <c r="N955" s="6"/>
      <c r="O955" s="6"/>
    </row>
    <row r="956" spans="1:15" ht="15.6">
      <c r="A956" s="560"/>
      <c r="B956" s="6"/>
      <c r="C956" s="6"/>
      <c r="D956" s="6"/>
      <c r="E956" s="6"/>
      <c r="F956" s="6"/>
      <c r="G956" s="6"/>
      <c r="H956" s="6"/>
      <c r="I956" s="6"/>
      <c r="J956" s="6"/>
      <c r="K956" s="6"/>
      <c r="L956" s="6"/>
      <c r="M956" s="6"/>
      <c r="N956" s="6"/>
      <c r="O956" s="6"/>
    </row>
    <row r="957" spans="1:15" ht="15.6">
      <c r="A957" s="560"/>
      <c r="B957" s="6"/>
      <c r="C957" s="6"/>
      <c r="D957" s="6"/>
      <c r="E957" s="6"/>
      <c r="F957" s="6"/>
      <c r="G957" s="6"/>
      <c r="H957" s="6"/>
      <c r="I957" s="6"/>
      <c r="J957" s="6"/>
      <c r="K957" s="6"/>
      <c r="L957" s="6"/>
      <c r="M957" s="6"/>
      <c r="N957" s="6"/>
      <c r="O957" s="6"/>
    </row>
    <row r="958" spans="1:15" ht="15.6">
      <c r="A958" s="560"/>
      <c r="B958" s="6"/>
      <c r="C958" s="6"/>
      <c r="D958" s="6"/>
      <c r="E958" s="6"/>
      <c r="F958" s="6"/>
      <c r="G958" s="6"/>
      <c r="H958" s="6"/>
      <c r="I958" s="6"/>
      <c r="J958" s="6"/>
      <c r="K958" s="6"/>
      <c r="L958" s="6"/>
      <c r="M958" s="6"/>
      <c r="N958" s="6"/>
      <c r="O958" s="6"/>
    </row>
    <row r="959" spans="1:15" ht="15.6">
      <c r="A959" s="560"/>
      <c r="B959" s="6"/>
      <c r="C959" s="6"/>
      <c r="D959" s="6"/>
      <c r="E959" s="6"/>
      <c r="F959" s="6"/>
      <c r="G959" s="6"/>
      <c r="H959" s="6"/>
      <c r="I959" s="6"/>
      <c r="J959" s="6"/>
      <c r="K959" s="6"/>
      <c r="L959" s="6"/>
      <c r="M959" s="6"/>
      <c r="N959" s="6"/>
      <c r="O959" s="6"/>
    </row>
    <row r="960" spans="1:15" ht="15.6">
      <c r="A960" s="560"/>
      <c r="B960" s="6"/>
      <c r="C960" s="6"/>
      <c r="D960" s="6"/>
      <c r="E960" s="6"/>
      <c r="F960" s="6"/>
      <c r="G960" s="6"/>
      <c r="H960" s="6"/>
      <c r="I960" s="6"/>
      <c r="J960" s="6"/>
      <c r="K960" s="6"/>
      <c r="L960" s="6"/>
      <c r="M960" s="6"/>
      <c r="N960" s="6"/>
      <c r="O960" s="6"/>
    </row>
    <row r="961" spans="1:15" ht="15.6">
      <c r="A961" s="560"/>
      <c r="B961" s="6"/>
      <c r="C961" s="6"/>
      <c r="D961" s="6"/>
      <c r="E961" s="6"/>
      <c r="F961" s="6"/>
      <c r="G961" s="6"/>
      <c r="H961" s="6"/>
      <c r="I961" s="6"/>
      <c r="J961" s="6"/>
      <c r="K961" s="6"/>
      <c r="L961" s="6"/>
      <c r="M961" s="6"/>
      <c r="N961" s="6"/>
      <c r="O961" s="6"/>
    </row>
    <row r="962" spans="1:15" ht="15.6">
      <c r="A962" s="560"/>
      <c r="B962" s="6"/>
      <c r="C962" s="6"/>
      <c r="D962" s="6"/>
      <c r="E962" s="6"/>
      <c r="F962" s="6"/>
      <c r="G962" s="6"/>
      <c r="H962" s="6"/>
      <c r="I962" s="6"/>
      <c r="J962" s="6"/>
      <c r="K962" s="6"/>
      <c r="L962" s="6"/>
      <c r="M962" s="6"/>
      <c r="N962" s="6"/>
      <c r="O962" s="6"/>
    </row>
    <row r="963" spans="1:15" ht="15.6">
      <c r="A963" s="560"/>
      <c r="B963" s="6"/>
      <c r="C963" s="6"/>
      <c r="D963" s="6"/>
      <c r="E963" s="6"/>
      <c r="F963" s="6"/>
      <c r="G963" s="6"/>
      <c r="H963" s="6"/>
      <c r="I963" s="6"/>
      <c r="J963" s="6"/>
      <c r="K963" s="6"/>
      <c r="L963" s="6"/>
      <c r="M963" s="6"/>
      <c r="N963" s="6"/>
      <c r="O963" s="6"/>
    </row>
    <row r="964" spans="1:15" ht="15.6">
      <c r="A964" s="560"/>
      <c r="B964" s="6"/>
      <c r="C964" s="6"/>
      <c r="D964" s="6"/>
      <c r="E964" s="6"/>
      <c r="F964" s="6"/>
      <c r="G964" s="6"/>
      <c r="H964" s="6"/>
      <c r="I964" s="6"/>
      <c r="J964" s="6"/>
      <c r="K964" s="6"/>
      <c r="L964" s="6"/>
      <c r="M964" s="6"/>
      <c r="N964" s="6"/>
      <c r="O964" s="6"/>
    </row>
    <row r="965" spans="1:15" ht="15.6">
      <c r="A965" s="560"/>
      <c r="B965" s="6"/>
      <c r="C965" s="6"/>
      <c r="D965" s="6"/>
      <c r="E965" s="6"/>
      <c r="F965" s="6"/>
      <c r="G965" s="6"/>
      <c r="H965" s="6"/>
      <c r="I965" s="6"/>
      <c r="J965" s="6"/>
      <c r="K965" s="6"/>
      <c r="L965" s="6"/>
      <c r="M965" s="6"/>
      <c r="N965" s="6"/>
      <c r="O965" s="6"/>
    </row>
    <row r="966" spans="1:15" ht="15.6">
      <c r="A966" s="560"/>
      <c r="B966" s="6"/>
      <c r="C966" s="6"/>
      <c r="D966" s="6"/>
      <c r="E966" s="6"/>
      <c r="F966" s="6"/>
      <c r="G966" s="6"/>
      <c r="H966" s="6"/>
      <c r="I966" s="6"/>
      <c r="J966" s="6"/>
      <c r="K966" s="6"/>
      <c r="L966" s="6"/>
      <c r="M966" s="6"/>
      <c r="N966" s="6"/>
      <c r="O966" s="6"/>
    </row>
    <row r="967" spans="1:15" ht="15.6">
      <c r="A967" s="560"/>
      <c r="B967" s="6"/>
      <c r="C967" s="6"/>
      <c r="D967" s="6"/>
      <c r="E967" s="6"/>
      <c r="F967" s="6"/>
      <c r="G967" s="6"/>
      <c r="H967" s="6"/>
      <c r="I967" s="6"/>
      <c r="J967" s="6"/>
      <c r="K967" s="6"/>
      <c r="L967" s="6"/>
      <c r="M967" s="6"/>
      <c r="N967" s="6"/>
      <c r="O967" s="6"/>
    </row>
    <row r="968" spans="1:15" ht="15.6">
      <c r="A968" s="560"/>
      <c r="B968" s="6"/>
      <c r="C968" s="6"/>
      <c r="D968" s="6"/>
      <c r="E968" s="6"/>
      <c r="F968" s="6"/>
      <c r="G968" s="6"/>
      <c r="H968" s="6"/>
      <c r="I968" s="6"/>
      <c r="J968" s="6"/>
      <c r="K968" s="6"/>
      <c r="L968" s="6"/>
      <c r="M968" s="6"/>
      <c r="N968" s="6"/>
      <c r="O968" s="6"/>
    </row>
    <row r="969" spans="1:15" ht="15.6">
      <c r="A969" s="560"/>
      <c r="B969" s="6"/>
      <c r="C969" s="6"/>
      <c r="D969" s="6"/>
      <c r="E969" s="6"/>
      <c r="F969" s="6"/>
      <c r="G969" s="6"/>
      <c r="H969" s="6"/>
      <c r="I969" s="6"/>
      <c r="J969" s="6"/>
      <c r="K969" s="6"/>
      <c r="L969" s="6"/>
      <c r="M969" s="6"/>
      <c r="N969" s="6"/>
      <c r="O969" s="6"/>
    </row>
    <row r="970" spans="1:15" ht="15.6">
      <c r="A970" s="560"/>
      <c r="B970" s="6"/>
      <c r="C970" s="6"/>
      <c r="D970" s="6"/>
      <c r="E970" s="6"/>
      <c r="F970" s="6"/>
      <c r="G970" s="6"/>
      <c r="H970" s="6"/>
      <c r="I970" s="6"/>
      <c r="J970" s="6"/>
      <c r="K970" s="6"/>
      <c r="L970" s="6"/>
      <c r="M970" s="6"/>
      <c r="N970" s="6"/>
      <c r="O970" s="6"/>
    </row>
  </sheetData>
  <mergeCells count="11">
    <mergeCell ref="A36:A39"/>
    <mergeCell ref="A41:A44"/>
    <mergeCell ref="A45:A50"/>
    <mergeCell ref="A51:A55"/>
    <mergeCell ref="A1:B1"/>
    <mergeCell ref="A4:A9"/>
    <mergeCell ref="A11:A14"/>
    <mergeCell ref="A15:A19"/>
    <mergeCell ref="A20:A24"/>
    <mergeCell ref="A25:A29"/>
    <mergeCell ref="A30:A34"/>
  </mergeCell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1"/>
  <sheetViews>
    <sheetView workbookViewId="0">
      <pane ySplit="1" topLeftCell="A2" activePane="bottomLeft" state="frozen"/>
      <selection pane="bottomLeft" activeCell="A14" sqref="A14"/>
    </sheetView>
  </sheetViews>
  <sheetFormatPr defaultColWidth="11.19921875" defaultRowHeight="15" customHeight="1"/>
  <cols>
    <col min="1" max="1" width="26.59765625" customWidth="1"/>
  </cols>
  <sheetData>
    <row r="1" spans="1:26" ht="30" customHeight="1">
      <c r="A1" s="561" t="s">
        <v>409</v>
      </c>
      <c r="B1" s="562">
        <v>2016</v>
      </c>
      <c r="C1" s="563">
        <v>2017</v>
      </c>
      <c r="D1" s="563">
        <v>2018</v>
      </c>
      <c r="E1" s="563">
        <v>2019</v>
      </c>
      <c r="F1" s="563">
        <v>2020</v>
      </c>
      <c r="G1" s="564" t="s">
        <v>64</v>
      </c>
      <c r="H1" s="564" t="s">
        <v>65</v>
      </c>
      <c r="I1" s="564" t="s">
        <v>66</v>
      </c>
      <c r="J1" s="564" t="s">
        <v>67</v>
      </c>
      <c r="K1" s="565" t="s">
        <v>68</v>
      </c>
      <c r="L1" s="566"/>
      <c r="M1" s="567"/>
      <c r="N1" s="567"/>
      <c r="O1" s="567"/>
      <c r="P1" s="567"/>
      <c r="Q1" s="567"/>
      <c r="R1" s="567"/>
      <c r="S1" s="567"/>
      <c r="T1" s="567"/>
      <c r="U1" s="567"/>
      <c r="V1" s="567"/>
      <c r="W1" s="567"/>
      <c r="X1" s="567"/>
      <c r="Y1" s="567"/>
      <c r="Z1" s="567"/>
    </row>
    <row r="2" spans="1:26" ht="15.6">
      <c r="A2" s="568" t="s">
        <v>410</v>
      </c>
      <c r="B2" s="842"/>
      <c r="C2" s="808"/>
      <c r="D2" s="808"/>
      <c r="E2" s="808"/>
      <c r="F2" s="808"/>
      <c r="G2" s="808"/>
      <c r="H2" s="808"/>
      <c r="I2" s="808"/>
      <c r="J2" s="808"/>
      <c r="K2" s="843"/>
      <c r="L2" s="6"/>
      <c r="M2" s="6"/>
      <c r="N2" s="6"/>
      <c r="O2" s="6"/>
      <c r="P2" s="6"/>
      <c r="Q2" s="6"/>
      <c r="R2" s="6"/>
      <c r="S2" s="6"/>
      <c r="T2" s="6"/>
      <c r="U2" s="6"/>
      <c r="V2" s="6"/>
      <c r="W2" s="6"/>
      <c r="X2" s="6"/>
      <c r="Y2" s="6"/>
      <c r="Z2" s="6"/>
    </row>
    <row r="3" spans="1:26" ht="15.6">
      <c r="A3" s="117" t="s">
        <v>411</v>
      </c>
      <c r="B3" s="569">
        <f>IS!B6/IS!B$4</f>
        <v>0.50741770978210476</v>
      </c>
      <c r="C3" s="77">
        <f>IS!C6/IS!C$4</f>
        <v>0.57837135967352993</v>
      </c>
      <c r="D3" s="77">
        <f>IS!D6/IS!D$4</f>
        <v>0.54691689008042899</v>
      </c>
      <c r="E3" s="77">
        <f>IS!E6/IS!E$4</f>
        <v>0.56037605658099021</v>
      </c>
      <c r="F3" s="78">
        <f>IS!F6/IS!F$4</f>
        <v>0.50973569755771153</v>
      </c>
      <c r="G3" s="79">
        <f>IS!G6/IS!G$4</f>
        <v>0.56630139472163377</v>
      </c>
      <c r="H3" s="79">
        <f>IS!H6/IS!H$4</f>
        <v>0.47297910711544344</v>
      </c>
      <c r="I3" s="79">
        <f>IS!I6/IS!I$4</f>
        <v>0.48222598136487055</v>
      </c>
      <c r="J3" s="79">
        <f>IS!J6/IS!J$4</f>
        <v>0.47624871471350078</v>
      </c>
      <c r="K3" s="80">
        <f>IS!K6/IS!K$4</f>
        <v>0.47076161887092693</v>
      </c>
      <c r="L3" s="15"/>
      <c r="M3" s="6"/>
      <c r="N3" s="6"/>
      <c r="O3" s="6"/>
      <c r="P3" s="6"/>
      <c r="Q3" s="6"/>
      <c r="R3" s="6"/>
      <c r="S3" s="6"/>
      <c r="T3" s="6"/>
      <c r="U3" s="6"/>
      <c r="V3" s="6"/>
      <c r="W3" s="6"/>
      <c r="X3" s="6"/>
      <c r="Y3" s="6"/>
      <c r="Z3" s="6"/>
    </row>
    <row r="4" spans="1:26" ht="15.6">
      <c r="A4" s="117" t="s">
        <v>412</v>
      </c>
      <c r="B4" s="570">
        <f>IS!B18/IS!B$4</f>
        <v>0.3115438108484006</v>
      </c>
      <c r="C4" s="107">
        <f>IS!C18/IS!C$4</f>
        <v>0.38823965869040994</v>
      </c>
      <c r="D4" s="107">
        <f>IS!D18/IS!D$4</f>
        <v>0.33476318141197497</v>
      </c>
      <c r="E4" s="107">
        <f>IS!E18/IS!E$4</f>
        <v>0.25056063481110918</v>
      </c>
      <c r="F4" s="108">
        <f>IS!F18/IS!F$4</f>
        <v>0.19739043158246905</v>
      </c>
      <c r="G4" s="91">
        <f>IS!G18/IS!G$4</f>
        <v>0.2344579297599732</v>
      </c>
      <c r="H4" s="91">
        <f>IS!H18/IS!H$4</f>
        <v>0.13159872990685523</v>
      </c>
      <c r="I4" s="91">
        <f>IS!I18/IS!I$4</f>
        <v>0.15754503772676209</v>
      </c>
      <c r="J4" s="91">
        <f>IS!J18/IS!J$4</f>
        <v>0.16151702727945175</v>
      </c>
      <c r="K4" s="92">
        <f>IS!K18/IS!K$4</f>
        <v>0.16670764693574378</v>
      </c>
      <c r="L4" s="15"/>
      <c r="M4" s="6"/>
      <c r="N4" s="6"/>
      <c r="O4" s="6"/>
      <c r="P4" s="6"/>
      <c r="Q4" s="6"/>
      <c r="R4" s="6"/>
      <c r="S4" s="6"/>
      <c r="T4" s="6"/>
      <c r="U4" s="6"/>
      <c r="V4" s="6"/>
      <c r="W4" s="6"/>
      <c r="X4" s="6"/>
      <c r="Y4" s="6"/>
      <c r="Z4" s="6"/>
    </row>
    <row r="5" spans="1:26" ht="15.6">
      <c r="A5" s="571" t="s">
        <v>413</v>
      </c>
      <c r="B5" s="570">
        <f t="shared" ref="B5:K5" si="0">B4*B10*B11</f>
        <v>0.11679847049621971</v>
      </c>
      <c r="C5" s="107">
        <f t="shared" si="0"/>
        <v>0.16408914648161357</v>
      </c>
      <c r="D5" s="107">
        <f t="shared" si="0"/>
        <v>0.11269866383276725</v>
      </c>
      <c r="E5" s="107">
        <f t="shared" si="0"/>
        <v>0.13693763489810562</v>
      </c>
      <c r="F5" s="108">
        <f t="shared" si="0"/>
        <v>9.0975787471868297E-2</v>
      </c>
      <c r="G5" s="91">
        <f t="shared" si="0"/>
        <v>0.11057283772546143</v>
      </c>
      <c r="H5" s="91">
        <f t="shared" si="0"/>
        <v>9.7290409034295061E-2</v>
      </c>
      <c r="I5" s="91">
        <f t="shared" si="0"/>
        <v>9.7511000279304968E-2</v>
      </c>
      <c r="J5" s="91">
        <f t="shared" si="0"/>
        <v>9.0885562431922515E-2</v>
      </c>
      <c r="K5" s="92">
        <f t="shared" si="0"/>
        <v>8.4452149804810916E-2</v>
      </c>
      <c r="L5" s="15"/>
      <c r="M5" s="6"/>
      <c r="N5" s="6"/>
      <c r="O5" s="6"/>
      <c r="P5" s="6"/>
      <c r="Q5" s="6"/>
      <c r="R5" s="6"/>
      <c r="S5" s="6"/>
      <c r="T5" s="6"/>
      <c r="U5" s="6"/>
      <c r="V5" s="6"/>
      <c r="W5" s="6"/>
      <c r="X5" s="6"/>
      <c r="Y5" s="6"/>
      <c r="Z5" s="6"/>
    </row>
    <row r="6" spans="1:26" ht="15.6">
      <c r="A6" s="571" t="s">
        <v>414</v>
      </c>
      <c r="B6" s="570">
        <f t="shared" ref="B6:K6" si="1">B4*B10</f>
        <v>8.6614680672810473E-2</v>
      </c>
      <c r="C6" s="107">
        <f t="shared" si="1"/>
        <v>0.13039279818085536</v>
      </c>
      <c r="D6" s="107">
        <f t="shared" si="1"/>
        <v>6.2234183944710253E-2</v>
      </c>
      <c r="E6" s="107">
        <f t="shared" si="1"/>
        <v>5.2230352936946008E-2</v>
      </c>
      <c r="F6" s="108">
        <f t="shared" si="1"/>
        <v>4.0588045100885373E-2</v>
      </c>
      <c r="G6" s="91">
        <f t="shared" si="1"/>
        <v>2.8583468778595352E-2</v>
      </c>
      <c r="H6" s="91">
        <f t="shared" si="1"/>
        <v>2.4248241138125431E-2</v>
      </c>
      <c r="I6" s="91">
        <f t="shared" si="1"/>
        <v>2.8269647338544261E-2</v>
      </c>
      <c r="J6" s="91">
        <f t="shared" si="1"/>
        <v>2.9706263230501118E-2</v>
      </c>
      <c r="K6" s="92">
        <f t="shared" si="1"/>
        <v>3.191618573460505E-2</v>
      </c>
      <c r="L6" s="15"/>
      <c r="M6" s="6"/>
      <c r="N6" s="6"/>
      <c r="O6" s="6"/>
      <c r="P6" s="6"/>
      <c r="Q6" s="6"/>
      <c r="R6" s="6"/>
      <c r="S6" s="6"/>
      <c r="T6" s="6"/>
      <c r="U6" s="6"/>
      <c r="V6" s="6"/>
      <c r="W6" s="6"/>
      <c r="X6" s="6"/>
      <c r="Y6" s="6"/>
      <c r="Z6" s="6"/>
    </row>
    <row r="7" spans="1:26" ht="15.6">
      <c r="A7" s="117" t="s">
        <v>415</v>
      </c>
      <c r="B7" s="570">
        <f>(IS!B15-IS!B9)/IS!B4</f>
        <v>0.43648585999072786</v>
      </c>
      <c r="C7" s="107">
        <f>(IS!C15-IS!C9)/IS!C4</f>
        <v>0.47263958449267296</v>
      </c>
      <c r="D7" s="107">
        <f>(IS!D15-IS!D9)/IS!D4</f>
        <v>0.44164432529043796</v>
      </c>
      <c r="E7" s="107">
        <f>(IS!E15-IS!E9)/IS!E4</f>
        <v>0.47334828359496284</v>
      </c>
      <c r="F7" s="108">
        <f>(IS!F15-IS!F9)/IS!F4</f>
        <v>0.44362663098026095</v>
      </c>
      <c r="G7" s="91">
        <f>(IS!G15-IS!G9)/IS!G4</f>
        <v>0.47967026154630665</v>
      </c>
      <c r="H7" s="91">
        <f>(IS!H15-IS!H9)/IS!H4</f>
        <v>0.39274915241189157</v>
      </c>
      <c r="I7" s="91">
        <f>(IS!I15-IS!I9)/IS!I4</f>
        <v>0.40364699198580173</v>
      </c>
      <c r="J7" s="91">
        <f>(IS!J15-IS!J9)/IS!J4</f>
        <v>0.39381448832097005</v>
      </c>
      <c r="K7" s="92">
        <f>(IS!K15-IS!K9)/IS!K4</f>
        <v>0.39032615428401402</v>
      </c>
      <c r="L7" s="15"/>
      <c r="M7" s="6"/>
      <c r="N7" s="6"/>
      <c r="O7" s="6"/>
      <c r="P7" s="6"/>
      <c r="Q7" s="6"/>
      <c r="R7" s="6"/>
      <c r="S7" s="6"/>
      <c r="T7" s="6"/>
      <c r="U7" s="6"/>
      <c r="V7" s="6"/>
      <c r="W7" s="6"/>
      <c r="X7" s="6"/>
      <c r="Y7" s="6"/>
      <c r="Z7" s="6"/>
    </row>
    <row r="8" spans="1:26" ht="15.6">
      <c r="A8" s="117" t="s">
        <v>416</v>
      </c>
      <c r="B8" s="570">
        <f>IS!B18/IS!B15</f>
        <v>0.90080428954423608</v>
      </c>
      <c r="C8" s="107">
        <f>IS!C18/IS!C15</f>
        <v>0.90842013888888895</v>
      </c>
      <c r="D8" s="107">
        <f>IS!D18/IS!D15</f>
        <v>0.90526824552924123</v>
      </c>
      <c r="E8" s="107">
        <f>IS!E18/IS!E15</f>
        <v>0.955906548206647</v>
      </c>
      <c r="F8" s="108">
        <f>IS!F18/IS!F15</f>
        <v>0.95593000648088133</v>
      </c>
      <c r="G8" s="91">
        <f>IS!G18/IS!G15</f>
        <v>0.92337035035114789</v>
      </c>
      <c r="H8" s="91">
        <f>IS!H18/IS!H15</f>
        <v>0.92878010143986611</v>
      </c>
      <c r="I8" s="91">
        <f>IS!I18/IS!I15</f>
        <v>0.92896757022505505</v>
      </c>
      <c r="J8" s="91">
        <f>IS!J18/IS!J15</f>
        <v>0.95398985412106574</v>
      </c>
      <c r="K8" s="92">
        <f>IS!K18/IS!K15</f>
        <v>0.94901857236133447</v>
      </c>
      <c r="L8" s="15"/>
      <c r="M8" s="6"/>
      <c r="N8" s="6"/>
      <c r="O8" s="6"/>
      <c r="P8" s="6"/>
      <c r="Q8" s="6"/>
      <c r="R8" s="6"/>
      <c r="S8" s="6"/>
      <c r="T8" s="6"/>
      <c r="U8" s="6"/>
      <c r="V8" s="6"/>
      <c r="W8" s="6"/>
      <c r="X8" s="6"/>
      <c r="Y8" s="6"/>
      <c r="Z8" s="6"/>
    </row>
    <row r="9" spans="1:26" ht="15.6">
      <c r="A9" s="117" t="s">
        <v>417</v>
      </c>
      <c r="B9" s="570">
        <f>IS!B15/(IS!B12-IS!B10)</f>
        <v>1.0040376850605652</v>
      </c>
      <c r="C9" s="107">
        <f>IS!C15/(IS!C12-IS!C10)</f>
        <v>0.95920066611157373</v>
      </c>
      <c r="D9" s="107">
        <f>IS!D15/(IS!D12-IS!D10)</f>
        <v>0.99614829080404432</v>
      </c>
      <c r="E9" s="107">
        <f>IS!E15/(IS!E12-IS!E10)</f>
        <v>0.99672023614299754</v>
      </c>
      <c r="F9" s="108">
        <f>IS!F15/(IS!F12-IS!F10)</f>
        <v>1.0098167539267018</v>
      </c>
      <c r="G9" s="91">
        <f>IS!G15/(IS!G12-IS!G10)</f>
        <v>1.0092702806127625</v>
      </c>
      <c r="H9" s="91">
        <f>IS!H15/(IS!H12-IS!H10)</f>
        <v>1.0044116674501125</v>
      </c>
      <c r="I9" s="91">
        <f>IS!I15/(IS!I12-IS!I10)</f>
        <v>1.0027438706605925</v>
      </c>
      <c r="J9" s="91">
        <f>IS!J15/(IS!J12-IS!J10)</f>
        <v>1.0030729861898469</v>
      </c>
      <c r="K9" s="92">
        <f>IS!K15/(IS!K12-IS!K10)</f>
        <v>1.0029343875756997</v>
      </c>
      <c r="L9" s="15"/>
      <c r="M9" s="6"/>
      <c r="N9" s="6"/>
      <c r="O9" s="6"/>
      <c r="P9" s="6"/>
      <c r="Q9" s="6"/>
      <c r="R9" s="6"/>
      <c r="S9" s="6"/>
      <c r="T9" s="6"/>
      <c r="U9" s="6"/>
      <c r="V9" s="6"/>
      <c r="W9" s="6"/>
      <c r="X9" s="6"/>
      <c r="Y9" s="6"/>
      <c r="Z9" s="6"/>
    </row>
    <row r="10" spans="1:26" ht="15.6">
      <c r="A10" s="117" t="s">
        <v>418</v>
      </c>
      <c r="B10" s="570">
        <f>IS!B4/AVERAGE(BS!B4,BS!A4)</f>
        <v>0.27801765805245859</v>
      </c>
      <c r="C10" s="107">
        <f>IS!C4/AVERAGE(BS!C4,BS!B4)</f>
        <v>0.33585646201289598</v>
      </c>
      <c r="D10" s="107">
        <f>IS!D4/AVERAGE(BS!D4,BS!C4)</f>
        <v>0.18590510366826155</v>
      </c>
      <c r="E10" s="107">
        <f>IS!E4/AVERAGE(BS!E4,BS!D4)</f>
        <v>0.20845394559413152</v>
      </c>
      <c r="F10" s="108">
        <f>IS!F4/AVERAGE(BS!F4,BS!E4)</f>
        <v>0.20562316407889217</v>
      </c>
      <c r="G10" s="91">
        <f>IS!G4/AVERAGE(BS!G4,BS!F4)</f>
        <v>0.12191299653570146</v>
      </c>
      <c r="H10" s="91">
        <f>IS!H4/AVERAGE(BS!H4,BS!G4)</f>
        <v>0.18425892981860986</v>
      </c>
      <c r="I10" s="91">
        <f>IS!I4/AVERAGE(BS!I4,BS!H4)</f>
        <v>0.17943851324326485</v>
      </c>
      <c r="J10" s="91">
        <f>IS!J4/AVERAGE(BS!J4,BS!I4)</f>
        <v>0.18392031930543312</v>
      </c>
      <c r="K10" s="92">
        <f>IS!K4/AVERAGE(BS!K4,BS!J4)</f>
        <v>0.19145004036261698</v>
      </c>
      <c r="L10" s="15"/>
      <c r="M10" s="6"/>
      <c r="N10" s="6"/>
      <c r="O10" s="6"/>
      <c r="P10" s="6"/>
      <c r="Q10" s="6"/>
      <c r="R10" s="6"/>
      <c r="S10" s="6"/>
      <c r="T10" s="6"/>
      <c r="U10" s="6"/>
      <c r="V10" s="6"/>
      <c r="W10" s="6"/>
      <c r="X10" s="6"/>
      <c r="Y10" s="6"/>
      <c r="Z10" s="6"/>
    </row>
    <row r="11" spans="1:26" ht="15.6">
      <c r="A11" s="117" t="s">
        <v>419</v>
      </c>
      <c r="B11" s="572">
        <f>BS!B4/BS!B25</f>
        <v>1.3484835317632746</v>
      </c>
      <c r="C11" s="573">
        <f>BS!C4/BS!C25</f>
        <v>1.2584218512898331</v>
      </c>
      <c r="D11" s="573">
        <f>BS!D4/BS!D25</f>
        <v>1.8108803986710964</v>
      </c>
      <c r="E11" s="573">
        <f>BS!E4/BS!E25</f>
        <v>2.6218018297410453</v>
      </c>
      <c r="F11" s="574">
        <f>BS!F4/BS!F25</f>
        <v>2.2414429481818967</v>
      </c>
      <c r="G11" s="575">
        <f>BS!G4/BS!G25</f>
        <v>3.8684191405160591</v>
      </c>
      <c r="H11" s="575">
        <f>BS!H4/BS!H25</f>
        <v>4.0122666415307817</v>
      </c>
      <c r="I11" s="575">
        <f>BS!I4/BS!I25</f>
        <v>3.4493178889555356</v>
      </c>
      <c r="J11" s="575">
        <f>BS!J4/BS!J25</f>
        <v>3.0594747554315451</v>
      </c>
      <c r="K11" s="576">
        <f>BS!K4/BS!K25</f>
        <v>2.6460602312275641</v>
      </c>
      <c r="L11" s="15"/>
      <c r="M11" s="6"/>
      <c r="N11" s="6"/>
      <c r="O11" s="6"/>
      <c r="P11" s="6"/>
      <c r="Q11" s="6"/>
      <c r="R11" s="6"/>
      <c r="S11" s="6"/>
      <c r="T11" s="6"/>
      <c r="U11" s="6"/>
      <c r="V11" s="6"/>
      <c r="W11" s="6"/>
      <c r="X11" s="6"/>
      <c r="Y11" s="6"/>
      <c r="Z11" s="6"/>
    </row>
    <row r="12" spans="1:26" ht="15.6">
      <c r="A12" s="577" t="s">
        <v>420</v>
      </c>
      <c r="B12" s="844"/>
      <c r="C12" s="764"/>
      <c r="D12" s="764"/>
      <c r="E12" s="764"/>
      <c r="F12" s="764"/>
      <c r="G12" s="764"/>
      <c r="H12" s="764"/>
      <c r="I12" s="764"/>
      <c r="J12" s="764"/>
      <c r="K12" s="845"/>
      <c r="L12" s="15"/>
      <c r="M12" s="6"/>
      <c r="N12" s="6"/>
      <c r="O12" s="6"/>
      <c r="P12" s="6"/>
      <c r="Q12" s="6"/>
      <c r="R12" s="6"/>
      <c r="S12" s="6"/>
      <c r="T12" s="6"/>
      <c r="U12" s="6"/>
      <c r="V12" s="6"/>
      <c r="W12" s="6"/>
      <c r="X12" s="6"/>
      <c r="Y12" s="6"/>
      <c r="Z12" s="6"/>
    </row>
    <row r="13" spans="1:26" ht="15.6">
      <c r="A13" s="117" t="s">
        <v>143</v>
      </c>
      <c r="B13" s="578">
        <f>360/('INPUT-Y'!F123/AVERAGE('INPUT-Y'!E10:F10))</f>
        <v>266.20305980528514</v>
      </c>
      <c r="C13" s="579">
        <f>360/('INPUT-Y'!G123/AVERAGE('INPUT-Y'!F10:G10))</f>
        <v>161.73622704507511</v>
      </c>
      <c r="D13" s="579">
        <f>360/('INPUT-Y'!H123/AVERAGE('INPUT-Y'!G10:H10))</f>
        <v>152.13941018766755</v>
      </c>
      <c r="E13" s="579">
        <f>360/('INPUT-Y'!I123/AVERAGE('INPUT-Y'!H10:I10))</f>
        <v>144.95946179058134</v>
      </c>
      <c r="F13" s="580">
        <f>360/('INPUT-Y'!J123/AVERAGE('INPUT-Y'!I10:J10))</f>
        <v>255.84276434741847</v>
      </c>
      <c r="G13" s="581">
        <f>BS!G49</f>
        <v>237.63733690197387</v>
      </c>
      <c r="H13" s="581">
        <f>BS!H49</f>
        <v>219.63733690197387</v>
      </c>
      <c r="I13" s="581">
        <f>BS!I49</f>
        <v>201.63733690197384</v>
      </c>
      <c r="J13" s="581">
        <f>BS!J49</f>
        <v>183.63733690197384</v>
      </c>
      <c r="K13" s="582">
        <f>BS!K49</f>
        <v>165.63733690197384</v>
      </c>
      <c r="L13" s="15"/>
      <c r="M13" s="6"/>
      <c r="N13" s="6"/>
      <c r="O13" s="6"/>
      <c r="P13" s="6"/>
      <c r="Q13" s="6"/>
      <c r="R13" s="6"/>
      <c r="S13" s="6"/>
      <c r="T13" s="6"/>
      <c r="U13" s="6"/>
      <c r="V13" s="6"/>
      <c r="W13" s="6"/>
      <c r="X13" s="6"/>
      <c r="Y13" s="6"/>
      <c r="Z13" s="6"/>
    </row>
    <row r="14" spans="1:26" ht="15.6">
      <c r="A14" s="117" t="s">
        <v>146</v>
      </c>
      <c r="B14" s="583">
        <f t="shared" ref="B14:F14" si="2">360/B17</f>
        <v>27.444705882352938</v>
      </c>
      <c r="C14" s="584">
        <f t="shared" si="2"/>
        <v>33.576770787505495</v>
      </c>
      <c r="D14" s="584">
        <f t="shared" si="2"/>
        <v>36.142011834319526</v>
      </c>
      <c r="E14" s="584">
        <f t="shared" si="2"/>
        <v>119.71748087110065</v>
      </c>
      <c r="F14" s="585">
        <f t="shared" si="2"/>
        <v>114.55438788044219</v>
      </c>
      <c r="G14" s="287">
        <f>BS!G54</f>
        <v>132.55438788044219</v>
      </c>
      <c r="H14" s="287">
        <f>BS!H54</f>
        <v>87.309007850762015</v>
      </c>
      <c r="I14" s="287">
        <f>BS!I54</f>
        <v>98.055455263413322</v>
      </c>
      <c r="J14" s="287">
        <f>BS!J54</f>
        <v>110.43814394923207</v>
      </c>
      <c r="K14" s="288">
        <f>BS!K54</f>
        <v>108.58227656485835</v>
      </c>
      <c r="L14" s="15"/>
      <c r="M14" s="6"/>
      <c r="N14" s="6"/>
      <c r="O14" s="6"/>
      <c r="P14" s="6"/>
      <c r="Q14" s="6"/>
      <c r="R14" s="6"/>
      <c r="S14" s="6"/>
      <c r="T14" s="6"/>
      <c r="U14" s="6"/>
      <c r="V14" s="6"/>
      <c r="W14" s="6"/>
      <c r="X14" s="6"/>
      <c r="Y14" s="6"/>
      <c r="Z14" s="6"/>
    </row>
    <row r="15" spans="1:26" ht="15.6">
      <c r="A15" s="117" t="s">
        <v>150</v>
      </c>
      <c r="B15" s="583">
        <f>360*(AVERAGE(BS!B18,'INPUT-Y'!E68+'INPUT-Y'!E70+'INPUT-Y'!E72+'INPUT-Y'!E76+'INPUT-Y'!E75+'INPUT-Y'!E71+'INPUT-Y'!E69)/-IS!B5)</f>
        <v>154.92705882352939</v>
      </c>
      <c r="C15" s="584">
        <f>360*(AVERAGE(BS!C18,BS!B18)/-IS!C5)</f>
        <v>148.40299164100307</v>
      </c>
      <c r="D15" s="584">
        <f>360*(AVERAGE(BS!D18,BS!C18)/-IS!D5)</f>
        <v>368.73372781065092</v>
      </c>
      <c r="E15" s="584">
        <f>360*(AVERAGE(BS!E18,BS!D18)/-IS!E5)</f>
        <v>248.8287227781048</v>
      </c>
      <c r="F15" s="585">
        <f>360*(AVERAGE(BS!F18,BS!E18)/-IS!F5)</f>
        <v>192.35703562167322</v>
      </c>
      <c r="G15" s="287">
        <f>BS!G59</f>
        <v>858.74986951043593</v>
      </c>
      <c r="H15" s="287">
        <f>BS!H59</f>
        <v>601.12490865730524</v>
      </c>
      <c r="I15" s="287">
        <f>BS!I59</f>
        <v>480.89992692584417</v>
      </c>
      <c r="J15" s="287">
        <f>BS!J59</f>
        <v>384.71994154067534</v>
      </c>
      <c r="K15" s="288">
        <f>BS!K59</f>
        <v>307.7759532325403</v>
      </c>
      <c r="L15" s="15"/>
      <c r="M15" s="6"/>
      <c r="N15" s="6"/>
      <c r="O15" s="6"/>
      <c r="P15" s="6"/>
      <c r="Q15" s="6"/>
      <c r="R15" s="6"/>
      <c r="S15" s="6"/>
      <c r="T15" s="6"/>
      <c r="U15" s="6"/>
      <c r="V15" s="6"/>
      <c r="W15" s="6"/>
      <c r="X15" s="6"/>
      <c r="Y15" s="6"/>
      <c r="Z15" s="6"/>
    </row>
    <row r="16" spans="1:26" ht="15.6">
      <c r="A16" s="586" t="s">
        <v>421</v>
      </c>
      <c r="B16" s="583">
        <f t="shared" ref="B16:K16" si="3">B13+B14-B15</f>
        <v>138.72070686410868</v>
      </c>
      <c r="C16" s="584">
        <f t="shared" si="3"/>
        <v>46.910006191577537</v>
      </c>
      <c r="D16" s="584">
        <f t="shared" si="3"/>
        <v>-180.45230578866384</v>
      </c>
      <c r="E16" s="584">
        <f t="shared" si="3"/>
        <v>15.848219883577201</v>
      </c>
      <c r="F16" s="585">
        <f t="shared" si="3"/>
        <v>178.04011660618744</v>
      </c>
      <c r="G16" s="287">
        <f t="shared" si="3"/>
        <v>-488.5581447280199</v>
      </c>
      <c r="H16" s="287">
        <f t="shared" si="3"/>
        <v>-294.17856390456939</v>
      </c>
      <c r="I16" s="287">
        <f t="shared" si="3"/>
        <v>-181.207134760457</v>
      </c>
      <c r="J16" s="287">
        <f t="shared" si="3"/>
        <v>-90.64446068946944</v>
      </c>
      <c r="K16" s="288">
        <f t="shared" si="3"/>
        <v>-33.556339765708117</v>
      </c>
      <c r="L16" s="15"/>
      <c r="M16" s="6"/>
      <c r="N16" s="6"/>
      <c r="O16" s="6"/>
      <c r="P16" s="6"/>
      <c r="Q16" s="6"/>
      <c r="R16" s="6"/>
      <c r="S16" s="6"/>
      <c r="T16" s="6"/>
      <c r="U16" s="6"/>
      <c r="V16" s="6"/>
      <c r="W16" s="6"/>
      <c r="X16" s="6"/>
      <c r="Y16" s="6"/>
      <c r="Z16" s="6"/>
    </row>
    <row r="17" spans="1:26" ht="15.6">
      <c r="A17" s="586" t="s">
        <v>422</v>
      </c>
      <c r="B17" s="587">
        <f>-IS!B5/AVERAGE(BS!A8:B8)</f>
        <v>13.117283950617285</v>
      </c>
      <c r="C17" s="588">
        <f>-IS!C5/AVERAGE(BS!B8:C8)</f>
        <v>10.721698113207548</v>
      </c>
      <c r="D17" s="588">
        <f>-IS!D5/AVERAGE(BS!C8:D8)</f>
        <v>9.9607072691552059</v>
      </c>
      <c r="E17" s="588">
        <f>-IS!E5/AVERAGE(BS!D8:E8)</f>
        <v>3.0070796460176989</v>
      </c>
      <c r="F17" s="589">
        <f>-IS!F5/AVERAGE(BS!E8:F8)</f>
        <v>3.1426120523268284</v>
      </c>
      <c r="G17" s="590">
        <f>-IS!G5/AVERAGE(BS!F8:G8)</f>
        <v>3.2791577948906601</v>
      </c>
      <c r="H17" s="590">
        <f>-IS!H5/AVERAGE(BS!G8:H8)</f>
        <v>5.2548403589574768</v>
      </c>
      <c r="I17" s="590">
        <f>-IS!I5/AVERAGE(BS!H8:I8)</f>
        <v>3.9095697786967802</v>
      </c>
      <c r="J17" s="590">
        <f>-IS!J5/AVERAGE(BS!I8:J8)</f>
        <v>3.4744476183757871</v>
      </c>
      <c r="K17" s="591">
        <f>-IS!K5/AVERAGE(BS!J8:K8)</f>
        <v>3.3096735178827261</v>
      </c>
      <c r="L17" s="15"/>
      <c r="M17" s="6"/>
      <c r="N17" s="6"/>
      <c r="O17" s="6"/>
      <c r="P17" s="6"/>
      <c r="Q17" s="6"/>
      <c r="R17" s="6"/>
      <c r="S17" s="6"/>
      <c r="T17" s="6"/>
      <c r="U17" s="6"/>
      <c r="V17" s="6"/>
      <c r="W17" s="6"/>
      <c r="X17" s="6"/>
      <c r="Y17" s="6"/>
      <c r="Z17" s="6"/>
    </row>
    <row r="18" spans="1:26" ht="15.6">
      <c r="A18" s="592" t="s">
        <v>423</v>
      </c>
      <c r="B18" s="846"/>
      <c r="C18" s="764"/>
      <c r="D18" s="764"/>
      <c r="E18" s="764"/>
      <c r="F18" s="764"/>
      <c r="G18" s="764"/>
      <c r="H18" s="764"/>
      <c r="I18" s="764"/>
      <c r="J18" s="764"/>
      <c r="K18" s="845"/>
      <c r="L18" s="15"/>
      <c r="M18" s="6"/>
      <c r="N18" s="6"/>
      <c r="O18" s="6"/>
      <c r="P18" s="6"/>
      <c r="Q18" s="6"/>
      <c r="R18" s="6"/>
      <c r="S18" s="6"/>
      <c r="T18" s="6"/>
      <c r="U18" s="6"/>
      <c r="V18" s="6"/>
      <c r="W18" s="6"/>
      <c r="X18" s="6"/>
      <c r="Y18" s="6"/>
      <c r="Z18" s="6"/>
    </row>
    <row r="19" spans="1:26" ht="15.6">
      <c r="A19" s="586" t="s">
        <v>424</v>
      </c>
      <c r="B19" s="578">
        <f>SUM(BS!B5:B9)/SUM(BS!B18:B19,BS!B22)</f>
        <v>2.2992602555480834</v>
      </c>
      <c r="C19" s="579">
        <f>SUM(BS!C5:C9)/SUM(BS!C18:C19,BS!C22)</f>
        <v>4.0256835128417565</v>
      </c>
      <c r="D19" s="579">
        <f>SUM(BS!D5:D9)/SUM(BS!D18:D19,BS!D22)</f>
        <v>2.2400728597449913</v>
      </c>
      <c r="E19" s="579">
        <f>SUM(BS!E5:E9)/SUM(BS!E18:E19,BS!E22)</f>
        <v>1.3714285714285714</v>
      </c>
      <c r="F19" s="580">
        <f>SUM(BS!F5:F9)/SUM(BS!F18:F19,BS!F22)</f>
        <v>1.56518296973962</v>
      </c>
      <c r="G19" s="581">
        <f>SUM(BS!G5:G9)/SUM(BS!G18:G19,BS!G22)</f>
        <v>0.59051536531983384</v>
      </c>
      <c r="H19" s="581">
        <f>SUM(BS!H5:H9)/SUM(BS!H18:H19,BS!H22)</f>
        <v>0.68760825156943706</v>
      </c>
      <c r="I19" s="581">
        <f>SUM(BS!I5:I9)/SUM(BS!I18:I19,BS!I22)</f>
        <v>0.77610154004198439</v>
      </c>
      <c r="J19" s="581">
        <f>SUM(BS!J5:J9)/SUM(BS!J18:J19,BS!J22)</f>
        <v>0.87943911125004548</v>
      </c>
      <c r="K19" s="582">
        <f>SUM(BS!K5:K9)/SUM(BS!K18:K19,BS!K22)</f>
        <v>0.98645003650508967</v>
      </c>
      <c r="L19" s="15"/>
      <c r="M19" s="6"/>
      <c r="N19" s="6"/>
      <c r="O19" s="6"/>
      <c r="P19" s="6"/>
      <c r="Q19" s="6"/>
      <c r="R19" s="6"/>
      <c r="S19" s="6"/>
      <c r="T19" s="6"/>
      <c r="U19" s="6"/>
      <c r="V19" s="6"/>
      <c r="W19" s="6"/>
      <c r="X19" s="6"/>
      <c r="Y19" s="6"/>
      <c r="Z19" s="6"/>
    </row>
    <row r="20" spans="1:26" ht="15.6">
      <c r="A20" s="586" t="s">
        <v>425</v>
      </c>
      <c r="B20" s="583">
        <f>SUM(BS!B5:B7)/SUM(BS!B18:B19,BS!B22)</f>
        <v>2.1856086079354409</v>
      </c>
      <c r="C20" s="584">
        <f>SUM(BS!C5:C7)/SUM(BS!C18:C19,BS!C22)</f>
        <v>3.7995028997514502</v>
      </c>
      <c r="D20" s="584">
        <f>SUM(BS!D5:D7)/SUM(BS!D18:D19,BS!D22)</f>
        <v>2.0162112932604739</v>
      </c>
      <c r="E20" s="584">
        <f>SUM(BS!E5:E7)/SUM(BS!E18:E19,BS!E22)</f>
        <v>0.92811059907834104</v>
      </c>
      <c r="F20" s="585">
        <f>SUM(BS!F5:F7)/SUM(BS!F18:F19,BS!F22)</f>
        <v>1.3808057705840957</v>
      </c>
      <c r="G20" s="287">
        <f>SUM(BS!G5:G7)/SUM(BS!G18:G19,BS!G22)</f>
        <v>0.49453685901470296</v>
      </c>
      <c r="H20" s="287">
        <f>SUM(BS!H5:H7)/SUM(BS!H18:H19,BS!H22)</f>
        <v>0.55455527667599525</v>
      </c>
      <c r="I20" s="287">
        <f>SUM(BS!I5:I7)/SUM(BS!I18:I19,BS!I22)</f>
        <v>0.60579034196492199</v>
      </c>
      <c r="J20" s="287">
        <f>SUM(BS!J5:J7)/SUM(BS!J18:J19,BS!J22)</f>
        <v>0.66289977692503999</v>
      </c>
      <c r="K20" s="288">
        <f>SUM(BS!K5:K7)/SUM(BS!K18:K19,BS!K22)</f>
        <v>0.74905719436210549</v>
      </c>
      <c r="L20" s="15"/>
      <c r="M20" s="6"/>
      <c r="N20" s="6"/>
      <c r="O20" s="6"/>
      <c r="P20" s="6"/>
      <c r="Q20" s="6"/>
      <c r="R20" s="6"/>
      <c r="S20" s="6"/>
      <c r="T20" s="6"/>
      <c r="U20" s="6"/>
      <c r="V20" s="6"/>
      <c r="W20" s="6"/>
      <c r="X20" s="6"/>
      <c r="Y20" s="6"/>
      <c r="Z20" s="6"/>
    </row>
    <row r="21" spans="1:26" ht="15.6">
      <c r="A21" s="586" t="s">
        <v>426</v>
      </c>
      <c r="B21" s="583">
        <f>BS!B5/SUM(BS!B18:B19,BS!B22)</f>
        <v>0.45729657027572296</v>
      </c>
      <c r="C21" s="584">
        <f>BS!C5/SUM(BS!C18:C19,BS!C22)</f>
        <v>1.8475559237779617</v>
      </c>
      <c r="D21" s="584">
        <f>BS!D5/SUM(BS!D18:D19,BS!D22)</f>
        <v>1.1100182149362476</v>
      </c>
      <c r="E21" s="584">
        <f>BS!E5/SUM(BS!E18:E19,BS!E22)</f>
        <v>0.12142857142857144</v>
      </c>
      <c r="F21" s="585">
        <f>BS!F5/SUM(BS!F18:F19,BS!F22)</f>
        <v>0.11910626319493316</v>
      </c>
      <c r="G21" s="287">
        <f>BS!G5/SUM(BS!G18:G19,BS!G22)</f>
        <v>0.19528475144967231</v>
      </c>
      <c r="H21" s="287">
        <f>BS!H5/SUM(BS!H18:H19,BS!H22)</f>
        <v>1.0249884031354945E-2</v>
      </c>
      <c r="I21" s="287">
        <f>BS!I5/SUM(BS!I18:I19,BS!I22)</f>
        <v>1.4831434415973187E-2</v>
      </c>
      <c r="J21" s="287">
        <f>BS!J5/SUM(BS!J18:J19,BS!J22)</f>
        <v>5.5922443009728137E-2</v>
      </c>
      <c r="K21" s="288">
        <f>BS!K5/SUM(BS!K18:K19,BS!K22)</f>
        <v>0.14335696785041752</v>
      </c>
      <c r="L21" s="15"/>
      <c r="M21" s="6"/>
      <c r="N21" s="6"/>
      <c r="O21" s="6"/>
      <c r="P21" s="6"/>
      <c r="Q21" s="6"/>
      <c r="R21" s="6"/>
      <c r="S21" s="6"/>
      <c r="T21" s="6"/>
      <c r="U21" s="6"/>
      <c r="V21" s="6"/>
      <c r="W21" s="6"/>
      <c r="X21" s="6"/>
      <c r="Y21" s="6"/>
      <c r="Z21" s="6"/>
    </row>
    <row r="22" spans="1:26" ht="15.6">
      <c r="A22" s="586" t="s">
        <v>659</v>
      </c>
      <c r="B22" s="583">
        <f>BS!B17/BS!B4</f>
        <v>0.25842624218598953</v>
      </c>
      <c r="C22" s="584">
        <f>BS!C17/BS!C4</f>
        <v>0.20535391293862296</v>
      </c>
      <c r="D22" s="584">
        <f>BS!D17/BS!D4</f>
        <v>0.44778241526395446</v>
      </c>
      <c r="E22" s="584">
        <f>BS!E17/BS!E4</f>
        <v>0.61858291932812881</v>
      </c>
      <c r="F22" s="585">
        <f>BS!F17/BS!F4</f>
        <v>0.5538588208050842</v>
      </c>
      <c r="G22" s="287">
        <f>BS!G17/BS!G4</f>
        <v>0.74149647086416881</v>
      </c>
      <c r="H22" s="287">
        <f>BS!H17/BS!H4</f>
        <v>0.75076432118218472</v>
      </c>
      <c r="I22" s="287">
        <f>BS!I17/BS!I4</f>
        <v>0.71008760798709591</v>
      </c>
      <c r="J22" s="287">
        <f>BS!J17/BS!J4</f>
        <v>0.67314651045095875</v>
      </c>
      <c r="K22" s="288">
        <f>BS!K17/BS!K4</f>
        <v>0.62207965329040193</v>
      </c>
      <c r="L22" s="15"/>
      <c r="M22" s="6"/>
      <c r="N22" s="6"/>
      <c r="O22" s="6"/>
      <c r="P22" s="6"/>
      <c r="Q22" s="6"/>
      <c r="R22" s="6"/>
      <c r="S22" s="6"/>
      <c r="T22" s="6"/>
      <c r="U22" s="6"/>
      <c r="V22" s="6"/>
      <c r="W22" s="6"/>
      <c r="X22" s="6"/>
      <c r="Y22" s="6"/>
      <c r="Z22" s="6"/>
    </row>
    <row r="23" spans="1:26" ht="15.6">
      <c r="A23" s="586" t="s">
        <v>660</v>
      </c>
      <c r="B23" s="583">
        <f>BS!B17/BS!B25</f>
        <v>0.34848353176327451</v>
      </c>
      <c r="C23" s="584">
        <f>BS!C17/BS!C25</f>
        <v>0.25842185128983308</v>
      </c>
      <c r="D23" s="584">
        <f>BS!D17/BS!D25</f>
        <v>0.81088039867109629</v>
      </c>
      <c r="E23" s="584">
        <f>BS!E17/BS!E25</f>
        <v>1.6218018297410453</v>
      </c>
      <c r="F23" s="585">
        <f>BS!F17/BS!F25</f>
        <v>1.2414429481818967</v>
      </c>
      <c r="G23" s="287">
        <f>BS!G17/BS!G25</f>
        <v>2.8684191405160591</v>
      </c>
      <c r="H23" s="287">
        <f>BS!H17/BS!H25</f>
        <v>3.0122666415307808</v>
      </c>
      <c r="I23" s="287">
        <f>BS!I17/BS!I25</f>
        <v>2.4493178889555356</v>
      </c>
      <c r="J23" s="287">
        <f>BS!J17/BS!J25</f>
        <v>2.0594747554315451</v>
      </c>
      <c r="K23" s="288">
        <f>BS!K17/BS!K25</f>
        <v>1.6460602312275636</v>
      </c>
      <c r="L23" s="15"/>
      <c r="M23" s="6"/>
      <c r="N23" s="6"/>
      <c r="O23" s="6"/>
      <c r="P23" s="6"/>
      <c r="Q23" s="6"/>
      <c r="R23" s="6"/>
      <c r="S23" s="6"/>
      <c r="T23" s="6"/>
      <c r="U23" s="6"/>
      <c r="V23" s="6"/>
      <c r="W23" s="6"/>
      <c r="X23" s="6"/>
      <c r="Y23" s="6"/>
      <c r="Z23" s="6"/>
    </row>
    <row r="24" spans="1:26" ht="15.6">
      <c r="A24" s="586" t="s">
        <v>661</v>
      </c>
      <c r="B24" s="583">
        <f>SUM(BS!B18:B19,BS!B22)/BS!B25</f>
        <v>0.12922568871121926</v>
      </c>
      <c r="C24" s="584">
        <f>SUM(BS!C18:C19,BS!C22)/BS!C25</f>
        <v>9.1578148710166923E-2</v>
      </c>
      <c r="D24" s="584">
        <f>SUM(BS!D18:D19,BS!D22)/BS!D25</f>
        <v>0.22799003322259137</v>
      </c>
      <c r="E24" s="584">
        <f>SUM(BS!E18:E19,BS!E22)/BS!E25</f>
        <v>0.3364862769421616</v>
      </c>
      <c r="F24" s="585">
        <f>SUM(BS!F18:F19,BS!F22)/BS!F25</f>
        <v>0.32780645347328352</v>
      </c>
      <c r="G24" s="287">
        <f>SUM(BS!G18:G19,BS!G22)/BS!G25</f>
        <v>0.77262190061213343</v>
      </c>
      <c r="H24" s="287">
        <f>SUM(BS!H18:H19,BS!H22)/BS!H25</f>
        <v>0.77253164619119263</v>
      </c>
      <c r="I24" s="287">
        <f>SUM(BS!I18:I19,BS!I22)/BS!I25</f>
        <v>0.59384274441192053</v>
      </c>
      <c r="J24" s="287">
        <f>SUM(BS!J18:J19,BS!J22)/BS!J25</f>
        <v>0.47814197138599196</v>
      </c>
      <c r="K24" s="288">
        <f>SUM(BS!K18:K19,BS!K22)/BS!K25</f>
        <v>0.39524722028342685</v>
      </c>
      <c r="L24" s="15"/>
      <c r="M24" s="6"/>
      <c r="N24" s="6"/>
      <c r="O24" s="6"/>
      <c r="P24" s="6"/>
      <c r="Q24" s="6"/>
      <c r="R24" s="6"/>
      <c r="S24" s="6"/>
      <c r="T24" s="6"/>
      <c r="U24" s="6"/>
      <c r="V24" s="6"/>
      <c r="W24" s="6"/>
      <c r="X24" s="6"/>
      <c r="Y24" s="6"/>
      <c r="Z24" s="6"/>
    </row>
    <row r="25" spans="1:26" ht="15.6">
      <c r="A25" s="586" t="s">
        <v>662</v>
      </c>
      <c r="B25" s="583">
        <f>SUM(BS!B20:B21,BS!B23)/BS!B25</f>
        <v>0.231076735899887</v>
      </c>
      <c r="C25" s="584">
        <f>SUM(BS!C20:C21,BS!C23)/BS!C25</f>
        <v>0.17996965098634296</v>
      </c>
      <c r="D25" s="584">
        <f>SUM(BS!D20:D21,BS!D23)/BS!D25</f>
        <v>0.59156976744186041</v>
      </c>
      <c r="E25" s="584">
        <f>SUM(BS!E20:E21,BS!E23)/BS!E25</f>
        <v>1.2975655140331834</v>
      </c>
      <c r="F25" s="585">
        <f>SUM(BS!F20:F21,BS!F23)/BS!F25</f>
        <v>0.92393090919576681</v>
      </c>
      <c r="G25" s="287">
        <f>SUM(BS!G20:G21,BS!G23)/BS!G25</f>
        <v>2.0957972399039262</v>
      </c>
      <c r="H25" s="287">
        <f>SUM(BS!H20:H21,BS!H23)/BS!H25</f>
        <v>2.2397349953395884</v>
      </c>
      <c r="I25" s="287">
        <f>SUM(BS!I20:I21,BS!I23)/BS!I25</f>
        <v>1.8554751445436151</v>
      </c>
      <c r="J25" s="287">
        <f>SUM(BS!J20:J21,BS!J23)/BS!J25</f>
        <v>1.5813327840455533</v>
      </c>
      <c r="K25" s="288">
        <f>SUM(BS!K20:K21,BS!K23)/BS!K25</f>
        <v>1.2508130109441367</v>
      </c>
      <c r="L25" s="15"/>
      <c r="M25" s="6"/>
      <c r="N25" s="6"/>
      <c r="O25" s="6"/>
      <c r="P25" s="6"/>
      <c r="Q25" s="6"/>
      <c r="R25" s="6"/>
      <c r="S25" s="6"/>
      <c r="T25" s="6"/>
      <c r="U25" s="6"/>
      <c r="V25" s="6"/>
      <c r="W25" s="6"/>
      <c r="X25" s="6"/>
      <c r="Y25" s="6"/>
      <c r="Z25" s="6"/>
    </row>
    <row r="26" spans="1:26" ht="15.6">
      <c r="A26" s="593" t="s">
        <v>427</v>
      </c>
      <c r="B26" s="594">
        <f>(IS!B12+(-IS!B9))/-IS!B9</f>
        <v>4.7979539641943729</v>
      </c>
      <c r="C26" s="595">
        <f>(IS!C12+(-IS!C9))/-IS!C9</f>
        <v>10.803278688524589</v>
      </c>
      <c r="D26" s="595">
        <f>(IS!D12+(-IS!D9))/-IS!D9</f>
        <v>6.1517412935323383</v>
      </c>
      <c r="E26" s="595">
        <f>(IS!E12+(-IS!E9))/-IS!E9</f>
        <v>2.2425479787668436</v>
      </c>
      <c r="F26" s="596">
        <f>(IS!F12+(-IS!F9))/-IS!F9</f>
        <v>1.8575056433408579</v>
      </c>
      <c r="G26" s="597">
        <f>(IS!G12+(-IS!G9))/-IS!G9</f>
        <v>2.1103812713852999</v>
      </c>
      <c r="H26" s="597">
        <f>(IS!H12+(-IS!H9))/-IS!H9</f>
        <v>1.5584848605057944</v>
      </c>
      <c r="I26" s="597">
        <f>(IS!I12+(-IS!I9))/-IS!I9</f>
        <v>1.7184637286584985</v>
      </c>
      <c r="J26" s="597">
        <f>(IS!J12+(-IS!J9))/-IS!J9</f>
        <v>1.7477601388850628</v>
      </c>
      <c r="K26" s="598">
        <f>(IS!K12+(-IS!K9))/-IS!K9</f>
        <v>1.8116842566130884</v>
      </c>
      <c r="L26" s="15"/>
      <c r="M26" s="6"/>
      <c r="N26" s="6"/>
      <c r="O26" s="6"/>
      <c r="P26" s="6"/>
      <c r="Q26" s="6"/>
      <c r="R26" s="6"/>
      <c r="S26" s="6"/>
      <c r="T26" s="6"/>
      <c r="U26" s="6"/>
      <c r="V26" s="6"/>
      <c r="W26" s="6"/>
      <c r="X26" s="6"/>
      <c r="Y26" s="6"/>
      <c r="Z26" s="6"/>
    </row>
    <row r="27" spans="1:26" ht="15.6">
      <c r="A27" s="52"/>
      <c r="B27" s="599"/>
      <c r="C27" s="599"/>
      <c r="D27" s="599"/>
      <c r="E27" s="599"/>
      <c r="F27" s="599"/>
      <c r="G27" s="599"/>
      <c r="H27" s="599"/>
      <c r="I27" s="599"/>
      <c r="J27" s="599"/>
      <c r="K27" s="599"/>
      <c r="L27" s="6"/>
      <c r="M27" s="6"/>
      <c r="N27" s="6"/>
      <c r="O27" s="6"/>
      <c r="P27" s="6"/>
      <c r="Q27" s="6"/>
      <c r="R27" s="6"/>
      <c r="S27" s="6"/>
      <c r="T27" s="6"/>
      <c r="U27" s="6"/>
      <c r="V27" s="6"/>
      <c r="W27" s="6"/>
      <c r="X27" s="6"/>
      <c r="Y27" s="6"/>
      <c r="Z27" s="6"/>
    </row>
    <row r="28" spans="1:26" ht="15.6">
      <c r="A28" s="6"/>
      <c r="B28" s="22"/>
      <c r="C28" s="22"/>
      <c r="D28" s="22"/>
      <c r="E28" s="22"/>
      <c r="F28" s="22"/>
      <c r="G28" s="22"/>
      <c r="H28" s="22"/>
      <c r="I28" s="22"/>
      <c r="J28" s="22"/>
      <c r="K28" s="22"/>
      <c r="L28" s="6"/>
      <c r="M28" s="6"/>
      <c r="N28" s="6"/>
      <c r="O28" s="6"/>
      <c r="P28" s="6"/>
      <c r="Q28" s="6"/>
      <c r="R28" s="6"/>
      <c r="S28" s="6"/>
      <c r="T28" s="6"/>
      <c r="U28" s="6"/>
      <c r="V28" s="6"/>
      <c r="W28" s="6"/>
      <c r="X28" s="6"/>
      <c r="Y28" s="6"/>
      <c r="Z28" s="6"/>
    </row>
    <row r="29" spans="1:26" ht="15.6">
      <c r="A29" s="6"/>
      <c r="B29" s="22"/>
      <c r="C29" s="22"/>
      <c r="D29" s="22"/>
      <c r="E29" s="22"/>
      <c r="F29" s="22"/>
      <c r="G29" s="22"/>
      <c r="H29" s="22"/>
      <c r="I29" s="22"/>
      <c r="J29" s="22"/>
      <c r="K29" s="22"/>
      <c r="L29" s="6"/>
      <c r="M29" s="6"/>
      <c r="N29" s="6"/>
      <c r="O29" s="6"/>
      <c r="P29" s="6"/>
      <c r="Q29" s="6"/>
      <c r="R29" s="6"/>
      <c r="S29" s="6"/>
      <c r="T29" s="6"/>
      <c r="U29" s="6"/>
      <c r="V29" s="6"/>
      <c r="W29" s="6"/>
      <c r="X29" s="6"/>
      <c r="Y29" s="6"/>
      <c r="Z29" s="6"/>
    </row>
    <row r="30" spans="1:26" ht="15.6">
      <c r="A30" s="6"/>
      <c r="B30" s="22"/>
      <c r="C30" s="22"/>
      <c r="D30" s="22"/>
      <c r="E30" s="22"/>
      <c r="F30" s="22"/>
      <c r="G30" s="22"/>
      <c r="H30" s="22"/>
      <c r="I30" s="22"/>
      <c r="J30" s="22"/>
      <c r="K30" s="22"/>
      <c r="L30" s="6"/>
      <c r="M30" s="6"/>
      <c r="N30" s="6"/>
      <c r="O30" s="6"/>
      <c r="P30" s="6"/>
      <c r="Q30" s="6"/>
      <c r="R30" s="6"/>
      <c r="S30" s="6"/>
      <c r="T30" s="6"/>
      <c r="U30" s="6"/>
      <c r="V30" s="6"/>
      <c r="W30" s="6"/>
      <c r="X30" s="6"/>
      <c r="Y30" s="6"/>
      <c r="Z30" s="6"/>
    </row>
    <row r="31" spans="1:26" ht="15.6">
      <c r="A31" s="6"/>
      <c r="B31" s="22"/>
      <c r="C31" s="22"/>
      <c r="D31" s="22"/>
      <c r="E31" s="22"/>
      <c r="F31" s="22"/>
      <c r="G31" s="22"/>
      <c r="H31" s="22"/>
      <c r="I31" s="22"/>
      <c r="J31" s="22"/>
      <c r="K31" s="22"/>
      <c r="L31" s="6"/>
      <c r="M31" s="6"/>
      <c r="N31" s="6"/>
      <c r="O31" s="6"/>
      <c r="P31" s="6"/>
      <c r="Q31" s="6"/>
      <c r="R31" s="6"/>
      <c r="S31" s="6"/>
      <c r="T31" s="6"/>
      <c r="U31" s="6"/>
      <c r="V31" s="6"/>
      <c r="W31" s="6"/>
      <c r="X31" s="6"/>
      <c r="Y31" s="6"/>
      <c r="Z31" s="6"/>
    </row>
    <row r="32" spans="1:26" ht="15.6">
      <c r="A32" s="6"/>
      <c r="B32" s="22"/>
      <c r="C32" s="22"/>
      <c r="D32" s="22"/>
      <c r="E32" s="22"/>
      <c r="F32" s="22"/>
      <c r="G32" s="22"/>
      <c r="H32" s="22"/>
      <c r="I32" s="22"/>
      <c r="J32" s="22"/>
      <c r="K32" s="22"/>
      <c r="L32" s="6"/>
      <c r="M32" s="6"/>
      <c r="N32" s="6"/>
      <c r="O32" s="6"/>
      <c r="P32" s="6"/>
      <c r="Q32" s="6"/>
      <c r="R32" s="6"/>
      <c r="S32" s="6"/>
      <c r="T32" s="6"/>
      <c r="U32" s="6"/>
      <c r="V32" s="6"/>
      <c r="W32" s="6"/>
      <c r="X32" s="6"/>
      <c r="Y32" s="6"/>
      <c r="Z32" s="6"/>
    </row>
    <row r="33" spans="1:26" ht="15.6">
      <c r="A33" s="6"/>
      <c r="B33" s="22"/>
      <c r="C33" s="22"/>
      <c r="D33" s="22"/>
      <c r="E33" s="22"/>
      <c r="F33" s="22"/>
      <c r="G33" s="22"/>
      <c r="H33" s="22"/>
      <c r="I33" s="22"/>
      <c r="J33" s="22"/>
      <c r="K33" s="22"/>
      <c r="L33" s="6"/>
      <c r="M33" s="6"/>
      <c r="N33" s="6"/>
      <c r="O33" s="6"/>
      <c r="P33" s="6"/>
      <c r="Q33" s="6"/>
      <c r="R33" s="6"/>
      <c r="S33" s="6"/>
      <c r="T33" s="6"/>
      <c r="U33" s="6"/>
      <c r="V33" s="6"/>
      <c r="W33" s="6"/>
      <c r="X33" s="6"/>
      <c r="Y33" s="6"/>
      <c r="Z33" s="6"/>
    </row>
    <row r="34" spans="1:26" ht="15.6">
      <c r="A34" s="6"/>
      <c r="B34" s="22"/>
      <c r="C34" s="22"/>
      <c r="D34" s="22"/>
      <c r="E34" s="22"/>
      <c r="F34" s="22"/>
      <c r="G34" s="22"/>
      <c r="H34" s="22"/>
      <c r="I34" s="22"/>
      <c r="J34" s="22"/>
      <c r="K34" s="22"/>
      <c r="L34" s="6"/>
      <c r="M34" s="6"/>
      <c r="N34" s="6"/>
      <c r="O34" s="6"/>
      <c r="P34" s="6"/>
      <c r="Q34" s="6"/>
      <c r="R34" s="6"/>
      <c r="S34" s="6"/>
      <c r="T34" s="6"/>
      <c r="U34" s="6"/>
      <c r="V34" s="6"/>
      <c r="W34" s="6"/>
      <c r="X34" s="6"/>
      <c r="Y34" s="6"/>
      <c r="Z34" s="6"/>
    </row>
    <row r="35" spans="1:26" ht="15.6">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6">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6">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6">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6">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6">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6">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6">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6">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6">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6">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6">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6">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6">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6">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6">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6">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6">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6">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6">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6">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6">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6">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6">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6">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6">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6">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6">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6">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6">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6">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6">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6">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6">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6">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6">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6">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6">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6">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6">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6">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6">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6">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6">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6">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6">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6">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6">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6">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6">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6">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6">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6">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6">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6">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6">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6">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6">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6">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6">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6">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6">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6">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6">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6">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6">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6">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6">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6">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6">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6">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6">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6">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6">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6">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6">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6">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6">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6">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6">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6">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6">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6">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6">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6">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6">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6">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6">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6">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6">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6">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6">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6">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6">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6">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6">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6">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6">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6">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6">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6">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6">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6">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6">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6">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6">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6">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6">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6">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6">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6">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6">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6">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6">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6">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6">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6">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6">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6">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6">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6">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6">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6">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6">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6">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6">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6">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6">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6">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6">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6">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6">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6">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6">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6">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6">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6">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6">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6">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6">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6">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6">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6">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6">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6">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6">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6">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6">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6">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6">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6">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6">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6">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6">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6">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6">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6">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6">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6">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6">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6">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6">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6">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6">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6">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6">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6">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6">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6">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6">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6">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6">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6">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6">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6">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6">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6">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6">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6">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6">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6">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6">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6">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6">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6">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6">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6">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6">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6">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6">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6">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6">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6">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6">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6">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6">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6">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6">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6">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6">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6">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6">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6">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6">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6">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6">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6">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6">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6">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6">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6">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6">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6">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6">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6">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6">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6">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6">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6">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6">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6">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6">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6">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6">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6">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6">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6">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6">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6">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6">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6">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6">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6">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6">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6">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6">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6">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6">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6">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6">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6">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6">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6">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6">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6">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6">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6">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6">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6">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6">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6">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6">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6">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6">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6">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6">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6">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6">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6">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6">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6">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6">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6">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6">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6">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6">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6">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6">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6">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6">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6">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6">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6">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6">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6">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6">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6">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6">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6">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6">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6">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6">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6">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6">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6">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6">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6">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6">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6">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6">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6">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6">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6">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6">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6">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6">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6">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6">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6">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6">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6">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6">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6">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6">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6">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6">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6">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6">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6">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6">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6">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6">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6">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6">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6">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6">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6">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6">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6">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6">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6">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6">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6">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6">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6">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6">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6">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6">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6">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6">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6">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6">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6">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6">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6">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6">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6">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6">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6">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6">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6">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6">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6">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6">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6">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6">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6">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6">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6">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6">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6">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6">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6">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6">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6">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6">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6">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6">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6">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6">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6">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6">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6">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6">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6">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6">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6">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6">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6">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6">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6">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6">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6">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6">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6">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6">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6">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6">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6">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6">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6">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6">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6">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6">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6">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6">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6">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6">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6">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6">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6">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6">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6">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6">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6">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6">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6">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6">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6">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6">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6">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6">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6">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6">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6">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6">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6">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6">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6">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6">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6">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6">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6">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6">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6">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6">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6">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6">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6">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6">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6">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6">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6">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6">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6">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6">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6">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6">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6">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6">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6">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6">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6">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6">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6">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6">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6">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6">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6">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6">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6">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6">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6">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6">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6">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6">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6">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6">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6">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6">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6">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6">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6">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6">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6">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6">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6">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6">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6">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6">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6">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6">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6">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6">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6">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6">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6">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6">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6">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6">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6">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6">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6">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6">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6">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6">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6">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6">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6">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6">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6">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6">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6">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6">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6">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6">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6">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6">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6">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6">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6">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6">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6">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6">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6">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6">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6">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6">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6">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6">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6">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6">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6">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6">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6">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6">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6">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6">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6">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6">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6">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6">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6">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6">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6">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6">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6">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6">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6">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6">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6">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6">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6">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6">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6">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6">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6">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6">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6">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6">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6">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6">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6">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6">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6">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6">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6">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6">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6">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6">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6">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6">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6">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6">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6">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6">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6">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6">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6">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6">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6">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6">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6">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6">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6">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6">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6">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6">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6">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6">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6">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6">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6">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6">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6">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6">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6">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6">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6">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6">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6">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6">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6">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6">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6">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6">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6">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6">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6">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6">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6">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6">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6">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6">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6">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6">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6">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6">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6">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6">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6">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6">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6">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6">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6">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6">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6">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6">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6">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6">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6">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6">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6">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6">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6">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6">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6">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6">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6">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6">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6">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6">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6">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6">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6">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6">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6">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6">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6">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6">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6">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6">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6">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6">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6">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6">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6">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6">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6">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6">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6">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6">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6">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6">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6">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6">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6">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6">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6">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6">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6">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6">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6">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6">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6">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6">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6">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6">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6">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6">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6">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6">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6">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6">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6">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6">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6">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6">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6">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6">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6">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6">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6">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6">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6">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6">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6">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6">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6">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6">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6">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6">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6">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6">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6">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6">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6">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6">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6">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6">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6">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6">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6">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6">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6">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6">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6">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6">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6">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6">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6">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6">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6">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6">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6">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6">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6">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6">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6">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6">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6">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6">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6">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6">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6">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6">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6">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6">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6">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6">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6">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6">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6">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6">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6">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6">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6">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6">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6">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6">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6">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6">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6">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6">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6">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6">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6">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6">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6">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6">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6">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6">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6">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6">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6">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6">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6">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6">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6">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6">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6">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6">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6">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6">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6">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6">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6">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6">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6">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6">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6">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6">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6">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6">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6">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6">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6">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6">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6">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6">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6">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6">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6">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6">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6">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6">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6">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6">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6">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6">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6">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6">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6">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6">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6">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6">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6">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6">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6">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6">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6">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6">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6">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6">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6">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6">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6">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6">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6">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6">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6">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6">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6">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6">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6">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6">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6">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6">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6">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6">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6">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6">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6">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6">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6">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6">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6">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6">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6">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6">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6">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6">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6">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6">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6">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6">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6">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6">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6">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6">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6">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6">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6">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6">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6">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6">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6">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6">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6">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6">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6">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6">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6">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6">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6">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6">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6">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6">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6">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6">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6">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6">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6">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6">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6">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6">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6">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6">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6">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6">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6">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6">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6">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6">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6">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6">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6">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6">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6">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6">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6">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6">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6">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6">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6">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6">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6">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6">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6">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6">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6">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6">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6">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6">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6">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6">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6">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mergeCells count="3">
    <mergeCell ref="B2:K2"/>
    <mergeCell ref="B12:K12"/>
    <mergeCell ref="B18:K18"/>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99"/>
  <sheetViews>
    <sheetView workbookViewId="0">
      <selection activeCell="G4" sqref="G4:K32"/>
    </sheetView>
  </sheetViews>
  <sheetFormatPr defaultColWidth="11.19921875" defaultRowHeight="15" customHeight="1"/>
  <cols>
    <col min="1" max="1" width="30.09765625" customWidth="1"/>
  </cols>
  <sheetData>
    <row r="1" spans="1:26" ht="17.25" customHeight="1">
      <c r="A1" s="847" t="s">
        <v>428</v>
      </c>
      <c r="B1" s="600" t="s">
        <v>105</v>
      </c>
      <c r="C1" s="601" t="s">
        <v>106</v>
      </c>
      <c r="D1" s="601" t="s">
        <v>107</v>
      </c>
      <c r="E1" s="601" t="s">
        <v>108</v>
      </c>
      <c r="F1" s="601" t="s">
        <v>109</v>
      </c>
      <c r="G1" s="602" t="s">
        <v>64</v>
      </c>
      <c r="H1" s="602" t="s">
        <v>65</v>
      </c>
      <c r="I1" s="602" t="s">
        <v>66</v>
      </c>
      <c r="J1" s="602" t="s">
        <v>67</v>
      </c>
      <c r="K1" s="603" t="s">
        <v>68</v>
      </c>
      <c r="L1" s="15"/>
      <c r="M1" s="6"/>
      <c r="N1" s="6"/>
      <c r="O1" s="6"/>
      <c r="P1" s="6"/>
      <c r="Q1" s="6"/>
      <c r="R1" s="6"/>
      <c r="S1" s="6"/>
      <c r="T1" s="6"/>
      <c r="U1" s="6"/>
      <c r="V1" s="6"/>
      <c r="W1" s="6"/>
      <c r="X1" s="6"/>
      <c r="Y1" s="6"/>
      <c r="Z1" s="6"/>
    </row>
    <row r="2" spans="1:26" ht="22.5" customHeight="1">
      <c r="A2" s="768"/>
      <c r="B2" s="848" t="s">
        <v>70</v>
      </c>
      <c r="C2" s="784"/>
      <c r="D2" s="784"/>
      <c r="E2" s="784"/>
      <c r="F2" s="785"/>
      <c r="G2" s="851" t="s">
        <v>71</v>
      </c>
      <c r="H2" s="784"/>
      <c r="I2" s="784"/>
      <c r="J2" s="784"/>
      <c r="K2" s="852"/>
      <c r="L2" s="15"/>
      <c r="M2" s="6"/>
      <c r="N2" s="6"/>
      <c r="O2" s="6"/>
      <c r="P2" s="6"/>
      <c r="Q2" s="6"/>
      <c r="R2" s="6"/>
      <c r="S2" s="6"/>
      <c r="T2" s="6"/>
      <c r="U2" s="6"/>
      <c r="V2" s="6"/>
      <c r="W2" s="6"/>
      <c r="X2" s="6"/>
      <c r="Y2" s="6"/>
      <c r="Z2" s="6"/>
    </row>
    <row r="3" spans="1:26" ht="16.8">
      <c r="A3" s="604" t="s">
        <v>110</v>
      </c>
      <c r="B3" s="849"/>
      <c r="C3" s="850"/>
      <c r="D3" s="850"/>
      <c r="E3" s="850"/>
      <c r="F3" s="798"/>
      <c r="G3" s="853"/>
      <c r="H3" s="850"/>
      <c r="I3" s="850"/>
      <c r="J3" s="850"/>
      <c r="K3" s="854"/>
      <c r="L3" s="15"/>
      <c r="M3" s="6"/>
      <c r="N3" s="6"/>
      <c r="O3" s="6"/>
      <c r="P3" s="6"/>
      <c r="Q3" s="6"/>
      <c r="R3" s="6"/>
      <c r="S3" s="6"/>
      <c r="T3" s="6"/>
      <c r="U3" s="6"/>
      <c r="V3" s="6"/>
      <c r="W3" s="6"/>
      <c r="X3" s="6"/>
      <c r="Y3" s="6"/>
      <c r="Z3" s="6"/>
    </row>
    <row r="4" spans="1:26" ht="15.6">
      <c r="A4" s="605" t="s">
        <v>111</v>
      </c>
      <c r="B4" s="606">
        <f>BS!B4/BS!B4</f>
        <v>1</v>
      </c>
      <c r="C4" s="542">
        <f>BS!C4/BS!C4</f>
        <v>1</v>
      </c>
      <c r="D4" s="542">
        <f>BS!D4/BS!D4</f>
        <v>1</v>
      </c>
      <c r="E4" s="542">
        <f>BS!E4/BS!E4</f>
        <v>1</v>
      </c>
      <c r="F4" s="607">
        <f>BS!F4/BS!F4</f>
        <v>1</v>
      </c>
      <c r="G4" s="87">
        <f>BS!G4/BS!G4</f>
        <v>1</v>
      </c>
      <c r="H4" s="87">
        <f>BS!H4/BS!H4</f>
        <v>1</v>
      </c>
      <c r="I4" s="87">
        <f>BS!I4/BS!I4</f>
        <v>1</v>
      </c>
      <c r="J4" s="87">
        <f>BS!J4/BS!J4</f>
        <v>1</v>
      </c>
      <c r="K4" s="88">
        <f>BS!K4/BS!K4</f>
        <v>1</v>
      </c>
      <c r="L4" s="15"/>
      <c r="M4" s="6"/>
      <c r="N4" s="6"/>
      <c r="O4" s="6"/>
      <c r="P4" s="6"/>
      <c r="Q4" s="6"/>
      <c r="R4" s="6"/>
      <c r="S4" s="6"/>
      <c r="T4" s="6"/>
      <c r="U4" s="6"/>
      <c r="V4" s="6"/>
      <c r="W4" s="6"/>
      <c r="X4" s="6"/>
      <c r="Y4" s="6"/>
      <c r="Z4" s="6"/>
    </row>
    <row r="5" spans="1:26" ht="15.6">
      <c r="A5" s="608" t="s">
        <v>112</v>
      </c>
      <c r="B5" s="606">
        <f>BS!B5/BS!B$4</f>
        <v>4.3822903911838629E-2</v>
      </c>
      <c r="C5" s="542">
        <f>BS!C5/BS!C$4</f>
        <v>0.13445074158929218</v>
      </c>
      <c r="D5" s="542">
        <f>BS!D5/BS!D$4</f>
        <v>0.13975141035637295</v>
      </c>
      <c r="E5" s="542">
        <f>BS!E5/BS!E$4</f>
        <v>1.5584338774544595E-2</v>
      </c>
      <c r="F5" s="607">
        <f>BS!F5/BS!F$4</f>
        <v>1.7419047741570288E-2</v>
      </c>
      <c r="G5" s="87">
        <f>BS!G5/BS!G$4</f>
        <v>3.9003342281437953E-2</v>
      </c>
      <c r="H5" s="87">
        <f>BS!H5/BS!H$4</f>
        <v>1.9735377758917831E-3</v>
      </c>
      <c r="I5" s="87">
        <f>BS!I5/BS!I$4</f>
        <v>2.5534149071467223E-3</v>
      </c>
      <c r="J5" s="87">
        <f>BS!J5/BS!J$4</f>
        <v>8.7396920330596508E-3</v>
      </c>
      <c r="K5" s="88">
        <f>BS!K5/BS!K$4</f>
        <v>2.1413512202952255E-2</v>
      </c>
      <c r="L5" s="15"/>
      <c r="M5" s="6"/>
      <c r="N5" s="6"/>
      <c r="O5" s="6"/>
      <c r="P5" s="6"/>
      <c r="Q5" s="6"/>
      <c r="R5" s="6"/>
      <c r="S5" s="6"/>
      <c r="T5" s="6"/>
      <c r="U5" s="6"/>
      <c r="V5" s="6"/>
      <c r="W5" s="6"/>
      <c r="X5" s="6"/>
      <c r="Y5" s="6"/>
      <c r="Z5" s="6"/>
    </row>
    <row r="6" spans="1:26" ht="15.6">
      <c r="A6" s="608" t="s">
        <v>113</v>
      </c>
      <c r="B6" s="606">
        <f>BS!B6/BS!B$4</f>
        <v>0</v>
      </c>
      <c r="C6" s="542">
        <f>BS!C6/BS!C$4</f>
        <v>4.943928614494152E-3</v>
      </c>
      <c r="D6" s="542">
        <f>BS!D6/BS!D$4</f>
        <v>5.7790212356097777E-2</v>
      </c>
      <c r="E6" s="542">
        <f>BS!E6/BS!E$4</f>
        <v>1.7743080198722499E-3</v>
      </c>
      <c r="F6" s="607">
        <f>BS!F6/BS!F$4</f>
        <v>0</v>
      </c>
      <c r="G6" s="87">
        <f>BS!G6/BS!G$4</f>
        <v>0</v>
      </c>
      <c r="H6" s="87">
        <f>BS!H6/BS!H$4</f>
        <v>0</v>
      </c>
      <c r="I6" s="87">
        <f>BS!I6/BS!I$4</f>
        <v>0</v>
      </c>
      <c r="J6" s="87">
        <f>BS!J6/BS!J$4</f>
        <v>0</v>
      </c>
      <c r="K6" s="88">
        <f>BS!K6/BS!K$4</f>
        <v>0</v>
      </c>
      <c r="L6" s="15"/>
      <c r="M6" s="6"/>
      <c r="N6" s="6"/>
      <c r="O6" s="6"/>
      <c r="P6" s="6"/>
      <c r="Q6" s="6"/>
      <c r="R6" s="6"/>
      <c r="S6" s="6"/>
      <c r="T6" s="6"/>
      <c r="U6" s="6"/>
      <c r="V6" s="6"/>
      <c r="W6" s="6"/>
      <c r="X6" s="6"/>
      <c r="Y6" s="6"/>
      <c r="Z6" s="6"/>
    </row>
    <row r="7" spans="1:26" ht="15.6">
      <c r="A7" s="608" t="s">
        <v>114</v>
      </c>
      <c r="B7" s="606">
        <f>BS!B7/BS!B$4</f>
        <v>0.16562479860797835</v>
      </c>
      <c r="C7" s="542">
        <f>BS!C7/BS!C$4</f>
        <v>0.13710358133365491</v>
      </c>
      <c r="D7" s="542">
        <f>BS!D7/BS!D$4</f>
        <v>5.6299591799293669E-2</v>
      </c>
      <c r="E7" s="542">
        <f>BS!E7/BS!E$4</f>
        <v>0.10175656493967354</v>
      </c>
      <c r="F7" s="607">
        <f>BS!F7/BS!F$4</f>
        <v>0.18452097618710681</v>
      </c>
      <c r="G7" s="87">
        <f>BS!G7/BS!G$4</f>
        <v>5.9768273217218296E-2</v>
      </c>
      <c r="H7" s="87">
        <f>BS!H7/BS!H$4</f>
        <v>0.10480189343798912</v>
      </c>
      <c r="I7" s="87">
        <f>BS!I7/BS!I$4</f>
        <v>0.10174088639878967</v>
      </c>
      <c r="J7" s="87">
        <f>BS!J7/BS!J$4</f>
        <v>9.4859857401877606E-2</v>
      </c>
      <c r="K7" s="88">
        <f>BS!K7/BS!K$4</f>
        <v>9.0474633959002251E-2</v>
      </c>
      <c r="L7" s="15"/>
      <c r="M7" s="6"/>
      <c r="N7" s="6"/>
      <c r="O7" s="6"/>
      <c r="P7" s="6"/>
      <c r="Q7" s="6"/>
      <c r="R7" s="6"/>
      <c r="S7" s="6"/>
      <c r="T7" s="6"/>
      <c r="U7" s="6"/>
      <c r="V7" s="6"/>
      <c r="W7" s="6"/>
      <c r="X7" s="6"/>
      <c r="Y7" s="6"/>
      <c r="Z7" s="6"/>
    </row>
    <row r="8" spans="1:26" ht="15.6">
      <c r="A8" s="608" t="s">
        <v>115</v>
      </c>
      <c r="B8" s="606">
        <f>BS!B8/BS!B$4</f>
        <v>1.044016240252626E-2</v>
      </c>
      <c r="C8" s="542">
        <f>BS!C8/BS!C$4</f>
        <v>1.5796454841432533E-2</v>
      </c>
      <c r="D8" s="542">
        <f>BS!D8/BS!D$4</f>
        <v>5.6643581158556154E-3</v>
      </c>
      <c r="E8" s="542">
        <f>BS!E8/BS!E$4</f>
        <v>4.6472084220487347E-2</v>
      </c>
      <c r="F8" s="607">
        <f>BS!F8/BS!F$4</f>
        <v>1.9554617848734739E-2</v>
      </c>
      <c r="G8" s="87">
        <f>BS!G8/BS!G$4</f>
        <v>1.4458996944632522E-2</v>
      </c>
      <c r="H8" s="87">
        <f>BS!H8/BS!H$4</f>
        <v>2.1955829284798615E-2</v>
      </c>
      <c r="I8" s="87">
        <f>BS!I8/BS!I$4</f>
        <v>2.5617490199020779E-2</v>
      </c>
      <c r="J8" s="87">
        <f>BS!J8/BS!J$4</f>
        <v>2.9878974135799794E-2</v>
      </c>
      <c r="K8" s="88">
        <f>BS!K8/BS!K$4</f>
        <v>3.1389100506914278E-2</v>
      </c>
      <c r="L8" s="15"/>
      <c r="M8" s="6"/>
      <c r="N8" s="6"/>
      <c r="O8" s="6"/>
      <c r="P8" s="6"/>
      <c r="Q8" s="6"/>
      <c r="R8" s="6"/>
      <c r="S8" s="6"/>
      <c r="T8" s="6"/>
      <c r="U8" s="6"/>
      <c r="V8" s="6"/>
      <c r="W8" s="6"/>
      <c r="X8" s="6"/>
      <c r="Y8" s="6"/>
      <c r="Z8" s="6"/>
    </row>
    <row r="9" spans="1:26" ht="15.6">
      <c r="A9" s="608" t="s">
        <v>116</v>
      </c>
      <c r="B9" s="606">
        <f>BS!B9/BS!B$4</f>
        <v>4.5111812850422113E-4</v>
      </c>
      <c r="C9" s="542">
        <f>BS!C9/BS!C$4</f>
        <v>6.6320993609067893E-4</v>
      </c>
      <c r="D9" s="542">
        <f>BS!D9/BS!D$4</f>
        <v>2.2519836719717468E-2</v>
      </c>
      <c r="E9" s="542">
        <f>BS!E9/BS!E$4</f>
        <v>1.0424059616749469E-2</v>
      </c>
      <c r="F9" s="607">
        <f>BS!F9/BS!F$4</f>
        <v>7.4101709742573742E-3</v>
      </c>
      <c r="G9" s="87">
        <f>BS!G9/BS!G$4</f>
        <v>4.7103570642744166E-3</v>
      </c>
      <c r="H9" s="87">
        <f>BS!H9/BS!H$4</f>
        <v>3.6625163807451804E-3</v>
      </c>
      <c r="I9" s="87">
        <f>BS!I9/BS!I$4</f>
        <v>3.7036893866595256E-3</v>
      </c>
      <c r="J9" s="87">
        <f>BS!J9/BS!J$4</f>
        <v>3.9623066307625399E-3</v>
      </c>
      <c r="K9" s="88">
        <f>BS!K9/BS!K$4</f>
        <v>4.0707351630650283E-3</v>
      </c>
      <c r="L9" s="15"/>
      <c r="M9" s="6"/>
      <c r="N9" s="6"/>
      <c r="O9" s="6"/>
      <c r="P9" s="6"/>
      <c r="Q9" s="6"/>
      <c r="R9" s="6"/>
      <c r="S9" s="6"/>
      <c r="T9" s="6"/>
      <c r="U9" s="6"/>
      <c r="V9" s="6"/>
      <c r="W9" s="6"/>
      <c r="X9" s="6"/>
      <c r="Y9" s="6"/>
      <c r="Z9" s="6"/>
    </row>
    <row r="10" spans="1:26" ht="15.6">
      <c r="A10" s="608" t="s">
        <v>117</v>
      </c>
      <c r="B10" s="606">
        <f>BS!B10/BS!B$4</f>
        <v>0.74995166591480311</v>
      </c>
      <c r="C10" s="542">
        <f>BS!C10/BS!C$4</f>
        <v>0.66767153020619807</v>
      </c>
      <c r="D10" s="542">
        <f>BS!D10/BS!D$4</f>
        <v>0.65844149887630132</v>
      </c>
      <c r="E10" s="542">
        <f>BS!E10/BS!E$4</f>
        <v>0.77473681097705227</v>
      </c>
      <c r="F10" s="607">
        <f>BS!F10/BS!F$4</f>
        <v>0.68572384248240725</v>
      </c>
      <c r="G10" s="87">
        <f>BS!G10/BS!G$4</f>
        <v>0.63139911538962734</v>
      </c>
      <c r="H10" s="87">
        <f>BS!H10/BS!H$4</f>
        <v>0.80692355761271861</v>
      </c>
      <c r="I10" s="87">
        <f>BS!I10/BS!I$4</f>
        <v>0.77429038594859734</v>
      </c>
      <c r="J10" s="87">
        <f>BS!J10/BS!J$4</f>
        <v>0.73782321599731227</v>
      </c>
      <c r="K10" s="88">
        <f>BS!K10/BS!K$4</f>
        <v>0.72125743333133596</v>
      </c>
      <c r="L10" s="15"/>
      <c r="M10" s="6"/>
      <c r="N10" s="6"/>
      <c r="O10" s="6"/>
      <c r="P10" s="6"/>
      <c r="Q10" s="6"/>
      <c r="R10" s="6"/>
      <c r="S10" s="6"/>
      <c r="T10" s="6"/>
      <c r="U10" s="6"/>
      <c r="V10" s="6"/>
      <c r="W10" s="6"/>
      <c r="X10" s="6"/>
      <c r="Y10" s="6"/>
      <c r="Z10" s="6"/>
    </row>
    <row r="11" spans="1:26" ht="15.6">
      <c r="A11" s="608" t="s">
        <v>118</v>
      </c>
      <c r="B11" s="606">
        <f>BS!B11/BS!B$4</f>
        <v>0</v>
      </c>
      <c r="C11" s="542">
        <f>BS!C11/BS!C$4</f>
        <v>0</v>
      </c>
      <c r="D11" s="542">
        <f>BS!D11/BS!D$4</f>
        <v>0</v>
      </c>
      <c r="E11" s="542">
        <f>BS!E11/BS!E$4</f>
        <v>0</v>
      </c>
      <c r="F11" s="607">
        <f>BS!F11/BS!F$4</f>
        <v>3.5764366854922746E-3</v>
      </c>
      <c r="G11" s="87">
        <f>BS!G11/BS!G$4</f>
        <v>1.7359424620436872E-3</v>
      </c>
      <c r="H11" s="87">
        <f>BS!H11/BS!H$4</f>
        <v>1.5007559752087197E-3</v>
      </c>
      <c r="I11" s="87">
        <f>BS!I11/BS!I$4</f>
        <v>1.5376897248888988E-3</v>
      </c>
      <c r="J11" s="87">
        <f>BS!J11/BS!J$4</f>
        <v>1.5718275793022143E-3</v>
      </c>
      <c r="K11" s="88">
        <f>BS!K11/BS!K$4</f>
        <v>1.6570422295543669E-3</v>
      </c>
      <c r="L11" s="15"/>
      <c r="M11" s="6"/>
      <c r="N11" s="6"/>
      <c r="O11" s="6"/>
      <c r="P11" s="6"/>
      <c r="Q11" s="6"/>
      <c r="R11" s="6"/>
      <c r="S11" s="6"/>
      <c r="T11" s="6"/>
      <c r="U11" s="6"/>
      <c r="V11" s="6"/>
      <c r="W11" s="6"/>
      <c r="X11" s="6"/>
      <c r="Y11" s="6"/>
      <c r="Z11" s="6"/>
    </row>
    <row r="12" spans="1:26" ht="15.6">
      <c r="A12" s="117" t="s">
        <v>119</v>
      </c>
      <c r="B12" s="606">
        <f>BS!B12/BS!B$4</f>
        <v>3.608945028033769E-3</v>
      </c>
      <c r="C12" s="542">
        <f>BS!C12/BS!C$4</f>
        <v>3.9792596165440734E-3</v>
      </c>
      <c r="D12" s="542">
        <f>BS!D12/BS!D$4</f>
        <v>1.4676879328532771E-3</v>
      </c>
      <c r="E12" s="542">
        <f>BS!E12/BS!E$4</f>
        <v>2.8388928317955998E-3</v>
      </c>
      <c r="F12" s="607">
        <f>BS!F12/BS!F$4</f>
        <v>2.1484349873280928E-3</v>
      </c>
      <c r="G12" s="87">
        <f>BS!G12/BS!G$4</f>
        <v>4.7813545611764227E-4</v>
      </c>
      <c r="H12" s="87">
        <f>BS!H12/BS!H$4</f>
        <v>5.4445844373754969E-4</v>
      </c>
      <c r="I12" s="87">
        <f>BS!I12/BS!I$4</f>
        <v>6.0712578689979188E-4</v>
      </c>
      <c r="J12" s="87">
        <f>BS!J12/BS!J$4</f>
        <v>6.8596426920781149E-4</v>
      </c>
      <c r="K12" s="88">
        <f>BS!K12/BS!K$4</f>
        <v>6.1938154024552281E-4</v>
      </c>
      <c r="L12" s="15"/>
      <c r="M12" s="6"/>
      <c r="N12" s="6"/>
      <c r="O12" s="6"/>
      <c r="P12" s="6"/>
      <c r="Q12" s="6"/>
      <c r="R12" s="6"/>
      <c r="S12" s="6"/>
      <c r="T12" s="6"/>
      <c r="U12" s="6"/>
      <c r="V12" s="6"/>
      <c r="W12" s="6"/>
      <c r="X12" s="6"/>
      <c r="Y12" s="6"/>
      <c r="Z12" s="6"/>
    </row>
    <row r="13" spans="1:26" ht="15.6">
      <c r="A13" s="608" t="s">
        <v>120</v>
      </c>
      <c r="B13" s="606">
        <f>BS!B13/BS!B$4</f>
        <v>3.608945028033769E-3</v>
      </c>
      <c r="C13" s="542">
        <f>BS!C13/BS!C$4</f>
        <v>1.0852526226938383E-2</v>
      </c>
      <c r="D13" s="542">
        <f>BS!D13/BS!D$4</f>
        <v>4.9488602485896434E-2</v>
      </c>
      <c r="E13" s="542">
        <f>BS!E13/BS!E$4</f>
        <v>3.8857345635202274E-2</v>
      </c>
      <c r="F13" s="607">
        <f>BS!F13/BS!F$4</f>
        <v>6.9650461205953862E-2</v>
      </c>
      <c r="G13" s="87">
        <f>BS!G13/BS!G$4</f>
        <v>0.23977861366912062</v>
      </c>
      <c r="H13" s="87">
        <f>BS!H13/BS!H$4</f>
        <v>5.1144468018443905E-2</v>
      </c>
      <c r="I13" s="87">
        <f>BS!I13/BS!I$4</f>
        <v>8.2271931539559265E-2</v>
      </c>
      <c r="J13" s="87">
        <f>BS!J13/BS!J$4</f>
        <v>0.1146303321682485</v>
      </c>
      <c r="K13" s="88">
        <f>BS!K13/BS!K$4</f>
        <v>0.1208448710862778</v>
      </c>
      <c r="L13" s="15"/>
      <c r="M13" s="6"/>
      <c r="N13" s="6"/>
      <c r="O13" s="6"/>
      <c r="P13" s="6"/>
      <c r="Q13" s="6"/>
      <c r="R13" s="6"/>
      <c r="S13" s="6"/>
      <c r="T13" s="6"/>
      <c r="U13" s="6"/>
      <c r="V13" s="6"/>
      <c r="W13" s="6"/>
      <c r="X13" s="6"/>
      <c r="Y13" s="6"/>
      <c r="Z13" s="6"/>
    </row>
    <row r="14" spans="1:26" ht="15.6">
      <c r="A14" s="608" t="s">
        <v>121</v>
      </c>
      <c r="B14" s="606">
        <f>BS!B14/BS!B$4</f>
        <v>1.288908938583489E-4</v>
      </c>
      <c r="C14" s="542">
        <f>BS!C14/BS!C$4</f>
        <v>0</v>
      </c>
      <c r="D14" s="542">
        <f>BS!D14/BS!D$4</f>
        <v>0</v>
      </c>
      <c r="E14" s="542">
        <f>BS!E14/BS!E$4</f>
        <v>3.8443340430565417E-4</v>
      </c>
      <c r="F14" s="607">
        <f>BS!F14/BS!F$4</f>
        <v>0</v>
      </c>
      <c r="G14" s="87">
        <f>BS!G14/BS!G$4</f>
        <v>5.4326256905683733E-3</v>
      </c>
      <c r="H14" s="87">
        <f>BS!H14/BS!H$4</f>
        <v>4.6966104260128998E-3</v>
      </c>
      <c r="I14" s="87">
        <f>BS!I14/BS!I$4</f>
        <v>4.8121944627818056E-3</v>
      </c>
      <c r="J14" s="87">
        <f>BS!J14/BS!J$4</f>
        <v>4.9190287553702383E-3</v>
      </c>
      <c r="K14" s="88">
        <f>BS!K14/BS!K$4</f>
        <v>5.1857076968068313E-3</v>
      </c>
      <c r="L14" s="15"/>
      <c r="M14" s="6"/>
      <c r="N14" s="6"/>
      <c r="O14" s="6"/>
      <c r="P14" s="6"/>
      <c r="Q14" s="6"/>
      <c r="R14" s="6"/>
      <c r="S14" s="6"/>
      <c r="T14" s="6"/>
      <c r="U14" s="6"/>
      <c r="V14" s="6"/>
      <c r="W14" s="6"/>
      <c r="X14" s="6"/>
      <c r="Y14" s="6"/>
      <c r="Z14" s="6"/>
    </row>
    <row r="15" spans="1:26" ht="15.6">
      <c r="A15" s="608" t="s">
        <v>122</v>
      </c>
      <c r="B15" s="606">
        <f>BS!B15/BS!B$4</f>
        <v>2.1911451955919314E-2</v>
      </c>
      <c r="C15" s="542">
        <f>BS!C15/BS!C$4</f>
        <v>1.7966960086820211E-2</v>
      </c>
      <c r="D15" s="542">
        <f>BS!D15/BS!D$4</f>
        <v>8.3704077420538453E-3</v>
      </c>
      <c r="E15" s="542">
        <f>BS!E15/BS!E$4</f>
        <v>7.0824461793233973E-3</v>
      </c>
      <c r="F15" s="607">
        <f>BS!F15/BS!F$4</f>
        <v>6.6640079247661799E-3</v>
      </c>
      <c r="G15" s="87">
        <f>BS!G15/BS!G$4</f>
        <v>3.2345978249591002E-3</v>
      </c>
      <c r="H15" s="87">
        <f>BS!H15/BS!H$4</f>
        <v>2.7963726444536572E-3</v>
      </c>
      <c r="I15" s="87">
        <f>BS!I15/BS!I$4</f>
        <v>2.8651916456562932E-3</v>
      </c>
      <c r="J15" s="87">
        <f>BS!J15/BS!J$4</f>
        <v>2.9288010290595213E-3</v>
      </c>
      <c r="K15" s="88">
        <f>BS!K15/BS!K$4</f>
        <v>3.0875822838459066E-3</v>
      </c>
      <c r="L15" s="15"/>
      <c r="M15" s="6"/>
      <c r="N15" s="6"/>
      <c r="O15" s="6"/>
      <c r="P15" s="6"/>
      <c r="Q15" s="6"/>
      <c r="R15" s="6"/>
      <c r="S15" s="6"/>
      <c r="T15" s="6"/>
      <c r="U15" s="6"/>
      <c r="V15" s="6"/>
      <c r="W15" s="6"/>
      <c r="X15" s="6"/>
      <c r="Y15" s="6"/>
      <c r="Z15" s="6"/>
    </row>
    <row r="16" spans="1:26" ht="15.6">
      <c r="A16" s="294"/>
      <c r="B16" s="606"/>
      <c r="C16" s="542"/>
      <c r="D16" s="542"/>
      <c r="E16" s="542"/>
      <c r="F16" s="607"/>
      <c r="G16" s="87"/>
      <c r="H16" s="87"/>
      <c r="I16" s="87"/>
      <c r="J16" s="87"/>
      <c r="K16" s="88"/>
      <c r="L16" s="15"/>
      <c r="M16" s="6"/>
      <c r="N16" s="6"/>
      <c r="O16" s="6"/>
      <c r="P16" s="6"/>
      <c r="Q16" s="6"/>
      <c r="R16" s="6"/>
      <c r="S16" s="6"/>
      <c r="T16" s="6"/>
      <c r="U16" s="6"/>
      <c r="V16" s="6"/>
      <c r="W16" s="6"/>
      <c r="X16" s="6"/>
      <c r="Y16" s="6"/>
      <c r="Z16" s="6"/>
    </row>
    <row r="17" spans="1:26" ht="15.6">
      <c r="A17" s="60" t="s">
        <v>123</v>
      </c>
      <c r="B17" s="606">
        <f>BS!B17/BS!B$4</f>
        <v>0.25842624218598953</v>
      </c>
      <c r="C17" s="542">
        <f>BS!C17/BS!C$4</f>
        <v>0.20535391293862296</v>
      </c>
      <c r="D17" s="542">
        <f>BS!D17/BS!D$4</f>
        <v>0.44778241526395446</v>
      </c>
      <c r="E17" s="542">
        <f>BS!E17/BS!E$4</f>
        <v>0.61858291932812881</v>
      </c>
      <c r="F17" s="607">
        <f>BS!F17/BS!F$4</f>
        <v>0.5538588208050842</v>
      </c>
      <c r="G17" s="87">
        <f>BS!G17/BS!G$4</f>
        <v>0.74149647086416881</v>
      </c>
      <c r="H17" s="87">
        <f>BS!H17/BS!H$4</f>
        <v>0.75076432118218472</v>
      </c>
      <c r="I17" s="87">
        <f>BS!I17/BS!I$4</f>
        <v>0.71008760798709591</v>
      </c>
      <c r="J17" s="87">
        <f>BS!J17/BS!J$4</f>
        <v>0.67314651045095875</v>
      </c>
      <c r="K17" s="88">
        <f>BS!K17/BS!K$4</f>
        <v>0.62207965329040193</v>
      </c>
      <c r="L17" s="15"/>
      <c r="M17" s="6"/>
      <c r="N17" s="6"/>
      <c r="O17" s="6"/>
      <c r="P17" s="6"/>
      <c r="Q17" s="6"/>
      <c r="R17" s="6"/>
      <c r="S17" s="6"/>
      <c r="T17" s="6"/>
      <c r="U17" s="6"/>
      <c r="V17" s="6"/>
      <c r="W17" s="6"/>
      <c r="X17" s="6"/>
      <c r="Y17" s="6"/>
      <c r="Z17" s="6"/>
    </row>
    <row r="18" spans="1:26" ht="15.6">
      <c r="A18" s="608" t="s">
        <v>124</v>
      </c>
      <c r="B18" s="606">
        <f>BS!B18/BS!B$4</f>
        <v>5.793645678932783E-2</v>
      </c>
      <c r="C18" s="542">
        <f>BS!C18/BS!C$4</f>
        <v>5.8784517062582906E-2</v>
      </c>
      <c r="D18" s="542">
        <f>BS!D18/BS!D$4</f>
        <v>9.6729807824611297E-2</v>
      </c>
      <c r="E18" s="542">
        <f>BS!E18/BS!E$4</f>
        <v>4.181452566832268E-2</v>
      </c>
      <c r="F18" s="607">
        <f>BS!F18/BS!F$4</f>
        <v>6.4350130578533643E-2</v>
      </c>
      <c r="G18" s="87">
        <f>BS!G18/BS!G$4</f>
        <v>0.15610993363702222</v>
      </c>
      <c r="H18" s="87">
        <f>BS!H18/BS!H$4</f>
        <v>0.15116648554613901</v>
      </c>
      <c r="I18" s="87">
        <f>BS!I18/BS!I$4</f>
        <v>0.12563757040990747</v>
      </c>
      <c r="J18" s="87">
        <f>BS!J18/BS!J$4</f>
        <v>0.10408575127905503</v>
      </c>
      <c r="K18" s="88">
        <f>BS!K18/BS!K$4</f>
        <v>8.8972258044865749E-2</v>
      </c>
      <c r="L18" s="15"/>
      <c r="M18" s="6"/>
      <c r="N18" s="6"/>
      <c r="O18" s="6"/>
      <c r="P18" s="6"/>
      <c r="Q18" s="6"/>
      <c r="R18" s="6"/>
      <c r="S18" s="6"/>
      <c r="T18" s="6"/>
      <c r="U18" s="6"/>
      <c r="V18" s="6"/>
      <c r="W18" s="6"/>
      <c r="X18" s="6"/>
      <c r="Y18" s="6"/>
      <c r="Z18" s="6"/>
    </row>
    <row r="19" spans="1:26" ht="15.6">
      <c r="A19" s="608" t="s">
        <v>125</v>
      </c>
      <c r="B19" s="606">
        <f>BS!B19/BS!B$4</f>
        <v>2.9129342011986855E-2</v>
      </c>
      <c r="C19" s="542">
        <f>BS!C19/BS!C$4</f>
        <v>3.5572169299409144E-3</v>
      </c>
      <c r="D19" s="542">
        <f>BS!D19/BS!D$4</f>
        <v>2.440031188368573E-2</v>
      </c>
      <c r="E19" s="542">
        <f>BS!E19/BS!E$4</f>
        <v>8.1854743316773129E-2</v>
      </c>
      <c r="F19" s="607">
        <f>BS!F19/BS!F$4</f>
        <v>7.7305064903320425E-2</v>
      </c>
      <c r="G19" s="87">
        <f>BS!G19/BS!G$4</f>
        <v>4.1274842013894128E-2</v>
      </c>
      <c r="H19" s="87">
        <f>BS!H19/BS!H$4</f>
        <v>3.9251192851026365E-2</v>
      </c>
      <c r="I19" s="87">
        <f>BS!I19/BS!I$4</f>
        <v>4.4238885353155358E-2</v>
      </c>
      <c r="J19" s="87">
        <f>BS!J19/BS!J$4</f>
        <v>4.9743123625783953E-2</v>
      </c>
      <c r="K19" s="88">
        <f>BS!K19/BS!K$4</f>
        <v>5.7683872785783082E-2</v>
      </c>
      <c r="L19" s="15"/>
      <c r="M19" s="6"/>
      <c r="N19" s="6"/>
      <c r="O19" s="6"/>
      <c r="P19" s="6"/>
      <c r="Q19" s="6"/>
      <c r="R19" s="6"/>
      <c r="S19" s="6"/>
      <c r="T19" s="6"/>
      <c r="U19" s="6"/>
      <c r="V19" s="6"/>
      <c r="W19" s="6"/>
      <c r="X19" s="6"/>
      <c r="Y19" s="6"/>
      <c r="Z19" s="6"/>
    </row>
    <row r="20" spans="1:26" ht="15.6">
      <c r="A20" s="608" t="s">
        <v>126</v>
      </c>
      <c r="B20" s="606">
        <f>BS!B20/BS!B$4</f>
        <v>3.2222723464587225E-4</v>
      </c>
      <c r="C20" s="542">
        <f>BS!C20/BS!C$4</f>
        <v>2.3513806825033162E-3</v>
      </c>
      <c r="D20" s="542">
        <f>BS!D20/BS!D$4</f>
        <v>8.2557446222996831E-4</v>
      </c>
      <c r="E20" s="542">
        <f>BS!E20/BS!E$4</f>
        <v>5.1750650579607293E-4</v>
      </c>
      <c r="F20" s="607">
        <f>BS!F20/BS!F$4</f>
        <v>4.1167616523652084E-4</v>
      </c>
      <c r="G20" s="87">
        <f>BS!G20/BS!G$4</f>
        <v>1.9982071505538846E-4</v>
      </c>
      <c r="H20" s="87">
        <f>BS!H20/BS!H$4</f>
        <v>1.7274888923265839E-4</v>
      </c>
      <c r="I20" s="87">
        <f>BS!I20/BS!I$4</f>
        <v>1.770002561023193E-4</v>
      </c>
      <c r="J20" s="87">
        <f>BS!J20/BS!J$4</f>
        <v>1.8092979330097431E-4</v>
      </c>
      <c r="K20" s="88">
        <f>BS!K20/BS!K$4</f>
        <v>1.9073867390553863E-4</v>
      </c>
      <c r="L20" s="15"/>
      <c r="M20" s="6"/>
      <c r="N20" s="6"/>
      <c r="O20" s="6"/>
      <c r="P20" s="6"/>
      <c r="Q20" s="6"/>
      <c r="R20" s="6"/>
      <c r="S20" s="6"/>
      <c r="T20" s="6"/>
      <c r="U20" s="6"/>
      <c r="V20" s="6"/>
      <c r="W20" s="6"/>
      <c r="X20" s="6"/>
      <c r="Y20" s="6"/>
      <c r="Z20" s="6"/>
    </row>
    <row r="21" spans="1:26" ht="15.6">
      <c r="A21" s="608" t="s">
        <v>127</v>
      </c>
      <c r="B21" s="606">
        <f>BS!B21/BS!B$4</f>
        <v>0.17045820712766643</v>
      </c>
      <c r="C21" s="542">
        <f>BS!C21/BS!C$4</f>
        <v>0.1401181719522489</v>
      </c>
      <c r="D21" s="542">
        <f>BS!D21/BS!D$4</f>
        <v>0.32571205797367331</v>
      </c>
      <c r="E21" s="542">
        <f>BS!E21/BS!E$4</f>
        <v>0.4943074284362432</v>
      </c>
      <c r="F21" s="607">
        <f>BS!F21/BS!F$4</f>
        <v>0.41175335451750261</v>
      </c>
      <c r="G21" s="87">
        <f>BS!G21/BS!G$4</f>
        <v>0.54153369576917076</v>
      </c>
      <c r="H21" s="87">
        <f>BS!H21/BS!H$4</f>
        <v>0.55801673262951468</v>
      </c>
      <c r="I21" s="87">
        <f>BS!I21/BS!I$4</f>
        <v>0.53771504967100681</v>
      </c>
      <c r="J21" s="87">
        <f>BS!J21/BS!J$4</f>
        <v>0.51664928447404446</v>
      </c>
      <c r="K21" s="88">
        <f>BS!K21/BS!K$4</f>
        <v>0.47248118458962146</v>
      </c>
      <c r="L21" s="15"/>
      <c r="M21" s="6"/>
      <c r="N21" s="6"/>
      <c r="O21" s="6"/>
      <c r="P21" s="6"/>
      <c r="Q21" s="6"/>
      <c r="R21" s="6"/>
      <c r="S21" s="6"/>
      <c r="T21" s="6"/>
      <c r="U21" s="6"/>
      <c r="V21" s="6"/>
      <c r="W21" s="6"/>
      <c r="X21" s="6"/>
      <c r="Y21" s="6"/>
      <c r="Z21" s="6"/>
    </row>
    <row r="22" spans="1:26" ht="15.6">
      <c r="A22" s="608" t="s">
        <v>128</v>
      </c>
      <c r="B22" s="606">
        <f>BS!B22/BS!B$4</f>
        <v>8.7645807823677254E-3</v>
      </c>
      <c r="C22" s="542">
        <f>BS!C22/BS!C$4</f>
        <v>1.0430483540335224E-2</v>
      </c>
      <c r="D22" s="542">
        <f>BS!D22/BS!D$4</f>
        <v>4.7699857817731506E-3</v>
      </c>
      <c r="E22" s="542">
        <f>BS!E22/BS!E$4</f>
        <v>4.6723444523302585E-3</v>
      </c>
      <c r="F22" s="607">
        <f>BS!F22/BS!F$4</f>
        <v>4.5927622184199351E-3</v>
      </c>
      <c r="G22" s="87">
        <f>BS!G22/BS!G$4</f>
        <v>2.3407123449535115E-3</v>
      </c>
      <c r="H22" s="87">
        <f>BS!H22/BS!H$4</f>
        <v>2.1247708495407847E-3</v>
      </c>
      <c r="I22" s="87">
        <f>BS!I22/BS!I$4</f>
        <v>2.2859147489046787E-3</v>
      </c>
      <c r="J22" s="87">
        <f>BS!J22/BS!J$4</f>
        <v>2.4534969425303015E-3</v>
      </c>
      <c r="K22" s="88">
        <f>BS!K22/BS!K$4</f>
        <v>2.7158356948686867E-3</v>
      </c>
      <c r="L22" s="15"/>
      <c r="M22" s="6"/>
      <c r="N22" s="6"/>
      <c r="O22" s="6"/>
      <c r="P22" s="6"/>
      <c r="Q22" s="6"/>
      <c r="R22" s="6"/>
      <c r="S22" s="6"/>
      <c r="T22" s="6"/>
      <c r="U22" s="6"/>
      <c r="V22" s="6"/>
      <c r="W22" s="6"/>
      <c r="X22" s="6"/>
      <c r="Y22" s="6"/>
      <c r="Z22" s="6"/>
    </row>
    <row r="23" spans="1:26" ht="15.6">
      <c r="A23" s="608" t="s">
        <v>129</v>
      </c>
      <c r="B23" s="606">
        <f>BS!B23/BS!B$4</f>
        <v>5.8000902236257006E-4</v>
      </c>
      <c r="C23" s="542">
        <f>BS!C23/BS!C$4</f>
        <v>5.426263113469191E-4</v>
      </c>
      <c r="D23" s="542">
        <f>BS!D23/BS!D$4</f>
        <v>1.3759574370499471E-4</v>
      </c>
      <c r="E23" s="542">
        <f>BS!E23/BS!E$4</f>
        <v>8.8715400993612495E-5</v>
      </c>
      <c r="F23" s="607">
        <f>BS!F23/BS!F$4</f>
        <v>3.8594640490923824E-5</v>
      </c>
      <c r="G23" s="87">
        <f>BS!G23/BS!G$4</f>
        <v>3.7466384072885329E-5</v>
      </c>
      <c r="H23" s="87">
        <f>BS!H23/BS!H$4</f>
        <v>3.2390416731123445E-5</v>
      </c>
      <c r="I23" s="87">
        <f>BS!I23/BS!I$4</f>
        <v>3.3187548019184861E-5</v>
      </c>
      <c r="J23" s="87">
        <f>BS!J23/BS!J$4</f>
        <v>3.3924336243932676E-5</v>
      </c>
      <c r="K23" s="88">
        <f>BS!K23/BS!K$4</f>
        <v>3.5763501357288492E-5</v>
      </c>
      <c r="L23" s="15"/>
      <c r="M23" s="6"/>
      <c r="N23" s="6"/>
      <c r="O23" s="6"/>
      <c r="P23" s="6"/>
      <c r="Q23" s="6"/>
      <c r="R23" s="6"/>
      <c r="S23" s="6"/>
      <c r="T23" s="6"/>
      <c r="U23" s="6"/>
      <c r="V23" s="6"/>
      <c r="W23" s="6"/>
      <c r="X23" s="6"/>
      <c r="Y23" s="6"/>
      <c r="Z23" s="6"/>
    </row>
    <row r="24" spans="1:26" ht="15.6">
      <c r="A24" s="609"/>
      <c r="B24" s="606"/>
      <c r="C24" s="542"/>
      <c r="D24" s="542"/>
      <c r="E24" s="542"/>
      <c r="F24" s="607"/>
      <c r="G24" s="87"/>
      <c r="H24" s="87"/>
      <c r="I24" s="87"/>
      <c r="J24" s="87"/>
      <c r="K24" s="88"/>
      <c r="L24" s="15"/>
      <c r="M24" s="6"/>
      <c r="N24" s="6"/>
      <c r="O24" s="6"/>
      <c r="P24" s="6"/>
      <c r="Q24" s="6"/>
      <c r="R24" s="6"/>
      <c r="S24" s="6"/>
      <c r="T24" s="6"/>
      <c r="U24" s="6"/>
      <c r="V24" s="6"/>
      <c r="W24" s="6"/>
      <c r="X24" s="6"/>
      <c r="Y24" s="6"/>
      <c r="Z24" s="6"/>
    </row>
    <row r="25" spans="1:26" ht="15.6">
      <c r="A25" s="60" t="s">
        <v>130</v>
      </c>
      <c r="B25" s="606">
        <f>BS!B25/BS!B$4</f>
        <v>0.74157375781401047</v>
      </c>
      <c r="C25" s="542">
        <f>BS!C25/BS!C$4</f>
        <v>0.79464608706137707</v>
      </c>
      <c r="D25" s="542">
        <f>BS!D25/BS!D$4</f>
        <v>0.55221758473604543</v>
      </c>
      <c r="E25" s="542">
        <f>BS!E25/BS!E$4</f>
        <v>0.3814170806718713</v>
      </c>
      <c r="F25" s="607">
        <f>BS!F25/BS!F$4</f>
        <v>0.4461411791949158</v>
      </c>
      <c r="G25" s="87">
        <f>BS!G25/BS!G$4</f>
        <v>0.25850352913583113</v>
      </c>
      <c r="H25" s="87">
        <f>BS!H25/BS!H$4</f>
        <v>0.24923567881781522</v>
      </c>
      <c r="I25" s="87">
        <f>BS!I25/BS!I$4</f>
        <v>0.28991239201290409</v>
      </c>
      <c r="J25" s="87">
        <f>BS!J25/BS!J$4</f>
        <v>0.3268534895490412</v>
      </c>
      <c r="K25" s="88">
        <f>BS!K25/BS!K$4</f>
        <v>0.37792034670959801</v>
      </c>
      <c r="L25" s="15"/>
      <c r="M25" s="6"/>
      <c r="N25" s="6"/>
      <c r="O25" s="6"/>
      <c r="P25" s="6"/>
      <c r="Q25" s="6"/>
      <c r="R25" s="6"/>
      <c r="S25" s="6"/>
      <c r="T25" s="6"/>
      <c r="U25" s="6"/>
      <c r="V25" s="6"/>
      <c r="W25" s="6"/>
      <c r="X25" s="6"/>
      <c r="Y25" s="6"/>
      <c r="Z25" s="6"/>
    </row>
    <row r="26" spans="1:26" ht="15.6">
      <c r="A26" s="608" t="s">
        <v>131</v>
      </c>
      <c r="B26" s="606">
        <f>BS!B26/BS!B$4</f>
        <v>0.48005413417542048</v>
      </c>
      <c r="C26" s="542">
        <f>BS!C26/BS!C$4</f>
        <v>0.58537320631858192</v>
      </c>
      <c r="D26" s="542">
        <f>BS!D26/BS!D$4</f>
        <v>0.44530569187726454</v>
      </c>
      <c r="E26" s="542">
        <f>BS!E26/BS!E$4</f>
        <v>0.30146971847646087</v>
      </c>
      <c r="F26" s="607">
        <f>BS!F26/BS!F$4</f>
        <v>0.34886982027762414</v>
      </c>
      <c r="G26" s="87">
        <f>BS!G26/BS!G$4</f>
        <v>0.18964234738225461</v>
      </c>
      <c r="H26" s="87">
        <f>BS!H26/BS!H$4</f>
        <v>0.16394949268736983</v>
      </c>
      <c r="I26" s="87">
        <f>BS!I26/BS!I$4</f>
        <v>0.16798430555710739</v>
      </c>
      <c r="J26" s="87">
        <f>BS!J26/BS!J$4</f>
        <v>0.1717136819547059</v>
      </c>
      <c r="K26" s="88">
        <f>BS!K26/BS!K$4</f>
        <v>0.18102292270347525</v>
      </c>
      <c r="L26" s="15"/>
      <c r="M26" s="6"/>
      <c r="N26" s="6"/>
      <c r="O26" s="6"/>
      <c r="P26" s="6"/>
      <c r="Q26" s="6"/>
      <c r="R26" s="6"/>
      <c r="S26" s="6"/>
      <c r="T26" s="6"/>
      <c r="U26" s="6"/>
      <c r="V26" s="6"/>
      <c r="W26" s="6"/>
      <c r="X26" s="6"/>
      <c r="Y26" s="6"/>
      <c r="Z26" s="6"/>
    </row>
    <row r="27" spans="1:26" ht="15.6">
      <c r="A27" s="608" t="s">
        <v>132</v>
      </c>
      <c r="B27" s="606">
        <f>BS!B27/BS!B$4</f>
        <v>1.288908938583489E-3</v>
      </c>
      <c r="C27" s="542">
        <f>BS!C27/BS!C$4</f>
        <v>1.742433377547329E-2</v>
      </c>
      <c r="D27" s="542">
        <f>BS!D27/BS!D$4</f>
        <v>6.6504609457414109E-3</v>
      </c>
      <c r="E27" s="542">
        <f>BS!E27/BS!E$4</f>
        <v>5.7221433640880061E-3</v>
      </c>
      <c r="F27" s="607">
        <f>BS!F27/BS!F$4</f>
        <v>4.9143842225109671E-3</v>
      </c>
      <c r="G27" s="87">
        <f>BS!G27/BS!G$4</f>
        <v>2.3853597859736998E-3</v>
      </c>
      <c r="H27" s="87">
        <f>BS!H27/BS!H$4</f>
        <v>2.0621898652148597E-3</v>
      </c>
      <c r="I27" s="87">
        <f>BS!I27/BS!I$4</f>
        <v>2.1129405572214367E-3</v>
      </c>
      <c r="J27" s="87">
        <f>BS!J27/BS!J$4</f>
        <v>2.1598494075303807E-3</v>
      </c>
      <c r="K27" s="88">
        <f>BS!K27/BS!K$4</f>
        <v>2.2769429197473674E-3</v>
      </c>
      <c r="L27" s="15"/>
      <c r="M27" s="6"/>
      <c r="N27" s="6"/>
      <c r="O27" s="6"/>
      <c r="P27" s="6"/>
      <c r="Q27" s="6"/>
      <c r="R27" s="6"/>
      <c r="S27" s="6"/>
      <c r="T27" s="6"/>
      <c r="U27" s="6"/>
      <c r="V27" s="6"/>
      <c r="W27" s="6"/>
      <c r="X27" s="6"/>
      <c r="Y27" s="6"/>
      <c r="Z27" s="6"/>
    </row>
    <row r="28" spans="1:26" ht="15.6">
      <c r="A28" s="608" t="s">
        <v>133</v>
      </c>
      <c r="B28" s="606">
        <f>BS!B28/BS!B$4</f>
        <v>0</v>
      </c>
      <c r="C28" s="542">
        <f>BS!C28/BS!C$4</f>
        <v>0</v>
      </c>
      <c r="D28" s="542">
        <f>BS!D28/BS!D$4</f>
        <v>0</v>
      </c>
      <c r="E28" s="542">
        <f>BS!E28/BS!E$4</f>
        <v>0</v>
      </c>
      <c r="F28" s="607">
        <f>BS!F28/BS!F$4</f>
        <v>0</v>
      </c>
      <c r="G28" s="87">
        <f>BS!G28/BS!G$4</f>
        <v>0</v>
      </c>
      <c r="H28" s="87">
        <f>BS!H28/BS!H$4</f>
        <v>0</v>
      </c>
      <c r="I28" s="87">
        <f>BS!I28/BS!I$4</f>
        <v>0</v>
      </c>
      <c r="J28" s="87">
        <f>BS!J28/BS!J$4</f>
        <v>0</v>
      </c>
      <c r="K28" s="88">
        <f>BS!K28/BS!K$4</f>
        <v>0</v>
      </c>
      <c r="L28" s="15"/>
      <c r="M28" s="6"/>
      <c r="N28" s="6"/>
      <c r="O28" s="6"/>
      <c r="P28" s="6"/>
      <c r="Q28" s="6"/>
      <c r="R28" s="6"/>
      <c r="S28" s="6"/>
      <c r="T28" s="6"/>
      <c r="U28" s="6"/>
      <c r="V28" s="6"/>
      <c r="W28" s="6"/>
      <c r="X28" s="6"/>
      <c r="Y28" s="6"/>
      <c r="Z28" s="6"/>
    </row>
    <row r="29" spans="1:26" ht="15.6">
      <c r="A29" s="608" t="s">
        <v>134</v>
      </c>
      <c r="B29" s="606">
        <f>BS!B29/BS!B$4</f>
        <v>0</v>
      </c>
      <c r="C29" s="542">
        <f>BS!C29/BS!C$4</f>
        <v>0</v>
      </c>
      <c r="D29" s="542">
        <f>BS!D29/BS!D$4</f>
        <v>0</v>
      </c>
      <c r="E29" s="542">
        <f>BS!E29/BS!E$4</f>
        <v>0</v>
      </c>
      <c r="F29" s="607">
        <f>BS!F29/BS!F$4</f>
        <v>0</v>
      </c>
      <c r="G29" s="87">
        <f>BS!G29/BS!G$4</f>
        <v>0</v>
      </c>
      <c r="H29" s="87">
        <f>BS!H29/BS!H$4</f>
        <v>0</v>
      </c>
      <c r="I29" s="87">
        <f>BS!I29/BS!I$4</f>
        <v>0</v>
      </c>
      <c r="J29" s="87">
        <f>BS!J29/BS!J$4</f>
        <v>0</v>
      </c>
      <c r="K29" s="88">
        <f>BS!K29/BS!K$4</f>
        <v>0</v>
      </c>
      <c r="L29" s="15"/>
      <c r="M29" s="6"/>
      <c r="N29" s="6"/>
      <c r="O29" s="6"/>
      <c r="P29" s="6"/>
      <c r="Q29" s="6"/>
      <c r="R29" s="6"/>
      <c r="S29" s="6"/>
      <c r="T29" s="6"/>
      <c r="U29" s="6"/>
      <c r="V29" s="6"/>
      <c r="W29" s="6"/>
      <c r="X29" s="6"/>
      <c r="Y29" s="6"/>
      <c r="Z29" s="6"/>
    </row>
    <row r="30" spans="1:26" ht="15.6">
      <c r="A30" s="608" t="s">
        <v>135</v>
      </c>
      <c r="B30" s="606">
        <f>BS!B30/BS!B$4</f>
        <v>3.1642714442224655E-2</v>
      </c>
      <c r="C30" s="542">
        <f>BS!C30/BS!C$4</f>
        <v>3.3944290365368383E-2</v>
      </c>
      <c r="D30" s="542">
        <f>BS!D30/BS!D$4</f>
        <v>1.3988900610007796E-2</v>
      </c>
      <c r="E30" s="542">
        <f>BS!E30/BS!E$4</f>
        <v>1.165128933049444E-2</v>
      </c>
      <c r="F30" s="607">
        <f>BS!F30/BS!F$4</f>
        <v>1.1231040382858833E-2</v>
      </c>
      <c r="G30" s="87">
        <f>BS!G30/BS!G$4</f>
        <v>5.723926826735057E-3</v>
      </c>
      <c r="H30" s="87">
        <f>BS!H30/BS!H$4</f>
        <v>5.1958682119022546E-3</v>
      </c>
      <c r="I30" s="87">
        <f>BS!I30/BS!I$4</f>
        <v>5.5899259826156433E-3</v>
      </c>
      <c r="J30" s="87">
        <f>BS!J30/BS!J$4</f>
        <v>5.9997278174480483E-3</v>
      </c>
      <c r="K30" s="88">
        <f>BS!K30/BS!K$4</f>
        <v>6.6412452706452766E-3</v>
      </c>
      <c r="L30" s="15"/>
      <c r="M30" s="6"/>
      <c r="N30" s="6"/>
      <c r="O30" s="6"/>
      <c r="P30" s="6"/>
      <c r="Q30" s="6"/>
      <c r="R30" s="6"/>
      <c r="S30" s="6"/>
      <c r="T30" s="6"/>
      <c r="U30" s="6"/>
      <c r="V30" s="6"/>
      <c r="W30" s="6"/>
      <c r="X30" s="6"/>
      <c r="Y30" s="6"/>
      <c r="Z30" s="6"/>
    </row>
    <row r="31" spans="1:26" ht="15.6">
      <c r="A31" s="608" t="s">
        <v>136</v>
      </c>
      <c r="B31" s="606">
        <f>BS!B31/BS!B$4</f>
        <v>0.10852613262872977</v>
      </c>
      <c r="C31" s="542">
        <f>BS!C31/BS!C$4</f>
        <v>7.2350174846255888E-2</v>
      </c>
      <c r="D31" s="542">
        <f>BS!D31/BS!D$4</f>
        <v>3.3275237352657888E-2</v>
      </c>
      <c r="E31" s="542">
        <f>BS!E31/BS!E$4</f>
        <v>2.4367163472912234E-2</v>
      </c>
      <c r="F31" s="607">
        <f>BS!F31/BS!F$4</f>
        <v>2.8302736360010804E-2</v>
      </c>
      <c r="G31" s="87">
        <f>BS!G31/BS!G$4</f>
        <v>3.4966377036249718E-2</v>
      </c>
      <c r="H31" s="87">
        <f>BS!H31/BS!H$4</f>
        <v>5.283477037569554E-2</v>
      </c>
      <c r="I31" s="87">
        <f>BS!I31/BS!I$4</f>
        <v>8.2752545899967028E-2</v>
      </c>
      <c r="J31" s="87">
        <f>BS!J31/BS!J$4</f>
        <v>0.11462572769342352</v>
      </c>
      <c r="K31" s="88">
        <f>BS!K31/BS!K$4</f>
        <v>0.15362135060307297</v>
      </c>
      <c r="L31" s="15"/>
      <c r="M31" s="6"/>
      <c r="N31" s="6"/>
      <c r="O31" s="6"/>
      <c r="P31" s="6"/>
      <c r="Q31" s="6"/>
      <c r="R31" s="6"/>
      <c r="S31" s="6"/>
      <c r="T31" s="6"/>
      <c r="U31" s="6"/>
      <c r="V31" s="6"/>
      <c r="W31" s="6"/>
      <c r="X31" s="6"/>
      <c r="Y31" s="6"/>
      <c r="Z31" s="6"/>
    </row>
    <row r="32" spans="1:26" ht="15.6">
      <c r="A32" s="642" t="s">
        <v>137</v>
      </c>
      <c r="B32" s="643">
        <f>BS!B32/BS!B$4</f>
        <v>0.12012631307598118</v>
      </c>
      <c r="C32" s="644">
        <f>BS!C32/BS!C$4</f>
        <v>8.549378994332571E-2</v>
      </c>
      <c r="D32" s="644">
        <f>BS!D32/BS!D$4</f>
        <v>5.2997293950373794E-2</v>
      </c>
      <c r="E32" s="644">
        <f>BS!E32/BS!E$4</f>
        <v>3.8221551928081382E-2</v>
      </c>
      <c r="F32" s="645">
        <f>BS!F32/BS!F$4</f>
        <v>5.2836062832074718E-2</v>
      </c>
      <c r="G32" s="646">
        <f>BS!G32/BS!G$4</f>
        <v>2.578202386995513E-2</v>
      </c>
      <c r="H32" s="646">
        <f>BS!H32/BS!H$4</f>
        <v>2.2412771541215896E-2</v>
      </c>
      <c r="I32" s="646">
        <f>BS!I32/BS!I$4</f>
        <v>2.3097445492044164E-2</v>
      </c>
      <c r="J32" s="646">
        <f>BS!J32/BS!J$4</f>
        <v>2.375307660594984E-2</v>
      </c>
      <c r="K32" s="647">
        <f>BS!K32/BS!K$4</f>
        <v>2.5198944590643872E-2</v>
      </c>
      <c r="L32" s="15"/>
      <c r="M32" s="6"/>
      <c r="N32" s="6"/>
      <c r="O32" s="6"/>
      <c r="P32" s="6"/>
      <c r="Q32" s="6"/>
      <c r="R32" s="6"/>
      <c r="S32" s="6"/>
      <c r="T32" s="6"/>
      <c r="U32" s="6"/>
      <c r="V32" s="6"/>
      <c r="W32" s="6"/>
      <c r="X32" s="6"/>
      <c r="Y32" s="6"/>
      <c r="Z32" s="6"/>
    </row>
    <row r="33" spans="1:26" ht="15.6">
      <c r="A33" s="52"/>
      <c r="B33" s="52"/>
      <c r="C33" s="52"/>
      <c r="D33" s="52"/>
      <c r="E33" s="52"/>
      <c r="F33" s="52"/>
      <c r="G33" s="52"/>
      <c r="H33" s="52"/>
      <c r="I33" s="52"/>
      <c r="J33" s="52"/>
      <c r="K33" s="52"/>
      <c r="L33" s="6"/>
      <c r="M33" s="6"/>
      <c r="N33" s="6"/>
      <c r="O33" s="6"/>
      <c r="P33" s="6"/>
      <c r="Q33" s="6"/>
      <c r="R33" s="6"/>
      <c r="S33" s="6"/>
      <c r="T33" s="6"/>
      <c r="U33" s="6"/>
      <c r="V33" s="6"/>
      <c r="W33" s="6"/>
      <c r="X33" s="6"/>
      <c r="Y33" s="6"/>
      <c r="Z33" s="6"/>
    </row>
    <row r="34" spans="1:26" ht="15.6">
      <c r="A34" s="67"/>
      <c r="B34" s="67"/>
      <c r="C34" s="67"/>
      <c r="D34" s="67"/>
      <c r="E34" s="67"/>
      <c r="F34" s="67"/>
      <c r="G34" s="67"/>
      <c r="H34" s="67"/>
      <c r="I34" s="67"/>
      <c r="J34" s="67"/>
      <c r="K34" s="67"/>
      <c r="L34" s="6"/>
      <c r="M34" s="6"/>
      <c r="N34" s="6"/>
      <c r="O34" s="6"/>
      <c r="P34" s="6"/>
      <c r="Q34" s="6"/>
      <c r="R34" s="6"/>
      <c r="S34" s="6"/>
      <c r="T34" s="6"/>
      <c r="U34" s="6"/>
      <c r="V34" s="6"/>
      <c r="W34" s="6"/>
      <c r="X34" s="6"/>
      <c r="Y34" s="6"/>
      <c r="Z34" s="6"/>
    </row>
    <row r="35" spans="1:26" ht="16.8">
      <c r="A35" s="604" t="s">
        <v>69</v>
      </c>
      <c r="B35" s="787" t="s">
        <v>70</v>
      </c>
      <c r="C35" s="770"/>
      <c r="D35" s="770"/>
      <c r="E35" s="770"/>
      <c r="F35" s="771"/>
      <c r="G35" s="788" t="s">
        <v>71</v>
      </c>
      <c r="H35" s="770"/>
      <c r="I35" s="770"/>
      <c r="J35" s="770"/>
      <c r="K35" s="776"/>
      <c r="L35" s="15"/>
      <c r="M35" s="6"/>
      <c r="N35" s="6"/>
      <c r="O35" s="6"/>
      <c r="P35" s="6"/>
      <c r="Q35" s="6"/>
      <c r="R35" s="6"/>
      <c r="S35" s="6"/>
      <c r="T35" s="6"/>
      <c r="U35" s="6"/>
      <c r="V35" s="6"/>
      <c r="W35" s="6"/>
      <c r="X35" s="6"/>
      <c r="Y35" s="6"/>
      <c r="Z35" s="6"/>
    </row>
    <row r="36" spans="1:26" ht="15.6">
      <c r="A36" s="615"/>
      <c r="B36" s="849"/>
      <c r="C36" s="850"/>
      <c r="D36" s="850"/>
      <c r="E36" s="850"/>
      <c r="F36" s="798"/>
      <c r="G36" s="853"/>
      <c r="H36" s="850"/>
      <c r="I36" s="850"/>
      <c r="J36" s="850"/>
      <c r="K36" s="854"/>
      <c r="L36" s="15"/>
      <c r="M36" s="6"/>
      <c r="N36" s="6"/>
      <c r="O36" s="6"/>
      <c r="P36" s="6"/>
      <c r="Q36" s="6"/>
      <c r="R36" s="6"/>
      <c r="S36" s="6"/>
      <c r="T36" s="6"/>
      <c r="U36" s="6"/>
      <c r="V36" s="6"/>
      <c r="W36" s="6"/>
      <c r="X36" s="6"/>
      <c r="Y36" s="6"/>
      <c r="Z36" s="6"/>
    </row>
    <row r="37" spans="1:26" ht="15.6">
      <c r="A37" s="60" t="s">
        <v>72</v>
      </c>
      <c r="B37" s="231">
        <v>1</v>
      </c>
      <c r="C37" s="505">
        <v>1</v>
      </c>
      <c r="D37" s="505">
        <v>1</v>
      </c>
      <c r="E37" s="505">
        <v>1</v>
      </c>
      <c r="F37" s="506">
        <v>1</v>
      </c>
      <c r="G37" s="507">
        <v>1</v>
      </c>
      <c r="H37" s="507">
        <v>1</v>
      </c>
      <c r="I37" s="507">
        <v>1</v>
      </c>
      <c r="J37" s="507">
        <v>1</v>
      </c>
      <c r="K37" s="508">
        <v>1</v>
      </c>
      <c r="L37" s="33"/>
      <c r="M37" s="7"/>
      <c r="N37" s="7"/>
      <c r="O37" s="7"/>
      <c r="P37" s="7"/>
      <c r="Q37" s="7"/>
      <c r="R37" s="7"/>
      <c r="S37" s="7"/>
      <c r="T37" s="7"/>
      <c r="U37" s="7"/>
      <c r="V37" s="7"/>
      <c r="W37" s="7"/>
      <c r="X37" s="7"/>
      <c r="Y37" s="7"/>
      <c r="Z37" s="7"/>
    </row>
    <row r="38" spans="1:26" ht="15.6">
      <c r="A38" s="117" t="s">
        <v>73</v>
      </c>
      <c r="B38" s="606">
        <v>-0.49258229021789524</v>
      </c>
      <c r="C38" s="542">
        <v>-0.42162864032647007</v>
      </c>
      <c r="D38" s="542">
        <v>-0.45308310991957107</v>
      </c>
      <c r="E38" s="542">
        <v>-0.43962394341900979</v>
      </c>
      <c r="F38" s="607">
        <v>-0.49026430244228841</v>
      </c>
      <c r="G38" s="87">
        <v>-0.43373934974284167</v>
      </c>
      <c r="H38" s="87">
        <v>-0.52701281098285269</v>
      </c>
      <c r="I38" s="87">
        <v>-0.5178187831719514</v>
      </c>
      <c r="J38" s="87">
        <v>-0.52373587717254477</v>
      </c>
      <c r="K38" s="88">
        <v>-0.52925139814905198</v>
      </c>
      <c r="L38" s="15"/>
      <c r="M38" s="6"/>
      <c r="N38" s="6"/>
      <c r="O38" s="6"/>
      <c r="P38" s="6"/>
      <c r="Q38" s="6"/>
      <c r="R38" s="6"/>
      <c r="S38" s="6"/>
      <c r="T38" s="6"/>
      <c r="U38" s="6"/>
      <c r="V38" s="6"/>
      <c r="W38" s="6"/>
      <c r="X38" s="6"/>
      <c r="Y38" s="6"/>
      <c r="Z38" s="6"/>
    </row>
    <row r="39" spans="1:26" ht="15.6">
      <c r="A39" s="60" t="s">
        <v>74</v>
      </c>
      <c r="B39" s="616">
        <v>0.50741770978210476</v>
      </c>
      <c r="C39" s="617">
        <v>0.57837135967352993</v>
      </c>
      <c r="D39" s="617">
        <v>0.54691689008042899</v>
      </c>
      <c r="E39" s="617">
        <v>0.56037605658099021</v>
      </c>
      <c r="F39" s="618">
        <v>0.50973569755771153</v>
      </c>
      <c r="G39" s="619">
        <v>0.56626065025715833</v>
      </c>
      <c r="H39" s="619">
        <v>0.47298718901714726</v>
      </c>
      <c r="I39" s="619">
        <v>0.48218121682804865</v>
      </c>
      <c r="J39" s="619">
        <v>0.47626412282745523</v>
      </c>
      <c r="K39" s="620">
        <v>0.47074860185094802</v>
      </c>
      <c r="L39" s="33"/>
      <c r="M39" s="7"/>
      <c r="N39" s="7"/>
      <c r="O39" s="7"/>
      <c r="P39" s="7"/>
      <c r="Q39" s="7"/>
      <c r="R39" s="7"/>
      <c r="S39" s="7"/>
      <c r="T39" s="7"/>
      <c r="U39" s="7"/>
      <c r="V39" s="7"/>
      <c r="W39" s="7"/>
      <c r="X39" s="7"/>
      <c r="Y39" s="7"/>
      <c r="Z39" s="7"/>
    </row>
    <row r="40" spans="1:26" ht="15.6">
      <c r="A40" s="117" t="s">
        <v>75</v>
      </c>
      <c r="B40" s="606">
        <v>6.2123319425127499E-2</v>
      </c>
      <c r="C40" s="542">
        <v>3.3388981636060099E-2</v>
      </c>
      <c r="D40" s="542">
        <v>3.4852546916890083E-2</v>
      </c>
      <c r="E40" s="542">
        <v>2.0872865275142313E-2</v>
      </c>
      <c r="F40" s="607">
        <v>2.0408163265306121E-2</v>
      </c>
      <c r="G40" s="87">
        <v>2.5377858485779507E-2</v>
      </c>
      <c r="H40" s="87">
        <v>2.2219629008742647E-2</v>
      </c>
      <c r="I40" s="87">
        <v>2.2668550253276094E-2</v>
      </c>
      <c r="J40" s="87">
        <v>2.3422012582599416E-2</v>
      </c>
      <c r="K40" s="88">
        <v>2.2770063948206049E-2</v>
      </c>
      <c r="L40" s="15"/>
      <c r="M40" s="6"/>
      <c r="N40" s="6"/>
      <c r="O40" s="6"/>
      <c r="P40" s="6"/>
      <c r="Q40" s="6"/>
      <c r="R40" s="6"/>
      <c r="S40" s="6"/>
      <c r="T40" s="6"/>
      <c r="U40" s="6"/>
      <c r="V40" s="6"/>
      <c r="W40" s="6"/>
      <c r="X40" s="6"/>
      <c r="Y40" s="6"/>
      <c r="Z40" s="6"/>
    </row>
    <row r="41" spans="1:26" ht="15.6">
      <c r="A41" s="117" t="s">
        <v>76</v>
      </c>
      <c r="B41" s="606">
        <v>-0.1061659712563746</v>
      </c>
      <c r="C41" s="542">
        <v>-4.5631608235948806E-2</v>
      </c>
      <c r="D41" s="542">
        <v>-7.3458445040214482E-2</v>
      </c>
      <c r="E41" s="542">
        <v>-0.22235639123684664</v>
      </c>
      <c r="F41" s="607">
        <v>-0.2483773837403814</v>
      </c>
      <c r="G41" s="87">
        <v>-0.23706176885722183</v>
      </c>
      <c r="H41" s="87">
        <v>-0.26232746653303213</v>
      </c>
      <c r="I41" s="87">
        <v>-0.24531214476998281</v>
      </c>
      <c r="J41" s="87">
        <v>-0.23571510053585343</v>
      </c>
      <c r="K41" s="88">
        <v>-0.22588779481993285</v>
      </c>
      <c r="L41" s="15"/>
      <c r="M41" s="6"/>
      <c r="N41" s="6"/>
      <c r="O41" s="6"/>
      <c r="P41" s="6"/>
      <c r="Q41" s="6"/>
      <c r="R41" s="6"/>
      <c r="S41" s="6"/>
      <c r="T41" s="6"/>
      <c r="U41" s="6"/>
      <c r="V41" s="6"/>
      <c r="W41" s="6"/>
      <c r="X41" s="6"/>
      <c r="Y41" s="6"/>
      <c r="Z41" s="6"/>
    </row>
    <row r="42" spans="1:26" ht="15.6">
      <c r="A42" s="117" t="s">
        <v>77</v>
      </c>
      <c r="B42" s="606">
        <v>-9.0635141400092725E-2</v>
      </c>
      <c r="C42" s="542">
        <v>-4.5260619551103685E-2</v>
      </c>
      <c r="D42" s="542">
        <v>-7.1849865951742628E-2</v>
      </c>
      <c r="E42" s="542">
        <v>-0.21122994652406415</v>
      </c>
      <c r="F42" s="607">
        <v>-0.23713616594178655</v>
      </c>
      <c r="G42" s="87">
        <v>-0.225820551058627</v>
      </c>
      <c r="H42" s="87">
        <v>-0.25108624873443725</v>
      </c>
      <c r="I42" s="87">
        <v>-0.23407092697138795</v>
      </c>
      <c r="J42" s="87">
        <v>-0.22447388273725857</v>
      </c>
      <c r="K42" s="88">
        <v>-0.21464657702133799</v>
      </c>
      <c r="L42" s="15"/>
      <c r="M42" s="6"/>
      <c r="N42" s="6"/>
      <c r="O42" s="6"/>
      <c r="P42" s="6"/>
      <c r="Q42" s="6"/>
      <c r="R42" s="6"/>
      <c r="S42" s="6"/>
      <c r="T42" s="6"/>
      <c r="U42" s="6"/>
      <c r="V42" s="6"/>
      <c r="W42" s="6"/>
      <c r="X42" s="6"/>
      <c r="Y42" s="6"/>
      <c r="Z42" s="6"/>
    </row>
    <row r="43" spans="1:26" ht="15.6">
      <c r="A43" s="117" t="s">
        <v>78</v>
      </c>
      <c r="B43" s="606">
        <v>-2.3180343069077424E-4</v>
      </c>
      <c r="C43" s="542">
        <v>-1.8549434242255611E-3</v>
      </c>
      <c r="D43" s="542">
        <v>-1.0723860589812331E-3</v>
      </c>
      <c r="E43" s="542">
        <v>-5.1750905640848713E-4</v>
      </c>
      <c r="F43" s="607">
        <v>-1.137504182000669E-3</v>
      </c>
      <c r="G43" s="87">
        <v>-9.0913309913012979E-4</v>
      </c>
      <c r="H43" s="87">
        <v>-8.547154458464286E-4</v>
      </c>
      <c r="I43" s="87">
        <v>-9.6711757565907572E-4</v>
      </c>
      <c r="J43" s="87">
        <v>-9.1032204021187797E-4</v>
      </c>
      <c r="K43" s="88">
        <v>-9.1071835390579413E-4</v>
      </c>
      <c r="L43" s="15"/>
      <c r="M43" s="6"/>
      <c r="N43" s="6"/>
      <c r="O43" s="6"/>
      <c r="P43" s="6"/>
      <c r="Q43" s="6"/>
      <c r="R43" s="6"/>
      <c r="S43" s="6"/>
      <c r="T43" s="6"/>
      <c r="U43" s="6"/>
      <c r="V43" s="6"/>
      <c r="W43" s="6"/>
      <c r="X43" s="6"/>
      <c r="Y43" s="6"/>
      <c r="Z43" s="6"/>
    </row>
    <row r="44" spans="1:26" ht="15.6">
      <c r="A44" s="117" t="s">
        <v>79</v>
      </c>
      <c r="B44" s="606">
        <v>-0.11891515994436717</v>
      </c>
      <c r="C44" s="542">
        <v>-0.12075681691708401</v>
      </c>
      <c r="D44" s="542">
        <v>-0.13690795352993743</v>
      </c>
      <c r="E44" s="542">
        <v>-9.5911678454372942E-2</v>
      </c>
      <c r="F44" s="607">
        <v>-7.6480428236868514E-2</v>
      </c>
      <c r="G44" s="87">
        <v>-0.10310002007372629</v>
      </c>
      <c r="H44" s="87">
        <v>-9.1830708921655915E-2</v>
      </c>
      <c r="I44" s="87">
        <v>-9.0470385744083573E-2</v>
      </c>
      <c r="J44" s="87">
        <v>-9.5133704913155259E-2</v>
      </c>
      <c r="K44" s="88">
        <v>-9.2478266526298245E-2</v>
      </c>
      <c r="L44" s="15"/>
      <c r="M44" s="6"/>
      <c r="N44" s="6"/>
      <c r="O44" s="6"/>
      <c r="P44" s="6"/>
      <c r="Q44" s="6"/>
      <c r="R44" s="6"/>
      <c r="S44" s="6"/>
      <c r="T44" s="6"/>
      <c r="U44" s="6"/>
      <c r="V44" s="6"/>
      <c r="W44" s="6"/>
      <c r="X44" s="6"/>
      <c r="Y44" s="6"/>
      <c r="Z44" s="6"/>
    </row>
    <row r="45" spans="1:26" ht="15.6">
      <c r="A45" s="60" t="s">
        <v>80</v>
      </c>
      <c r="B45" s="616">
        <v>0.34422809457579973</v>
      </c>
      <c r="C45" s="617">
        <v>0.44370246707475419</v>
      </c>
      <c r="D45" s="617">
        <v>0.37015192135835567</v>
      </c>
      <c r="E45" s="617">
        <v>0.26246334310850439</v>
      </c>
      <c r="F45" s="618">
        <v>0.20334560053529607</v>
      </c>
      <c r="G45" s="619">
        <v>0.25056758671285956</v>
      </c>
      <c r="H45" s="619">
        <v>0.1401939271253555</v>
      </c>
      <c r="I45" s="619">
        <v>0.16810011899159924</v>
      </c>
      <c r="J45" s="619">
        <v>0.16792700792083409</v>
      </c>
      <c r="K45" s="620">
        <v>0.1742418860990172</v>
      </c>
      <c r="L45" s="33"/>
      <c r="M45" s="7"/>
      <c r="N45" s="7"/>
      <c r="O45" s="7"/>
      <c r="P45" s="7"/>
      <c r="Q45" s="7"/>
      <c r="R45" s="7"/>
      <c r="S45" s="7"/>
      <c r="T45" s="7"/>
      <c r="U45" s="7"/>
      <c r="V45" s="7"/>
      <c r="W45" s="7"/>
      <c r="X45" s="7"/>
      <c r="Y45" s="7"/>
      <c r="Z45" s="7"/>
    </row>
    <row r="46" spans="1:26" ht="15.6">
      <c r="A46" s="117" t="s">
        <v>81</v>
      </c>
      <c r="B46" s="606">
        <v>1.6226240148354196E-3</v>
      </c>
      <c r="C46" s="542">
        <v>-1.6138007790762379E-2</v>
      </c>
      <c r="D46" s="542">
        <v>-3.5746201966041112E-4</v>
      </c>
      <c r="E46" s="542">
        <v>-2.5875452820424356E-4</v>
      </c>
      <c r="F46" s="607">
        <v>3.1448645031783204E-3</v>
      </c>
      <c r="G46" s="87">
        <v>3.2423221340397786E-3</v>
      </c>
      <c r="H46" s="87">
        <v>1.4772170927225337E-3</v>
      </c>
      <c r="I46" s="87">
        <v>1.4312760905365663E-3</v>
      </c>
      <c r="J46" s="87">
        <v>1.4287909880236294E-3</v>
      </c>
      <c r="K46" s="88">
        <v>1.424565504667615E-3</v>
      </c>
      <c r="L46" s="15"/>
      <c r="M46" s="6"/>
      <c r="N46" s="6"/>
      <c r="O46" s="6"/>
      <c r="P46" s="6"/>
      <c r="Q46" s="6"/>
      <c r="R46" s="6"/>
      <c r="S46" s="6"/>
      <c r="T46" s="6"/>
      <c r="U46" s="6"/>
      <c r="V46" s="6"/>
      <c r="W46" s="6"/>
      <c r="X46" s="6"/>
      <c r="Y46" s="6"/>
      <c r="Z46" s="6"/>
    </row>
    <row r="47" spans="1:26" ht="15.6">
      <c r="A47" s="117" t="s">
        <v>82</v>
      </c>
      <c r="B47" s="606">
        <v>0</v>
      </c>
      <c r="C47" s="542">
        <v>0</v>
      </c>
      <c r="D47" s="542">
        <v>0</v>
      </c>
      <c r="E47" s="542">
        <v>0</v>
      </c>
      <c r="F47" s="607">
        <v>0</v>
      </c>
      <c r="G47" s="87">
        <v>0</v>
      </c>
      <c r="H47" s="87">
        <v>0</v>
      </c>
      <c r="I47" s="87">
        <v>0</v>
      </c>
      <c r="J47" s="87">
        <v>0</v>
      </c>
      <c r="K47" s="88">
        <v>0</v>
      </c>
      <c r="L47" s="15"/>
      <c r="M47" s="6"/>
      <c r="N47" s="6"/>
      <c r="O47" s="6"/>
      <c r="P47" s="6"/>
      <c r="Q47" s="6"/>
      <c r="R47" s="6"/>
      <c r="S47" s="6"/>
      <c r="T47" s="6"/>
      <c r="U47" s="6"/>
      <c r="V47" s="6"/>
      <c r="W47" s="6"/>
      <c r="X47" s="6"/>
      <c r="Y47" s="6"/>
      <c r="Z47" s="6"/>
    </row>
    <row r="48" spans="1:26" ht="15.6">
      <c r="A48" s="60" t="s">
        <v>83</v>
      </c>
      <c r="B48" s="616">
        <v>0.34585071859063515</v>
      </c>
      <c r="C48" s="617">
        <v>0.42737896494156929</v>
      </c>
      <c r="D48" s="617">
        <v>0.36979445933869526</v>
      </c>
      <c r="E48" s="617">
        <v>0.26211833707089871</v>
      </c>
      <c r="F48" s="618">
        <v>0.20649046503847443</v>
      </c>
      <c r="G48" s="619">
        <v>0.25380990884689936</v>
      </c>
      <c r="H48" s="619">
        <v>0.14167114421807803</v>
      </c>
      <c r="I48" s="619">
        <v>0.1695313950821358</v>
      </c>
      <c r="J48" s="619">
        <v>0.16935579890885774</v>
      </c>
      <c r="K48" s="620">
        <v>0.17566645160368483</v>
      </c>
      <c r="L48" s="33"/>
      <c r="M48" s="7"/>
      <c r="N48" s="7"/>
      <c r="O48" s="7"/>
      <c r="P48" s="7"/>
      <c r="Q48" s="7"/>
      <c r="R48" s="7"/>
      <c r="S48" s="7"/>
      <c r="T48" s="7"/>
      <c r="U48" s="7"/>
      <c r="V48" s="7"/>
      <c r="W48" s="7"/>
      <c r="X48" s="7"/>
      <c r="Y48" s="7"/>
      <c r="Z48" s="7"/>
    </row>
    <row r="49" spans="1:26" ht="15.6">
      <c r="A49" s="117" t="s">
        <v>84</v>
      </c>
      <c r="B49" s="606">
        <v>-3.0366249420491424E-2</v>
      </c>
      <c r="C49" s="617">
        <v>-3.9695789278427006E-2</v>
      </c>
      <c r="D49" s="542">
        <v>-3.6818588025022345E-2</v>
      </c>
      <c r="E49" s="542">
        <v>-1.1816456787993788E-2</v>
      </c>
      <c r="F49" s="607">
        <v>-9.4345935095349609E-3</v>
      </c>
      <c r="G49" s="87">
        <v>-1.903574316351745E-2</v>
      </c>
      <c r="H49" s="87">
        <v>-9.9169800952654628E-3</v>
      </c>
      <c r="I49" s="87">
        <v>-1.1867197655749508E-2</v>
      </c>
      <c r="J49" s="87">
        <v>-7.6210109508985978E-3</v>
      </c>
      <c r="K49" s="88">
        <v>-8.7833225801842423E-3</v>
      </c>
      <c r="L49" s="15"/>
      <c r="M49" s="6"/>
      <c r="N49" s="6"/>
      <c r="O49" s="6"/>
      <c r="P49" s="6"/>
      <c r="Q49" s="6"/>
      <c r="R49" s="6"/>
      <c r="S49" s="6"/>
      <c r="T49" s="6"/>
      <c r="U49" s="6"/>
      <c r="V49" s="6"/>
      <c r="W49" s="6"/>
      <c r="X49" s="6"/>
      <c r="Y49" s="6"/>
      <c r="Z49" s="6"/>
    </row>
    <row r="50" spans="1:26" ht="15.6">
      <c r="A50" s="117" t="s">
        <v>85</v>
      </c>
      <c r="B50" s="606">
        <v>4.172461752433936E-3</v>
      </c>
      <c r="C50" s="542">
        <v>-5.5648302726766824E-4</v>
      </c>
      <c r="D50" s="542">
        <v>-1.7873100983020554E-3</v>
      </c>
      <c r="E50" s="542">
        <v>-2.5875452820424356E-4</v>
      </c>
      <c r="F50" s="607">
        <v>-3.3456005352960856E-4</v>
      </c>
      <c r="G50" s="87">
        <v>-4.1391346391997174E-4</v>
      </c>
      <c r="H50" s="87">
        <v>-1.7286582999944544E-4</v>
      </c>
      <c r="I50" s="87">
        <v>-1.7510292596989904E-4</v>
      </c>
      <c r="J50" s="87">
        <v>-1.7099892143899819E-4</v>
      </c>
      <c r="K50" s="88">
        <v>-1.7238758101695869E-4</v>
      </c>
      <c r="L50" s="15"/>
      <c r="M50" s="6"/>
      <c r="N50" s="6"/>
      <c r="O50" s="6"/>
      <c r="P50" s="6"/>
      <c r="Q50" s="6"/>
      <c r="R50" s="6"/>
      <c r="S50" s="6"/>
      <c r="T50" s="6"/>
      <c r="U50" s="6"/>
      <c r="V50" s="6"/>
      <c r="W50" s="6"/>
      <c r="X50" s="6"/>
      <c r="Y50" s="6"/>
      <c r="Z50" s="6"/>
    </row>
    <row r="51" spans="1:26" ht="15.6">
      <c r="A51" s="60" t="s">
        <v>86</v>
      </c>
      <c r="B51" s="616">
        <v>0.3115438108484006</v>
      </c>
      <c r="C51" s="617">
        <v>0.38823965869040994</v>
      </c>
      <c r="D51" s="617">
        <v>0.33476318141197497</v>
      </c>
      <c r="E51" s="617">
        <v>0.25056063481110918</v>
      </c>
      <c r="F51" s="618">
        <v>0.19739043158246905</v>
      </c>
      <c r="G51" s="619">
        <v>0.23436025221946188</v>
      </c>
      <c r="H51" s="619">
        <v>0.13158129829281312</v>
      </c>
      <c r="I51" s="619">
        <v>0.15748909450041637</v>
      </c>
      <c r="J51" s="619">
        <v>0.16156378903652013</v>
      </c>
      <c r="K51" s="620">
        <v>0.16671074144248363</v>
      </c>
      <c r="L51" s="33"/>
      <c r="M51" s="7"/>
      <c r="N51" s="7"/>
      <c r="O51" s="7"/>
      <c r="P51" s="7"/>
      <c r="Q51" s="7"/>
      <c r="R51" s="7"/>
      <c r="S51" s="7"/>
      <c r="T51" s="7"/>
      <c r="U51" s="7"/>
      <c r="V51" s="7"/>
      <c r="W51" s="7"/>
      <c r="X51" s="7"/>
      <c r="Y51" s="7"/>
      <c r="Z51" s="7"/>
    </row>
    <row r="52" spans="1:26" ht="15.6">
      <c r="A52" s="117" t="s">
        <v>87</v>
      </c>
      <c r="B52" s="606">
        <v>-9.1098748261474266E-2</v>
      </c>
      <c r="C52" s="542">
        <v>-0.10294936004451864</v>
      </c>
      <c r="D52" s="542">
        <v>-7.6139410187667567E-2</v>
      </c>
      <c r="E52" s="542">
        <v>-3.4069346213558734E-2</v>
      </c>
      <c r="F52" s="607">
        <v>-2.5158916025426564E-2</v>
      </c>
      <c r="G52" s="87">
        <v>-2.7525245350678119E-2</v>
      </c>
      <c r="H52" s="87">
        <v>-1.225775885450613E-2</v>
      </c>
      <c r="I52" s="87">
        <v>-1.182579181188014E-2</v>
      </c>
      <c r="J52" s="87">
        <v>-1.1930235862173661E-2</v>
      </c>
      <c r="K52" s="88">
        <v>-1.1828720821656941E-2</v>
      </c>
      <c r="L52" s="15"/>
      <c r="M52" s="6"/>
      <c r="N52" s="6"/>
      <c r="O52" s="6"/>
      <c r="P52" s="6"/>
      <c r="Q52" s="6"/>
      <c r="R52" s="6"/>
      <c r="S52" s="6"/>
      <c r="T52" s="6"/>
      <c r="U52" s="6"/>
      <c r="V52" s="6"/>
      <c r="W52" s="6"/>
      <c r="X52" s="6"/>
      <c r="Y52" s="6"/>
      <c r="Z52" s="6"/>
    </row>
    <row r="53" spans="1:26" ht="15.6">
      <c r="A53" s="621" t="s">
        <v>88</v>
      </c>
      <c r="B53" s="610">
        <v>0.22044506258692628</v>
      </c>
      <c r="C53" s="611">
        <v>0.28529029864589128</v>
      </c>
      <c r="D53" s="611">
        <v>0.25862377122430741</v>
      </c>
      <c r="E53" s="611">
        <v>0.21649128859755043</v>
      </c>
      <c r="F53" s="612">
        <v>0.17223151555704247</v>
      </c>
      <c r="G53" s="613">
        <v>0.20683500686878378</v>
      </c>
      <c r="H53" s="613">
        <v>0.11932353943830698</v>
      </c>
      <c r="I53" s="613">
        <v>0.14566330268853625</v>
      </c>
      <c r="J53" s="613">
        <v>0.14963355317434646</v>
      </c>
      <c r="K53" s="614">
        <v>0.15488202062082668</v>
      </c>
      <c r="L53" s="15"/>
      <c r="M53" s="6"/>
      <c r="N53" s="6"/>
      <c r="O53" s="6"/>
      <c r="P53" s="6"/>
      <c r="Q53" s="6"/>
      <c r="R53" s="6"/>
      <c r="S53" s="6"/>
      <c r="T53" s="6"/>
      <c r="U53" s="6"/>
      <c r="V53" s="6"/>
      <c r="W53" s="6"/>
      <c r="X53" s="6"/>
      <c r="Y53" s="6"/>
      <c r="Z53" s="6"/>
    </row>
    <row r="54" spans="1:26" ht="15.6">
      <c r="A54" s="52"/>
      <c r="B54" s="52"/>
      <c r="C54" s="52"/>
      <c r="D54" s="52"/>
      <c r="E54" s="52"/>
      <c r="F54" s="52"/>
      <c r="G54" s="52"/>
      <c r="H54" s="52"/>
      <c r="I54" s="52"/>
      <c r="J54" s="52"/>
      <c r="K54" s="52"/>
      <c r="L54" s="6"/>
      <c r="M54" s="6"/>
      <c r="N54" s="6"/>
      <c r="O54" s="6"/>
      <c r="P54" s="6"/>
      <c r="Q54" s="6"/>
      <c r="R54" s="6"/>
      <c r="S54" s="6"/>
      <c r="T54" s="6"/>
      <c r="U54" s="6"/>
      <c r="V54" s="6"/>
      <c r="W54" s="6"/>
      <c r="X54" s="6"/>
      <c r="Y54" s="6"/>
      <c r="Z54" s="6"/>
    </row>
    <row r="55" spans="1:26" ht="15.6">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6">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6">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6">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6">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6">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6">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6">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6">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6">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6">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6">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6">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6">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6">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6">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6">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6">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6">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6">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6">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6">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6">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6">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6">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6">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6">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6">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6">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6">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6">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6">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6">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6">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6">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6">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6">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6">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6">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6">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6">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6">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6">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6">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6">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6">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6">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6">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6">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6">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6">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6">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6">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6">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6">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6">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6">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6">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6">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6">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6">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6">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6">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6">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6">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6">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6">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6">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6">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6">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6">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6">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6">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6">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6">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6">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6">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6">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6">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6">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6">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6">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6">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6">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6">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6">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6">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6">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6">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6">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6">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6">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6">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6">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6">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6">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6">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6">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6">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6">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6">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6">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6">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6">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6">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6">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6">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6">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6">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6">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6">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6">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6">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6">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6">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6">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6">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6">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6">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6">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6">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6">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6">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6">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6">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6">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6">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6">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6">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6">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6">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6">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6">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6">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6">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6">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6">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6">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6">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6">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6">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6">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6">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6">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6">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6">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6">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6">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6">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6">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6">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6">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6">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6">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6">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6">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6">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6">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6">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6">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6">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6">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6">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6">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6">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6">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6">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6">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6">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6">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6">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6">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6">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6">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6">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6">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6">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6">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6">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6">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6">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6">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6">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6">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6">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6">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6">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6">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6">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6">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6">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6">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6">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6">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6">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6">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6">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6">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6">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6">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6">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6">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6">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6">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6">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6">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6">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6">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6">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6">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6">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6">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6">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6">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6">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6">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6">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6">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6">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6">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6">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6">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6">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6">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6">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6">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6">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6">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6">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6">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6">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6">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6">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6">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6">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6">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6">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6">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6">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6">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6">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6">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6">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6">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6">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6">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6">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6">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6">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6">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6">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6">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6">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6">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6">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6">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6">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6">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6">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6">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6">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6">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6">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6">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6">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6">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6">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6">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6">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6">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6">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6">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6">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6">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6">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6">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6">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6">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6">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6">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6">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6">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6">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6">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6">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6">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6">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6">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6">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6">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6">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6">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6">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6">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6">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6">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6">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6">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6">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6">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6">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6">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6">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6">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6">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6">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6">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6">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6">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6">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6">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6">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6">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6">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6">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6">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6">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6">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6">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6">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6">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6">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6">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6">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6">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6">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6">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6">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6">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6">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6">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6">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6">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6">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6">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6">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6">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6">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6">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6">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6">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6">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6">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6">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6">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6">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6">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6">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6">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6">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6">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6">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6">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6">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6">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6">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6">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6">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6">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6">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6">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6">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6">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6">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6">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6">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6">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6">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6">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6">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6">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6">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6">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6">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6">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6">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6">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6">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6">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6">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6">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6">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6">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6">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6">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6">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6">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6">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6">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6">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6">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6">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6">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6">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6">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6">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6">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6">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6">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6">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6">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6">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6">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6">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6">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6">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6">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6">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6">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6">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6">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6">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6">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6">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6">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6">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6">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6">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6">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6">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6">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6">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6">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6">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6">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6">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6">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6">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6">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6">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6">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6">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6">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6">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6">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6">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6">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6">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6">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6">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6">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6">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6">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6">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6">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6">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6">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6">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6">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6">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6">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6">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6">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6">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6">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6">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6">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6">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6">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6">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6">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6">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6">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6">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6">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6">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6">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6">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6">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6">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6">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6">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6">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6">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6">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6">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6">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6">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6">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6">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6">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6">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6">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6">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6">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6">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6">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6">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6">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6">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6">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6">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6">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6">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6">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6">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6">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6">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6">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6">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6">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6">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6">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6">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6">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6">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6">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6">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6">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6">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6">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6">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6">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6">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6">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6">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6">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6">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6">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6">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6">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6">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6">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6">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6">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6">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6">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6">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6">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6">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6">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6">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6">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6">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6">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6">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6">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6">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6">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6">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6">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6">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6">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6">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6">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6">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6">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6">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6">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6">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6">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6">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6">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6">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6">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6">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6">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6">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6">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6">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6">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6">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6">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6">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6">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6">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6">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6">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6">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6">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6">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6">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6">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6">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6">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6">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6">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6">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6">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6">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6">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6">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6">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6">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6">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6">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6">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6">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6">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6">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6">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6">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6">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6">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6">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6">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6">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6">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6">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6">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6">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6">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6">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6">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6">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6">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6">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6">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6">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6">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6">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6">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6">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6">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6">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6">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6">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6">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6">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6">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6">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6">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6">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6">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6">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6">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6">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6">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6">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6">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6">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6">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6">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6">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6">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6">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6">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6">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6">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6">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6">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6">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6">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6">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6">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6">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6">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6">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6">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6">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6">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6">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6">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6">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6">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6">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6">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6">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6">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6">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6">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6">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6">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6">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6">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6">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6">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6">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6">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6">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6">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6">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6">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6">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6">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6">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6">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6">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6">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6">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6">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6">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6">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6">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6">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6">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6">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6">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6">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6">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6">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6">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6">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6">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6">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6">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6">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6">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6">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6">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6">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6">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6">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6">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6">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6">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6">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6">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6">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6">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6">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6">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6">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6">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6">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6">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6">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6">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6">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6">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6">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6">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6">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6">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6">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6">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6">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6">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6">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6">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6">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6">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6">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6">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6">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6">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6">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6">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6">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6">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6">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6">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6">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6">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6">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6">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6">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6">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6">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6">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6">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6">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6">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6">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6">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6">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6">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6">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6">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6">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6">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6">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6">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6">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6">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6">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6">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6">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6">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6">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6">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6">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6">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6">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6">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6">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6">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6">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6">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6">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6">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6">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6">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6">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6">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6">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6">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6">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6">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6">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6">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6">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6">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6">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6">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6">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6">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6">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6">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6">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6">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6">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6">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6">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6">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6">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6">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6">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6">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6">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6">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6">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6">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6">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6">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6">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6">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6">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6">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6">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6">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6">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6">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6">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6">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6">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6">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6">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6">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6">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6">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6">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6">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6">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6">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6">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6">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6">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6">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6">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6">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6">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6">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6">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6">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6">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6">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6">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6">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6">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6">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6">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6">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6">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6">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mergeCells count="5">
    <mergeCell ref="A1:A2"/>
    <mergeCell ref="B2:F3"/>
    <mergeCell ref="G2:K3"/>
    <mergeCell ref="B35:F36"/>
    <mergeCell ref="G35:K3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4"/>
  <sheetViews>
    <sheetView workbookViewId="0"/>
  </sheetViews>
  <sheetFormatPr defaultColWidth="11.19921875" defaultRowHeight="15" customHeight="1"/>
  <cols>
    <col min="1" max="1" width="45.59765625" customWidth="1"/>
    <col min="2" max="26" width="8.59765625" customWidth="1"/>
  </cols>
  <sheetData>
    <row r="1" spans="1:10">
      <c r="A1" s="622" t="s">
        <v>361</v>
      </c>
      <c r="B1" s="622">
        <v>2020</v>
      </c>
      <c r="C1" s="622">
        <v>2019</v>
      </c>
      <c r="D1" s="622">
        <v>2018</v>
      </c>
      <c r="E1" s="622">
        <v>2017</v>
      </c>
      <c r="F1" s="622">
        <v>2016</v>
      </c>
      <c r="G1" s="622">
        <v>2015</v>
      </c>
      <c r="H1" s="622">
        <v>2014</v>
      </c>
      <c r="I1" s="622">
        <v>2013</v>
      </c>
      <c r="J1" s="622">
        <v>2012</v>
      </c>
    </row>
    <row r="2" spans="1:10">
      <c r="A2" s="622" t="s">
        <v>429</v>
      </c>
      <c r="B2" s="622" t="s">
        <v>430</v>
      </c>
      <c r="C2" s="622" t="s">
        <v>430</v>
      </c>
      <c r="D2" s="622" t="s">
        <v>430</v>
      </c>
      <c r="E2" s="622" t="s">
        <v>430</v>
      </c>
      <c r="F2" s="622" t="s">
        <v>431</v>
      </c>
      <c r="G2" s="622" t="s">
        <v>431</v>
      </c>
      <c r="H2" s="622" t="s">
        <v>431</v>
      </c>
      <c r="I2" s="622" t="s">
        <v>432</v>
      </c>
      <c r="J2" s="622" t="s">
        <v>433</v>
      </c>
    </row>
    <row r="3" spans="1:10">
      <c r="A3" s="622" t="s">
        <v>434</v>
      </c>
      <c r="B3" s="622" t="s">
        <v>435</v>
      </c>
      <c r="C3" s="622" t="s">
        <v>435</v>
      </c>
      <c r="D3" s="622" t="s">
        <v>435</v>
      </c>
      <c r="E3" s="622" t="s">
        <v>435</v>
      </c>
      <c r="F3" s="622" t="s">
        <v>435</v>
      </c>
      <c r="G3" s="622" t="s">
        <v>435</v>
      </c>
      <c r="H3" s="622" t="s">
        <v>435</v>
      </c>
      <c r="I3" s="622" t="s">
        <v>435</v>
      </c>
      <c r="J3" s="622" t="s">
        <v>433</v>
      </c>
    </row>
    <row r="4" spans="1:10">
      <c r="A4" s="623" t="s">
        <v>0</v>
      </c>
      <c r="B4" s="623">
        <v>1494.5</v>
      </c>
      <c r="C4" s="623">
        <v>1159.4000000000001</v>
      </c>
      <c r="D4" s="623">
        <v>559.5</v>
      </c>
      <c r="E4" s="623">
        <v>539.1</v>
      </c>
      <c r="F4" s="623">
        <v>431.4</v>
      </c>
      <c r="G4" s="623">
        <v>354.4</v>
      </c>
      <c r="H4" s="623">
        <v>338.8</v>
      </c>
      <c r="I4" s="623">
        <v>307.89999999999998</v>
      </c>
    </row>
    <row r="5" spans="1:10">
      <c r="A5" s="622" t="s">
        <v>1</v>
      </c>
      <c r="B5" s="622">
        <v>1.2</v>
      </c>
      <c r="C5" s="622">
        <v>0</v>
      </c>
      <c r="D5" s="622">
        <v>0</v>
      </c>
      <c r="E5" s="622">
        <v>0</v>
      </c>
      <c r="F5" s="622">
        <v>0</v>
      </c>
      <c r="G5" s="622">
        <v>0</v>
      </c>
      <c r="H5" s="622">
        <v>0</v>
      </c>
      <c r="I5" s="622">
        <v>0</v>
      </c>
    </row>
    <row r="6" spans="1:10">
      <c r="A6" s="623" t="s">
        <v>2</v>
      </c>
      <c r="B6" s="623">
        <v>1493.3</v>
      </c>
      <c r="C6" s="623">
        <v>1159.4000000000001</v>
      </c>
      <c r="D6" s="623">
        <v>559.5</v>
      </c>
      <c r="E6" s="623">
        <v>539.1</v>
      </c>
      <c r="F6" s="623">
        <v>431.4</v>
      </c>
      <c r="G6" s="623">
        <v>354.4</v>
      </c>
      <c r="H6" s="623">
        <v>338.8</v>
      </c>
      <c r="I6" s="623">
        <v>307.89999999999998</v>
      </c>
    </row>
    <row r="7" spans="1:10">
      <c r="A7" s="622" t="s">
        <v>3</v>
      </c>
      <c r="B7" s="622">
        <v>732.7</v>
      </c>
      <c r="C7" s="622">
        <v>509.7</v>
      </c>
      <c r="D7" s="622">
        <v>253.5</v>
      </c>
      <c r="E7" s="622">
        <v>227.3</v>
      </c>
      <c r="F7" s="622">
        <v>212.5</v>
      </c>
      <c r="G7" s="622">
        <v>157.30000000000001</v>
      </c>
      <c r="H7" s="622">
        <v>134.5</v>
      </c>
      <c r="I7" s="622">
        <v>118.2</v>
      </c>
    </row>
    <row r="8" spans="1:10">
      <c r="A8" s="623" t="s">
        <v>4</v>
      </c>
      <c r="B8" s="623">
        <v>760.7</v>
      </c>
      <c r="C8" s="623">
        <v>649.70000000000005</v>
      </c>
      <c r="D8" s="623">
        <v>306</v>
      </c>
      <c r="E8" s="623">
        <v>311.8</v>
      </c>
      <c r="F8" s="623">
        <v>218.9</v>
      </c>
      <c r="G8" s="623">
        <v>197</v>
      </c>
      <c r="H8" s="623">
        <v>204.3</v>
      </c>
      <c r="I8" s="623">
        <v>189.7</v>
      </c>
    </row>
    <row r="9" spans="1:10">
      <c r="A9" s="622" t="s">
        <v>5</v>
      </c>
      <c r="B9" s="622">
        <v>30.5</v>
      </c>
      <c r="C9" s="622">
        <v>24.2</v>
      </c>
      <c r="D9" s="622">
        <v>19.5</v>
      </c>
      <c r="E9" s="622">
        <v>18</v>
      </c>
      <c r="F9" s="622">
        <v>26.8</v>
      </c>
      <c r="G9" s="622">
        <v>34.4</v>
      </c>
      <c r="H9" s="622">
        <v>44.6</v>
      </c>
      <c r="I9" s="622">
        <v>33.799999999999997</v>
      </c>
    </row>
    <row r="10" spans="1:10">
      <c r="A10" s="622" t="s">
        <v>6</v>
      </c>
      <c r="B10" s="622">
        <v>371.2</v>
      </c>
      <c r="C10" s="622">
        <v>257.8</v>
      </c>
      <c r="D10" s="622">
        <v>41.1</v>
      </c>
      <c r="E10" s="622">
        <v>24.6</v>
      </c>
      <c r="F10" s="622">
        <v>45.8</v>
      </c>
      <c r="G10" s="622">
        <v>41.4</v>
      </c>
      <c r="H10" s="622">
        <v>76.3</v>
      </c>
      <c r="I10" s="622">
        <v>97.9</v>
      </c>
    </row>
    <row r="11" spans="1:10">
      <c r="A11" s="622" t="s">
        <v>7</v>
      </c>
      <c r="B11" s="622">
        <v>354.4</v>
      </c>
      <c r="C11" s="622">
        <v>244.9</v>
      </c>
      <c r="D11" s="622">
        <v>40.200000000000003</v>
      </c>
      <c r="E11" s="622">
        <v>24.4</v>
      </c>
      <c r="F11" s="622">
        <v>39.1</v>
      </c>
      <c r="G11" s="622">
        <v>41.1</v>
      </c>
      <c r="H11" s="622">
        <v>59.5</v>
      </c>
      <c r="I11" s="622">
        <v>78.3</v>
      </c>
    </row>
    <row r="12" spans="1:10">
      <c r="A12" s="622" t="s">
        <v>8</v>
      </c>
      <c r="B12" s="622">
        <v>0</v>
      </c>
      <c r="C12" s="622">
        <v>0</v>
      </c>
      <c r="D12" s="622">
        <v>0</v>
      </c>
      <c r="E12" s="622">
        <v>0</v>
      </c>
      <c r="F12" s="622">
        <v>0</v>
      </c>
      <c r="G12" s="622">
        <v>0</v>
      </c>
      <c r="H12" s="622">
        <v>0</v>
      </c>
      <c r="I12" s="622">
        <v>6.5</v>
      </c>
    </row>
    <row r="13" spans="1:10">
      <c r="A13" s="622" t="s">
        <v>9</v>
      </c>
      <c r="B13" s="622">
        <v>1.7</v>
      </c>
      <c r="C13" s="622">
        <v>0.6</v>
      </c>
      <c r="D13" s="622">
        <v>0.6</v>
      </c>
      <c r="E13" s="622">
        <v>1</v>
      </c>
      <c r="F13" s="622">
        <v>0.1</v>
      </c>
      <c r="G13" s="622">
        <v>0</v>
      </c>
      <c r="H13" s="622">
        <v>0.2</v>
      </c>
      <c r="I13" s="622">
        <v>0</v>
      </c>
    </row>
    <row r="14" spans="1:10">
      <c r="A14" s="622" t="s">
        <v>10</v>
      </c>
      <c r="B14" s="622">
        <v>114.3</v>
      </c>
      <c r="C14" s="622">
        <v>111.2</v>
      </c>
      <c r="D14" s="622">
        <v>76.599999999999994</v>
      </c>
      <c r="E14" s="622">
        <v>65.099999999999994</v>
      </c>
      <c r="F14" s="622">
        <v>51.3</v>
      </c>
      <c r="G14" s="622">
        <v>42.1</v>
      </c>
      <c r="H14" s="622">
        <v>40.4</v>
      </c>
      <c r="I14" s="622">
        <v>30.3</v>
      </c>
    </row>
    <row r="15" spans="1:10">
      <c r="A15" s="623" t="s">
        <v>11</v>
      </c>
      <c r="B15" s="623">
        <v>303.89999999999998</v>
      </c>
      <c r="C15" s="623">
        <v>304.3</v>
      </c>
      <c r="D15" s="623">
        <v>207.1</v>
      </c>
      <c r="E15" s="623">
        <v>239.2</v>
      </c>
      <c r="F15" s="623">
        <v>148.5</v>
      </c>
      <c r="G15" s="623">
        <v>147.80000000000001</v>
      </c>
      <c r="H15" s="623">
        <v>132.1</v>
      </c>
      <c r="I15" s="623">
        <v>101.8</v>
      </c>
    </row>
    <row r="16" spans="1:10">
      <c r="A16" s="622" t="s">
        <v>12</v>
      </c>
      <c r="B16" s="622">
        <v>5.8</v>
      </c>
      <c r="C16" s="622">
        <v>1</v>
      </c>
      <c r="D16" s="622">
        <v>2.4</v>
      </c>
      <c r="E16" s="622">
        <v>2.2000000000000002</v>
      </c>
      <c r="F16" s="622">
        <v>2.7</v>
      </c>
      <c r="G16" s="622">
        <v>2.7</v>
      </c>
      <c r="H16" s="622">
        <v>3.6</v>
      </c>
      <c r="I16" s="622">
        <v>7.4</v>
      </c>
    </row>
    <row r="17" spans="1:9">
      <c r="A17" s="622" t="s">
        <v>13</v>
      </c>
      <c r="B17" s="622">
        <v>1.2</v>
      </c>
      <c r="C17" s="622">
        <v>1.3</v>
      </c>
      <c r="D17" s="622">
        <v>2.6</v>
      </c>
      <c r="E17" s="622">
        <v>10.9</v>
      </c>
      <c r="F17" s="622">
        <v>1.9</v>
      </c>
      <c r="G17" s="622">
        <v>2</v>
      </c>
      <c r="H17" s="622">
        <v>7.6</v>
      </c>
      <c r="I17" s="622">
        <v>4.5999999999999996</v>
      </c>
    </row>
    <row r="18" spans="1:9">
      <c r="A18" s="622" t="s">
        <v>14</v>
      </c>
      <c r="B18" s="622">
        <v>4.7</v>
      </c>
      <c r="C18" s="622">
        <v>-0.3</v>
      </c>
      <c r="D18" s="622">
        <v>-0.2</v>
      </c>
      <c r="E18" s="622">
        <v>-8.6999999999999993</v>
      </c>
      <c r="F18" s="622">
        <v>0.7</v>
      </c>
      <c r="G18" s="622">
        <v>0.7</v>
      </c>
      <c r="H18" s="622">
        <v>-4.0999999999999996</v>
      </c>
      <c r="I18" s="622">
        <v>2.8</v>
      </c>
    </row>
    <row r="19" spans="1:9">
      <c r="A19" s="623" t="s">
        <v>15</v>
      </c>
      <c r="B19" s="623">
        <v>308.60000000000002</v>
      </c>
      <c r="C19" s="623">
        <v>303.89999999999998</v>
      </c>
      <c r="D19" s="623">
        <v>206.9</v>
      </c>
      <c r="E19" s="623">
        <v>230.4</v>
      </c>
      <c r="F19" s="623">
        <v>149.19999999999999</v>
      </c>
      <c r="G19" s="623">
        <v>148.5</v>
      </c>
      <c r="H19" s="623">
        <v>128</v>
      </c>
      <c r="I19" s="623">
        <v>104.6</v>
      </c>
    </row>
    <row r="20" spans="1:9">
      <c r="A20" s="622" t="s">
        <v>16</v>
      </c>
      <c r="B20" s="622">
        <v>14.1</v>
      </c>
      <c r="C20" s="622">
        <v>13.7</v>
      </c>
      <c r="D20" s="622">
        <v>20.6</v>
      </c>
      <c r="E20" s="622">
        <v>21.4</v>
      </c>
      <c r="F20" s="622">
        <v>13.1</v>
      </c>
      <c r="G20" s="622">
        <v>16.600000000000001</v>
      </c>
      <c r="H20" s="622">
        <v>16.8</v>
      </c>
      <c r="I20" s="622">
        <v>14.5</v>
      </c>
    </row>
    <row r="21" spans="1:9">
      <c r="A21" s="622" t="s">
        <v>17</v>
      </c>
      <c r="B21" s="622">
        <v>-0.5</v>
      </c>
      <c r="C21" s="622">
        <v>-0.3</v>
      </c>
      <c r="D21" s="622">
        <v>-1</v>
      </c>
      <c r="E21" s="622">
        <v>-0.3</v>
      </c>
      <c r="F21" s="622">
        <v>1.8</v>
      </c>
      <c r="G21" s="622">
        <v>-0.4</v>
      </c>
      <c r="H21" s="622">
        <v>-1.9</v>
      </c>
      <c r="I21" s="622">
        <v>-1</v>
      </c>
    </row>
    <row r="22" spans="1:9">
      <c r="A22" s="623" t="s">
        <v>18</v>
      </c>
      <c r="B22" s="623">
        <v>295</v>
      </c>
      <c r="C22" s="623">
        <v>290.5</v>
      </c>
      <c r="D22" s="623">
        <v>187.3</v>
      </c>
      <c r="E22" s="623">
        <v>209.3</v>
      </c>
      <c r="F22" s="623">
        <v>134.4</v>
      </c>
      <c r="G22" s="623">
        <v>132.30000000000001</v>
      </c>
      <c r="H22" s="623">
        <v>113.2</v>
      </c>
      <c r="I22" s="623">
        <v>91</v>
      </c>
    </row>
    <row r="23" spans="1:9">
      <c r="A23" s="622" t="s">
        <v>19</v>
      </c>
      <c r="B23" s="622">
        <v>37.6</v>
      </c>
      <c r="C23" s="622">
        <v>39.5</v>
      </c>
      <c r="D23" s="622">
        <v>42.6</v>
      </c>
      <c r="E23" s="622">
        <v>55.5</v>
      </c>
      <c r="F23" s="622">
        <v>39.299999999999997</v>
      </c>
      <c r="G23" s="622">
        <v>39.6</v>
      </c>
      <c r="H23" s="622">
        <v>37.200000000000003</v>
      </c>
      <c r="I23" s="622">
        <v>39.1</v>
      </c>
    </row>
    <row r="24" spans="1:9">
      <c r="A24" s="623" t="s">
        <v>20</v>
      </c>
      <c r="B24" s="623">
        <v>257.39999999999998</v>
      </c>
      <c r="C24" s="623">
        <v>251</v>
      </c>
      <c r="D24" s="623">
        <v>144.69999999999999</v>
      </c>
      <c r="E24" s="623">
        <v>153.80000000000001</v>
      </c>
      <c r="F24" s="623">
        <v>95.1</v>
      </c>
      <c r="G24" s="623">
        <v>92.7</v>
      </c>
      <c r="H24" s="623">
        <v>76</v>
      </c>
      <c r="I24" s="623">
        <v>52</v>
      </c>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46"/>
  <sheetViews>
    <sheetView workbookViewId="0"/>
  </sheetViews>
  <sheetFormatPr defaultColWidth="11.19921875" defaultRowHeight="15" customHeight="1"/>
  <cols>
    <col min="1" max="1" width="66.296875" customWidth="1"/>
    <col min="2" max="26" width="8.59765625" customWidth="1"/>
  </cols>
  <sheetData>
    <row r="1" spans="1:10" ht="15.6">
      <c r="A1" s="622" t="s">
        <v>361</v>
      </c>
      <c r="B1" s="622">
        <v>2020</v>
      </c>
      <c r="C1" s="622">
        <v>2019</v>
      </c>
      <c r="D1" s="622">
        <v>2018</v>
      </c>
      <c r="E1" s="622">
        <v>2017</v>
      </c>
      <c r="F1" s="622">
        <v>2016</v>
      </c>
      <c r="G1" s="622">
        <v>2015</v>
      </c>
      <c r="H1" s="622">
        <v>2014</v>
      </c>
      <c r="I1" s="622">
        <v>2013</v>
      </c>
      <c r="J1" s="622">
        <v>2012</v>
      </c>
    </row>
    <row r="2" spans="1:10" ht="15.6">
      <c r="A2" s="622" t="s">
        <v>429</v>
      </c>
      <c r="B2" s="622" t="s">
        <v>430</v>
      </c>
      <c r="C2" s="622" t="s">
        <v>430</v>
      </c>
      <c r="D2" s="622" t="s">
        <v>430</v>
      </c>
      <c r="E2" s="622" t="s">
        <v>430</v>
      </c>
      <c r="F2" s="622" t="s">
        <v>431</v>
      </c>
      <c r="G2" s="622" t="s">
        <v>431</v>
      </c>
      <c r="H2" s="622" t="s">
        <v>431</v>
      </c>
      <c r="I2" s="622" t="s">
        <v>432</v>
      </c>
      <c r="J2" s="622" t="s">
        <v>433</v>
      </c>
    </row>
    <row r="3" spans="1:10" ht="15.6">
      <c r="A3" s="622" t="s">
        <v>434</v>
      </c>
      <c r="B3" s="622" t="s">
        <v>435</v>
      </c>
      <c r="C3" s="622" t="s">
        <v>435</v>
      </c>
      <c r="D3" s="622" t="s">
        <v>435</v>
      </c>
      <c r="E3" s="622" t="s">
        <v>435</v>
      </c>
      <c r="F3" s="622" t="s">
        <v>435</v>
      </c>
      <c r="G3" s="622" t="s">
        <v>435</v>
      </c>
      <c r="H3" s="622" t="s">
        <v>435</v>
      </c>
      <c r="I3" s="622" t="s">
        <v>435</v>
      </c>
      <c r="J3" s="622" t="s">
        <v>433</v>
      </c>
    </row>
    <row r="4" spans="1:10" ht="15.6">
      <c r="A4" s="623" t="s">
        <v>21</v>
      </c>
      <c r="B4" s="623">
        <v>420.6</v>
      </c>
      <c r="C4" s="623">
        <v>-332.8</v>
      </c>
      <c r="D4" s="623">
        <v>141.1</v>
      </c>
      <c r="E4" s="623">
        <v>243.8</v>
      </c>
      <c r="F4" s="623">
        <v>168.4</v>
      </c>
      <c r="G4" s="623">
        <v>71.900000000000006</v>
      </c>
      <c r="H4" s="623">
        <v>345.1</v>
      </c>
      <c r="I4" s="623">
        <v>66.900000000000006</v>
      </c>
    </row>
    <row r="5" spans="1:10" ht="15.6">
      <c r="A5" s="623" t="s">
        <v>22</v>
      </c>
      <c r="B5" s="623">
        <v>308.60000000000002</v>
      </c>
      <c r="C5" s="623">
        <v>303.89999999999998</v>
      </c>
      <c r="D5" s="623">
        <v>206.9</v>
      </c>
      <c r="E5" s="623">
        <v>230.4</v>
      </c>
      <c r="F5" s="623">
        <v>149.19999999999999</v>
      </c>
      <c r="G5" s="623">
        <v>148.5</v>
      </c>
      <c r="H5" s="623">
        <v>0</v>
      </c>
      <c r="I5" s="623">
        <v>0</v>
      </c>
    </row>
    <row r="6" spans="1:10" ht="15.6">
      <c r="A6" s="623" t="s">
        <v>23</v>
      </c>
      <c r="B6" s="623">
        <v>0</v>
      </c>
      <c r="C6" s="623">
        <v>0</v>
      </c>
      <c r="D6" s="623">
        <v>0</v>
      </c>
      <c r="E6" s="623">
        <v>0</v>
      </c>
      <c r="F6" s="623">
        <v>0</v>
      </c>
      <c r="G6" s="623">
        <v>0</v>
      </c>
      <c r="H6" s="623">
        <v>0</v>
      </c>
      <c r="I6" s="623">
        <v>0</v>
      </c>
    </row>
    <row r="7" spans="1:10" ht="15.6">
      <c r="A7" s="622" t="s">
        <v>24</v>
      </c>
      <c r="B7" s="622">
        <v>354</v>
      </c>
      <c r="C7" s="622">
        <v>285</v>
      </c>
      <c r="D7" s="622">
        <v>97.5</v>
      </c>
      <c r="E7" s="622">
        <v>79.5</v>
      </c>
      <c r="F7" s="622">
        <v>79.8</v>
      </c>
      <c r="G7" s="622">
        <v>74</v>
      </c>
      <c r="H7" s="622">
        <v>0</v>
      </c>
      <c r="I7" s="622">
        <v>0</v>
      </c>
    </row>
    <row r="8" spans="1:10" ht="15.6">
      <c r="A8" s="622" t="s">
        <v>25</v>
      </c>
      <c r="B8" s="622">
        <v>-0.4</v>
      </c>
      <c r="C8" s="622">
        <v>0.5</v>
      </c>
      <c r="D8" s="622">
        <v>0.3</v>
      </c>
      <c r="E8" s="622">
        <v>0.3</v>
      </c>
      <c r="F8" s="622">
        <v>0</v>
      </c>
      <c r="G8" s="622">
        <v>-0.4</v>
      </c>
      <c r="H8" s="622">
        <v>0</v>
      </c>
      <c r="I8" s="622">
        <v>0</v>
      </c>
    </row>
    <row r="9" spans="1:10" ht="15.6">
      <c r="A9" s="622" t="s">
        <v>26</v>
      </c>
      <c r="B9" s="622">
        <v>-25.8</v>
      </c>
      <c r="C9" s="622">
        <v>-23.7</v>
      </c>
      <c r="D9" s="622">
        <v>-19.100000000000001</v>
      </c>
      <c r="E9" s="622">
        <v>-11.2</v>
      </c>
      <c r="F9" s="622">
        <v>-27.1</v>
      </c>
      <c r="G9" s="622">
        <v>-34.5</v>
      </c>
      <c r="H9" s="622">
        <v>0</v>
      </c>
      <c r="I9" s="622">
        <v>0</v>
      </c>
    </row>
    <row r="10" spans="1:10" ht="15.6">
      <c r="A10" s="622" t="s">
        <v>27</v>
      </c>
      <c r="B10" s="622">
        <v>1.4</v>
      </c>
      <c r="C10" s="622">
        <v>0.5</v>
      </c>
      <c r="D10" s="622">
        <v>0.8</v>
      </c>
      <c r="E10" s="622">
        <v>0</v>
      </c>
      <c r="F10" s="622">
        <v>0</v>
      </c>
      <c r="G10" s="622">
        <v>0.2</v>
      </c>
      <c r="H10" s="622">
        <v>0</v>
      </c>
      <c r="I10" s="622">
        <v>0</v>
      </c>
    </row>
    <row r="11" spans="1:10" ht="15.6">
      <c r="A11" s="622" t="s">
        <v>28</v>
      </c>
      <c r="B11" s="622">
        <v>0</v>
      </c>
      <c r="C11" s="622">
        <v>0</v>
      </c>
      <c r="D11" s="622">
        <v>0</v>
      </c>
      <c r="E11" s="622">
        <v>0</v>
      </c>
      <c r="F11" s="622">
        <v>0</v>
      </c>
      <c r="G11" s="622">
        <v>0</v>
      </c>
      <c r="H11" s="622">
        <v>0</v>
      </c>
      <c r="I11" s="622">
        <v>0</v>
      </c>
    </row>
    <row r="12" spans="1:10" ht="15.6">
      <c r="A12" s="622" t="s">
        <v>29</v>
      </c>
      <c r="B12" s="622">
        <v>357.9</v>
      </c>
      <c r="C12" s="622">
        <v>247.3</v>
      </c>
      <c r="D12" s="622">
        <v>40.200000000000003</v>
      </c>
      <c r="E12" s="622">
        <v>24.4</v>
      </c>
      <c r="F12" s="622">
        <v>39.1</v>
      </c>
      <c r="G12" s="622">
        <v>41.1</v>
      </c>
      <c r="H12" s="622">
        <v>0</v>
      </c>
      <c r="I12" s="622">
        <v>0</v>
      </c>
    </row>
    <row r="13" spans="1:10" ht="15.6">
      <c r="A13" s="622" t="s">
        <v>30</v>
      </c>
      <c r="B13" s="622">
        <v>0</v>
      </c>
      <c r="C13" s="622">
        <v>0</v>
      </c>
      <c r="D13" s="622">
        <v>0</v>
      </c>
      <c r="E13" s="622">
        <v>0</v>
      </c>
      <c r="F13" s="622">
        <v>0.9</v>
      </c>
      <c r="G13" s="622">
        <v>0</v>
      </c>
      <c r="H13" s="622">
        <v>0</v>
      </c>
      <c r="I13" s="622">
        <v>0</v>
      </c>
    </row>
    <row r="14" spans="1:10" ht="15.6">
      <c r="A14" s="622" t="s">
        <v>31</v>
      </c>
      <c r="B14" s="622">
        <v>0</v>
      </c>
      <c r="C14" s="622">
        <v>0</v>
      </c>
      <c r="D14" s="622">
        <v>0</v>
      </c>
      <c r="E14" s="622">
        <v>0</v>
      </c>
      <c r="F14" s="622">
        <v>0</v>
      </c>
      <c r="G14" s="622">
        <v>0</v>
      </c>
      <c r="H14" s="622">
        <v>0</v>
      </c>
      <c r="I14" s="622">
        <v>0</v>
      </c>
    </row>
    <row r="15" spans="1:10" ht="15.6">
      <c r="A15" s="622" t="s">
        <v>32</v>
      </c>
      <c r="B15" s="622">
        <v>0</v>
      </c>
      <c r="C15" s="622">
        <v>0</v>
      </c>
      <c r="D15" s="622">
        <v>0</v>
      </c>
      <c r="E15" s="622">
        <v>0</v>
      </c>
      <c r="F15" s="622">
        <v>0</v>
      </c>
      <c r="G15" s="622">
        <v>0</v>
      </c>
      <c r="H15" s="622">
        <v>0</v>
      </c>
      <c r="I15" s="622">
        <v>0</v>
      </c>
    </row>
    <row r="16" spans="1:10" ht="15.6" hidden="1">
      <c r="A16" s="622" t="s">
        <v>33</v>
      </c>
      <c r="B16" s="622">
        <v>0</v>
      </c>
      <c r="C16" s="622">
        <v>0</v>
      </c>
      <c r="D16" s="622">
        <v>0</v>
      </c>
      <c r="E16" s="622">
        <v>0</v>
      </c>
      <c r="F16" s="622">
        <v>0</v>
      </c>
      <c r="G16" s="622">
        <v>0</v>
      </c>
      <c r="H16" s="622">
        <v>0</v>
      </c>
      <c r="I16" s="622">
        <v>0</v>
      </c>
    </row>
    <row r="17" spans="1:9" ht="15.6">
      <c r="A17" s="623" t="s">
        <v>34</v>
      </c>
      <c r="B17" s="623">
        <v>995.7</v>
      </c>
      <c r="C17" s="623">
        <v>813.5</v>
      </c>
      <c r="D17" s="623">
        <v>326.60000000000002</v>
      </c>
      <c r="E17" s="623">
        <v>323.5</v>
      </c>
      <c r="F17" s="623">
        <v>242</v>
      </c>
      <c r="G17" s="623">
        <v>229</v>
      </c>
      <c r="H17" s="623">
        <v>0</v>
      </c>
      <c r="I17" s="623">
        <v>0</v>
      </c>
    </row>
    <row r="18" spans="1:9" ht="15.6">
      <c r="A18" s="622" t="s">
        <v>35</v>
      </c>
      <c r="B18" s="622">
        <v>-667.3</v>
      </c>
      <c r="C18" s="622">
        <v>-295.7</v>
      </c>
      <c r="D18" s="622">
        <v>-95.2</v>
      </c>
      <c r="E18" s="622">
        <v>-18.100000000000001</v>
      </c>
      <c r="F18" s="622">
        <v>-11.2</v>
      </c>
      <c r="G18" s="622">
        <v>-110</v>
      </c>
      <c r="H18" s="622">
        <v>0</v>
      </c>
      <c r="I18" s="622">
        <v>0</v>
      </c>
    </row>
    <row r="19" spans="1:9" ht="15.6">
      <c r="A19" s="622" t="s">
        <v>36</v>
      </c>
      <c r="B19" s="622">
        <v>0</v>
      </c>
      <c r="C19" s="622">
        <v>0</v>
      </c>
      <c r="D19" s="622">
        <v>0</v>
      </c>
      <c r="E19" s="622">
        <v>0</v>
      </c>
      <c r="F19" s="622">
        <v>0</v>
      </c>
      <c r="G19" s="622">
        <v>0</v>
      </c>
      <c r="H19" s="622">
        <v>0</v>
      </c>
      <c r="I19" s="622">
        <v>0</v>
      </c>
    </row>
    <row r="20" spans="1:9" ht="15.6">
      <c r="A20" s="622" t="s">
        <v>37</v>
      </c>
      <c r="B20" s="622">
        <v>161.80000000000001</v>
      </c>
      <c r="C20" s="622">
        <v>-289.39999999999998</v>
      </c>
      <c r="D20" s="622">
        <v>0.8</v>
      </c>
      <c r="E20" s="622">
        <v>-10</v>
      </c>
      <c r="F20" s="622">
        <v>-5.9</v>
      </c>
      <c r="G20" s="622">
        <v>4.7</v>
      </c>
      <c r="H20" s="622">
        <v>0</v>
      </c>
      <c r="I20" s="622">
        <v>0</v>
      </c>
    </row>
    <row r="21" spans="1:9" ht="15.6">
      <c r="A21" s="622" t="s">
        <v>38</v>
      </c>
      <c r="B21" s="622">
        <v>324.8</v>
      </c>
      <c r="C21" s="622">
        <v>-282.39999999999998</v>
      </c>
      <c r="D21" s="622">
        <v>7.7</v>
      </c>
      <c r="E21" s="622">
        <v>3.1</v>
      </c>
      <c r="F21" s="622">
        <v>10</v>
      </c>
      <c r="G21" s="622">
        <v>7.9</v>
      </c>
      <c r="H21" s="622">
        <v>0</v>
      </c>
      <c r="I21" s="622">
        <v>0</v>
      </c>
    </row>
    <row r="22" spans="1:9" ht="15.6">
      <c r="A22" s="622" t="s">
        <v>39</v>
      </c>
      <c r="B22" s="622">
        <v>-8.6</v>
      </c>
      <c r="C22" s="622">
        <v>-13.2</v>
      </c>
      <c r="D22" s="622">
        <v>-10.5</v>
      </c>
      <c r="E22" s="622">
        <v>4.3</v>
      </c>
      <c r="F22" s="622">
        <v>2</v>
      </c>
      <c r="G22" s="622">
        <v>3</v>
      </c>
      <c r="H22" s="622">
        <v>0</v>
      </c>
      <c r="I22" s="622">
        <v>0</v>
      </c>
    </row>
    <row r="23" spans="1:9" ht="15.6">
      <c r="A23" s="622" t="s">
        <v>40</v>
      </c>
      <c r="B23" s="622">
        <v>-356.2</v>
      </c>
      <c r="C23" s="622">
        <v>-246.7</v>
      </c>
      <c r="D23" s="622">
        <v>-50.1</v>
      </c>
      <c r="E23" s="622">
        <v>-31.3</v>
      </c>
      <c r="F23" s="622">
        <v>-42.6</v>
      </c>
      <c r="G23" s="622">
        <v>-42.5</v>
      </c>
      <c r="H23" s="622">
        <v>0</v>
      </c>
      <c r="I23" s="622">
        <v>0</v>
      </c>
    </row>
    <row r="24" spans="1:9" ht="15.6">
      <c r="A24" s="622" t="s">
        <v>41</v>
      </c>
      <c r="B24" s="622">
        <v>-11.3</v>
      </c>
      <c r="C24" s="622">
        <v>-13</v>
      </c>
      <c r="D24" s="622">
        <v>-25.8</v>
      </c>
      <c r="E24" s="622">
        <v>-16.899999999999999</v>
      </c>
      <c r="F24" s="622">
        <v>-19.399999999999999</v>
      </c>
      <c r="G24" s="622">
        <v>-11.7</v>
      </c>
      <c r="H24" s="622">
        <v>0</v>
      </c>
      <c r="I24" s="622">
        <v>0</v>
      </c>
    </row>
    <row r="25" spans="1:9" ht="15.6">
      <c r="A25" s="622" t="s">
        <v>42</v>
      </c>
      <c r="B25" s="622">
        <v>0</v>
      </c>
      <c r="C25" s="622">
        <v>0</v>
      </c>
      <c r="D25" s="622">
        <v>0</v>
      </c>
      <c r="E25" s="622">
        <v>0</v>
      </c>
      <c r="F25" s="622">
        <v>0</v>
      </c>
      <c r="G25" s="622">
        <v>0</v>
      </c>
      <c r="H25" s="622">
        <v>0</v>
      </c>
      <c r="I25" s="622">
        <v>0</v>
      </c>
    </row>
    <row r="26" spans="1:9" ht="15.6">
      <c r="A26" s="622" t="s">
        <v>43</v>
      </c>
      <c r="B26" s="622">
        <v>-18.399999999999999</v>
      </c>
      <c r="C26" s="622">
        <v>-5.9</v>
      </c>
      <c r="D26" s="622">
        <v>-12.3</v>
      </c>
      <c r="E26" s="622">
        <v>-10.9</v>
      </c>
      <c r="F26" s="622">
        <v>-6.4</v>
      </c>
      <c r="G26" s="622">
        <v>-8.5</v>
      </c>
      <c r="H26" s="622">
        <v>0</v>
      </c>
      <c r="I26" s="622">
        <v>0</v>
      </c>
    </row>
    <row r="27" spans="1:9" ht="15.6">
      <c r="A27" s="623" t="s">
        <v>44</v>
      </c>
      <c r="B27" s="623">
        <v>-937.2</v>
      </c>
      <c r="C27" s="623">
        <v>-2642.1</v>
      </c>
      <c r="D27" s="623">
        <v>-1945.9</v>
      </c>
      <c r="E27" s="623">
        <v>4.5999999999999996</v>
      </c>
      <c r="F27" s="623">
        <v>90.9</v>
      </c>
      <c r="G27" s="623">
        <v>-121.7</v>
      </c>
      <c r="H27" s="623">
        <v>-181.1</v>
      </c>
      <c r="I27" s="623">
        <v>-253.5</v>
      </c>
    </row>
    <row r="28" spans="1:9" ht="15.6">
      <c r="A28" s="622" t="s">
        <v>45</v>
      </c>
      <c r="B28" s="622">
        <v>-779.3</v>
      </c>
      <c r="C28" s="622">
        <v>-2667.7</v>
      </c>
      <c r="D28" s="622">
        <v>-1810</v>
      </c>
      <c r="E28" s="622">
        <v>-46.8</v>
      </c>
      <c r="F28" s="622">
        <v>-40.5</v>
      </c>
      <c r="G28" s="622">
        <v>-205.1</v>
      </c>
      <c r="H28" s="622">
        <v>-36.799999999999997</v>
      </c>
      <c r="I28" s="622">
        <v>-279.39999999999998</v>
      </c>
    </row>
    <row r="29" spans="1:9" ht="15.6">
      <c r="A29" s="622" t="s">
        <v>46</v>
      </c>
      <c r="B29" s="622">
        <v>32.1</v>
      </c>
      <c r="C29" s="622">
        <v>2.8</v>
      </c>
      <c r="D29" s="622">
        <v>0.2</v>
      </c>
      <c r="E29" s="622">
        <v>2.7</v>
      </c>
      <c r="F29" s="622">
        <v>0.9</v>
      </c>
      <c r="G29" s="622">
        <v>0.3</v>
      </c>
      <c r="H29" s="622">
        <v>1.1000000000000001</v>
      </c>
      <c r="I29" s="622">
        <v>1.7</v>
      </c>
    </row>
    <row r="30" spans="1:9" ht="15.6">
      <c r="A30" s="622" t="s">
        <v>47</v>
      </c>
      <c r="B30" s="622">
        <v>-166.3</v>
      </c>
      <c r="C30" s="622">
        <v>-252.4</v>
      </c>
      <c r="D30" s="622">
        <v>-273.8</v>
      </c>
      <c r="E30" s="622">
        <v>-158</v>
      </c>
      <c r="F30" s="622">
        <v>-81.7</v>
      </c>
      <c r="G30" s="622">
        <v>-9.6</v>
      </c>
      <c r="H30" s="622">
        <v>-285.8</v>
      </c>
      <c r="I30" s="622">
        <v>-5.5</v>
      </c>
    </row>
    <row r="31" spans="1:9" ht="15.6">
      <c r="A31" s="622" t="s">
        <v>48</v>
      </c>
      <c r="B31" s="622">
        <v>192</v>
      </c>
      <c r="C31" s="622">
        <v>334.5</v>
      </c>
      <c r="D31" s="622">
        <v>123.8</v>
      </c>
      <c r="E31" s="622">
        <v>130.5</v>
      </c>
      <c r="F31" s="622">
        <v>171</v>
      </c>
      <c r="G31" s="622">
        <v>47.9</v>
      </c>
      <c r="H31" s="622">
        <v>49.5</v>
      </c>
      <c r="I31" s="622">
        <v>22</v>
      </c>
    </row>
    <row r="32" spans="1:9" ht="15.6">
      <c r="A32" s="622" t="s">
        <v>49</v>
      </c>
      <c r="B32" s="622">
        <v>-247.8</v>
      </c>
      <c r="C32" s="622">
        <v>-82</v>
      </c>
      <c r="D32" s="622">
        <v>0</v>
      </c>
      <c r="E32" s="622">
        <v>0</v>
      </c>
      <c r="F32" s="622">
        <v>-12</v>
      </c>
      <c r="G32" s="622">
        <v>-2.2000000000000002</v>
      </c>
      <c r="H32" s="622">
        <v>-32.700000000000003</v>
      </c>
      <c r="I32" s="622">
        <v>-49.1</v>
      </c>
    </row>
    <row r="33" spans="1:9" ht="15.6">
      <c r="A33" s="622" t="s">
        <v>50</v>
      </c>
      <c r="B33" s="622">
        <v>11.8</v>
      </c>
      <c r="C33" s="622">
        <v>0</v>
      </c>
      <c r="D33" s="622">
        <v>0</v>
      </c>
      <c r="E33" s="622">
        <v>54.9</v>
      </c>
      <c r="F33" s="622">
        <v>37.4</v>
      </c>
      <c r="G33" s="622">
        <v>27.2</v>
      </c>
      <c r="H33" s="622">
        <v>106.8</v>
      </c>
      <c r="I33" s="622">
        <v>28.5</v>
      </c>
    </row>
    <row r="34" spans="1:9" ht="15.6">
      <c r="A34" s="622" t="s">
        <v>51</v>
      </c>
      <c r="B34" s="622">
        <v>20.399999999999999</v>
      </c>
      <c r="C34" s="622">
        <v>22.7</v>
      </c>
      <c r="D34" s="622">
        <v>13.9</v>
      </c>
      <c r="E34" s="622">
        <v>21.4</v>
      </c>
      <c r="F34" s="622">
        <v>15.7</v>
      </c>
      <c r="G34" s="622">
        <v>19.8</v>
      </c>
      <c r="H34" s="622">
        <v>16.8</v>
      </c>
      <c r="I34" s="622">
        <v>28.3</v>
      </c>
    </row>
    <row r="35" spans="1:9" ht="15.6">
      <c r="A35" s="622" t="s">
        <v>52</v>
      </c>
      <c r="B35" s="622">
        <v>0</v>
      </c>
      <c r="C35" s="622">
        <v>0</v>
      </c>
      <c r="D35" s="622">
        <v>0</v>
      </c>
      <c r="E35" s="622">
        <v>0</v>
      </c>
      <c r="F35" s="622">
        <v>0</v>
      </c>
      <c r="G35" s="622">
        <v>0</v>
      </c>
      <c r="H35" s="622">
        <v>0</v>
      </c>
      <c r="I35" s="622">
        <v>0</v>
      </c>
    </row>
    <row r="36" spans="1:9" ht="15.6">
      <c r="A36" s="623" t="s">
        <v>53</v>
      </c>
      <c r="B36" s="623">
        <v>546.70000000000005</v>
      </c>
      <c r="C36" s="623">
        <v>2471.1</v>
      </c>
      <c r="D36" s="623">
        <v>2191.1999999999998</v>
      </c>
      <c r="E36" s="623">
        <v>-93.4</v>
      </c>
      <c r="F36" s="623">
        <v>-280</v>
      </c>
      <c r="G36" s="623">
        <v>40.700000000000003</v>
      </c>
      <c r="H36" s="623">
        <v>-96.2</v>
      </c>
      <c r="I36" s="623">
        <v>111.1</v>
      </c>
    </row>
    <row r="37" spans="1:9" ht="15.6">
      <c r="A37" s="622" t="s">
        <v>54</v>
      </c>
      <c r="B37" s="622">
        <v>673.3</v>
      </c>
      <c r="C37" s="622">
        <v>270.3</v>
      </c>
      <c r="D37" s="622">
        <v>1049.8</v>
      </c>
      <c r="E37" s="622">
        <v>1</v>
      </c>
      <c r="F37" s="622">
        <v>0</v>
      </c>
      <c r="G37" s="622">
        <v>0</v>
      </c>
      <c r="H37" s="622">
        <v>83.1</v>
      </c>
      <c r="I37" s="622">
        <v>0</v>
      </c>
    </row>
    <row r="38" spans="1:9" ht="15.6">
      <c r="A38" s="622" t="s">
        <v>55</v>
      </c>
      <c r="B38" s="622">
        <v>0</v>
      </c>
      <c r="C38" s="622">
        <v>0</v>
      </c>
      <c r="D38" s="622">
        <v>0</v>
      </c>
      <c r="E38" s="622">
        <v>0</v>
      </c>
      <c r="F38" s="622">
        <v>0</v>
      </c>
      <c r="G38" s="622">
        <v>0</v>
      </c>
      <c r="H38" s="622">
        <v>0</v>
      </c>
      <c r="I38" s="622">
        <v>0</v>
      </c>
    </row>
    <row r="39" spans="1:9" ht="15.6">
      <c r="A39" s="622" t="s">
        <v>56</v>
      </c>
      <c r="B39" s="622">
        <v>1130.0999999999999</v>
      </c>
      <c r="C39" s="622">
        <v>2901.4</v>
      </c>
      <c r="D39" s="622">
        <v>1489.4</v>
      </c>
      <c r="E39" s="622">
        <v>97.7</v>
      </c>
      <c r="F39" s="622">
        <v>207.6</v>
      </c>
      <c r="G39" s="622">
        <v>397.1</v>
      </c>
      <c r="H39" s="622">
        <v>271</v>
      </c>
      <c r="I39" s="622">
        <v>439.3</v>
      </c>
    </row>
    <row r="40" spans="1:9" ht="15.6">
      <c r="A40" s="622" t="s">
        <v>57</v>
      </c>
      <c r="B40" s="622">
        <v>-1220.5</v>
      </c>
      <c r="C40" s="622">
        <v>-533.6</v>
      </c>
      <c r="D40" s="622">
        <v>-197.4</v>
      </c>
      <c r="E40" s="622">
        <v>-162.6</v>
      </c>
      <c r="F40" s="622">
        <v>-448.1</v>
      </c>
      <c r="G40" s="622">
        <v>-320.10000000000002</v>
      </c>
      <c r="H40" s="622">
        <v>-425.2</v>
      </c>
      <c r="I40" s="622">
        <v>-234.8</v>
      </c>
    </row>
    <row r="41" spans="1:9" ht="15.6">
      <c r="A41" s="622" t="s">
        <v>58</v>
      </c>
      <c r="B41" s="622">
        <v>-0.6</v>
      </c>
      <c r="C41" s="622">
        <v>0</v>
      </c>
      <c r="D41" s="622">
        <v>0</v>
      </c>
      <c r="E41" s="622">
        <v>0</v>
      </c>
      <c r="F41" s="622">
        <v>0</v>
      </c>
      <c r="G41" s="622">
        <v>0</v>
      </c>
      <c r="H41" s="622">
        <v>0</v>
      </c>
      <c r="I41" s="622">
        <v>0</v>
      </c>
    </row>
    <row r="42" spans="1:9" ht="15.6">
      <c r="A42" s="622" t="s">
        <v>59</v>
      </c>
      <c r="B42" s="622">
        <v>-35.6</v>
      </c>
      <c r="C42" s="622">
        <v>-166.9</v>
      </c>
      <c r="D42" s="622">
        <v>-150.69999999999999</v>
      </c>
      <c r="E42" s="622">
        <v>-29.5</v>
      </c>
      <c r="F42" s="622">
        <v>-39.5</v>
      </c>
      <c r="G42" s="622">
        <v>-36.299999999999997</v>
      </c>
      <c r="H42" s="622">
        <v>-25</v>
      </c>
      <c r="I42" s="622">
        <v>-93.4</v>
      </c>
    </row>
    <row r="43" spans="1:9" ht="15.6">
      <c r="A43" s="622" t="s">
        <v>60</v>
      </c>
      <c r="B43" s="622">
        <v>0</v>
      </c>
      <c r="C43" s="622">
        <v>0</v>
      </c>
      <c r="D43" s="622">
        <v>0</v>
      </c>
      <c r="E43" s="622">
        <v>0</v>
      </c>
      <c r="F43" s="622">
        <v>0</v>
      </c>
      <c r="G43" s="622">
        <v>0</v>
      </c>
      <c r="H43" s="622">
        <v>0</v>
      </c>
      <c r="I43" s="622">
        <v>0</v>
      </c>
    </row>
    <row r="44" spans="1:9" ht="15.6">
      <c r="A44" s="623" t="s">
        <v>61</v>
      </c>
      <c r="B44" s="623">
        <v>30.1</v>
      </c>
      <c r="C44" s="623">
        <v>-503.7</v>
      </c>
      <c r="D44" s="623">
        <v>386.4</v>
      </c>
      <c r="E44" s="623">
        <v>155</v>
      </c>
      <c r="F44" s="623">
        <v>-20.7</v>
      </c>
      <c r="G44" s="623">
        <v>-9.1</v>
      </c>
      <c r="H44" s="623">
        <v>67.7</v>
      </c>
      <c r="I44" s="623">
        <v>-75.5</v>
      </c>
    </row>
    <row r="45" spans="1:9" ht="15.6">
      <c r="A45" s="623" t="s">
        <v>62</v>
      </c>
      <c r="B45" s="623">
        <v>105.4</v>
      </c>
      <c r="C45" s="623">
        <v>609.4</v>
      </c>
      <c r="D45" s="623">
        <v>223</v>
      </c>
      <c r="E45" s="623">
        <v>68</v>
      </c>
      <c r="F45" s="623">
        <v>88.7</v>
      </c>
      <c r="G45" s="623">
        <v>97.8</v>
      </c>
      <c r="H45" s="623">
        <v>30.1</v>
      </c>
      <c r="I45" s="623">
        <v>105.6</v>
      </c>
    </row>
    <row r="46" spans="1:9" ht="15.6">
      <c r="A46" s="623" t="s">
        <v>63</v>
      </c>
      <c r="B46" s="623">
        <v>135.4</v>
      </c>
      <c r="C46" s="623">
        <v>105.4</v>
      </c>
      <c r="D46" s="623">
        <v>609.4</v>
      </c>
      <c r="E46" s="623">
        <v>223</v>
      </c>
      <c r="F46" s="623">
        <v>68</v>
      </c>
      <c r="G46" s="623">
        <v>88.7</v>
      </c>
      <c r="H46" s="623">
        <v>97.8</v>
      </c>
      <c r="I46" s="623">
        <v>30.1</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INPUT-Y</vt:lpstr>
      <vt:lpstr>IS</vt:lpstr>
      <vt:lpstr>BS</vt:lpstr>
      <vt:lpstr>CF</vt:lpstr>
      <vt:lpstr>Valuation</vt:lpstr>
      <vt:lpstr>PP&amp;E</vt:lpstr>
      <vt:lpstr>Assumption</vt:lpstr>
      <vt:lpstr>Forecast</vt:lpstr>
      <vt:lpstr>WACC</vt:lpstr>
      <vt:lpstr>Owners equity</vt:lpstr>
      <vt:lpstr>Debt</vt:lpstr>
      <vt:lpstr>Financial ratios</vt:lpstr>
      <vt:lpstr>Commonsize</vt:lpstr>
      <vt:lpstr>Báo cáo thu nhập</vt:lpstr>
      <vt:lpstr>Lưu chuyển tiền tệ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 hung</cp:lastModifiedBy>
  <dcterms:modified xsi:type="dcterms:W3CDTF">2025-03-11T21:49:03Z</dcterms:modified>
</cp:coreProperties>
</file>